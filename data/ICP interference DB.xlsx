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Python\INNO NanoLab\Source Code\TEST\"/>
    </mc:Choice>
  </mc:AlternateContent>
  <xr:revisionPtr revIDLastSave="0" documentId="13_ncr:1_{CB25C8AB-1B7D-493E-A752-5CA1CC676CAD}" xr6:coauthVersionLast="47" xr6:coauthVersionMax="47" xr10:uidLastSave="{00000000-0000-0000-0000-000000000000}"/>
  <bookViews>
    <workbookView xWindow="45390" yWindow="2055" windowWidth="27990" windowHeight="17205" tabRatio="500" xr2:uid="{00000000-000D-0000-FFFF-FFFF00000000}"/>
  </bookViews>
  <sheets>
    <sheet name="대시보드" sheetId="1" r:id="rId1"/>
    <sheet name="피크 요약" sheetId="2" r:id="rId2"/>
    <sheet name="원소 간섭 히트맵" sheetId="3" r:id="rId3"/>
    <sheet name="전체 데이터" sheetId="4" r:id="rId4"/>
    <sheet name="피크Top" sheetId="5" state="hidden" r:id="rId5"/>
    <sheet name="설명 · 출처" sheetId="6" r:id="rId6"/>
  </sheets>
  <definedNames>
    <definedName name="_xlnm._FilterDatabase" localSheetId="3" hidden="1">'전체 데이터'!$A$1:$J$6450</definedName>
    <definedName name="_xlnm._FilterDatabase" localSheetId="1" hidden="1">'피크 요약'!$A$4:$J$170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6450" i="4" l="1"/>
  <c r="I6449" i="4"/>
  <c r="I6448" i="4"/>
  <c r="I6447" i="4"/>
  <c r="I6446" i="4"/>
  <c r="I6445" i="4"/>
  <c r="I6444" i="4"/>
  <c r="I6443" i="4"/>
  <c r="I6442" i="4"/>
  <c r="I6441" i="4"/>
  <c r="I6440" i="4"/>
  <c r="I6439" i="4"/>
  <c r="I6438" i="4"/>
  <c r="I6437" i="4"/>
  <c r="I6436" i="4"/>
  <c r="I6435" i="4"/>
  <c r="I6434" i="4"/>
  <c r="I6433" i="4"/>
  <c r="I6432" i="4"/>
  <c r="I6431" i="4"/>
  <c r="I6430" i="4"/>
  <c r="I6429" i="4"/>
  <c r="I6428" i="4"/>
  <c r="I6427" i="4"/>
  <c r="I6426" i="4"/>
  <c r="I6425" i="4"/>
  <c r="I6424" i="4"/>
  <c r="I6423" i="4"/>
  <c r="I6422" i="4"/>
  <c r="I6421" i="4"/>
  <c r="I6420" i="4"/>
  <c r="I6419" i="4"/>
  <c r="I6418" i="4"/>
  <c r="I6417" i="4"/>
  <c r="I6416" i="4"/>
  <c r="I6415" i="4"/>
  <c r="I6414" i="4"/>
  <c r="I6413" i="4"/>
  <c r="I6412" i="4"/>
  <c r="I6411" i="4"/>
  <c r="I6410" i="4"/>
  <c r="I6409" i="4"/>
  <c r="I6408" i="4"/>
  <c r="I6407" i="4"/>
  <c r="I6406" i="4"/>
  <c r="I6405" i="4"/>
  <c r="I6404" i="4"/>
  <c r="I6403" i="4"/>
  <c r="I6402" i="4"/>
  <c r="I6401" i="4"/>
  <c r="I6400" i="4"/>
  <c r="I6399" i="4"/>
  <c r="I6398" i="4"/>
  <c r="I6397" i="4"/>
  <c r="I6396" i="4"/>
  <c r="I6395" i="4"/>
  <c r="I6394" i="4"/>
  <c r="I6393" i="4"/>
  <c r="I6392" i="4"/>
  <c r="I6391" i="4"/>
  <c r="I6390" i="4"/>
  <c r="I6389" i="4"/>
  <c r="I6388" i="4"/>
  <c r="I6387" i="4"/>
  <c r="I6386" i="4"/>
  <c r="I6385" i="4"/>
  <c r="I6384" i="4"/>
  <c r="I6383" i="4"/>
  <c r="I6382" i="4"/>
  <c r="I6381" i="4"/>
  <c r="I6380" i="4"/>
  <c r="I6379" i="4"/>
  <c r="I6378" i="4"/>
  <c r="I6377" i="4"/>
  <c r="I6376" i="4"/>
  <c r="I6375" i="4"/>
  <c r="I6374" i="4"/>
  <c r="I6373" i="4"/>
  <c r="I6372" i="4"/>
  <c r="I6371" i="4"/>
  <c r="I6370" i="4"/>
  <c r="I6369" i="4"/>
  <c r="I6368" i="4"/>
  <c r="I6367" i="4"/>
  <c r="I6366" i="4"/>
  <c r="I6365" i="4"/>
  <c r="I6364" i="4"/>
  <c r="I6363" i="4"/>
  <c r="I6362" i="4"/>
  <c r="I6361" i="4"/>
  <c r="I6360" i="4"/>
  <c r="I6359" i="4"/>
  <c r="I6358" i="4"/>
  <c r="I6357" i="4"/>
  <c r="I6356" i="4"/>
  <c r="I6355" i="4"/>
  <c r="I6354" i="4"/>
  <c r="I6353" i="4"/>
  <c r="I6352" i="4"/>
  <c r="I6351" i="4"/>
  <c r="I6350" i="4"/>
  <c r="I6349" i="4"/>
  <c r="I6348" i="4"/>
  <c r="I6347" i="4"/>
  <c r="I6346" i="4"/>
  <c r="I6345" i="4"/>
  <c r="I6344" i="4"/>
  <c r="I6343" i="4"/>
  <c r="I6342" i="4"/>
  <c r="I6341" i="4"/>
  <c r="I6340" i="4"/>
  <c r="I6339" i="4"/>
  <c r="I6338" i="4"/>
  <c r="I6337" i="4"/>
  <c r="I6336" i="4"/>
  <c r="I6335" i="4"/>
  <c r="I6334" i="4"/>
  <c r="I6333" i="4"/>
  <c r="I6332" i="4"/>
  <c r="I6331" i="4"/>
  <c r="I6330" i="4"/>
  <c r="I6329" i="4"/>
  <c r="I6328" i="4"/>
  <c r="I6327" i="4"/>
  <c r="I6326" i="4"/>
  <c r="I6325" i="4"/>
  <c r="I6324" i="4"/>
  <c r="I6323" i="4"/>
  <c r="I6322" i="4"/>
  <c r="I6321" i="4"/>
  <c r="I6320" i="4"/>
  <c r="I6319" i="4"/>
  <c r="I6318" i="4"/>
  <c r="I6317" i="4"/>
  <c r="I6316" i="4"/>
  <c r="I6315" i="4"/>
  <c r="I6314" i="4"/>
  <c r="I6313" i="4"/>
  <c r="I6312" i="4"/>
  <c r="I6311" i="4"/>
  <c r="I6310" i="4"/>
  <c r="I6309" i="4"/>
  <c r="I6308" i="4"/>
  <c r="I6307" i="4"/>
  <c r="I6306" i="4"/>
  <c r="I6305" i="4"/>
  <c r="I6304" i="4"/>
  <c r="I6303" i="4"/>
  <c r="I6302" i="4"/>
  <c r="I6301" i="4"/>
  <c r="I6300" i="4"/>
  <c r="I6299" i="4"/>
  <c r="I6298" i="4"/>
  <c r="I6297" i="4"/>
  <c r="I6296" i="4"/>
  <c r="I6295" i="4"/>
  <c r="I6294" i="4"/>
  <c r="I6293" i="4"/>
  <c r="I6292" i="4"/>
  <c r="I6291" i="4"/>
  <c r="I6290" i="4"/>
  <c r="I6289" i="4"/>
  <c r="I6288" i="4"/>
  <c r="I6287" i="4"/>
  <c r="I6286" i="4"/>
  <c r="I6285" i="4"/>
  <c r="I6284" i="4"/>
  <c r="I6283" i="4"/>
  <c r="I6282" i="4"/>
  <c r="I6281" i="4"/>
  <c r="I6280" i="4"/>
  <c r="I6279" i="4"/>
  <c r="I6278" i="4"/>
  <c r="I6277" i="4"/>
  <c r="I6276" i="4"/>
  <c r="I6275" i="4"/>
  <c r="I6274" i="4"/>
  <c r="I6273" i="4"/>
  <c r="I6272" i="4"/>
  <c r="I6271" i="4"/>
  <c r="I6270" i="4"/>
  <c r="I6269" i="4"/>
  <c r="I6268" i="4"/>
  <c r="I6267" i="4"/>
  <c r="I6266" i="4"/>
  <c r="I6265" i="4"/>
  <c r="I6264" i="4"/>
  <c r="I6263" i="4"/>
  <c r="I6262" i="4"/>
  <c r="I6261" i="4"/>
  <c r="I6260" i="4"/>
  <c r="I6259" i="4"/>
  <c r="I6258" i="4"/>
  <c r="I6257" i="4"/>
  <c r="I6256" i="4"/>
  <c r="I6255" i="4"/>
  <c r="I6254" i="4"/>
  <c r="I6253" i="4"/>
  <c r="I6252" i="4"/>
  <c r="I6251" i="4"/>
  <c r="I6250" i="4"/>
  <c r="I6249" i="4"/>
  <c r="I6248" i="4"/>
  <c r="I6247" i="4"/>
  <c r="I6246" i="4"/>
  <c r="I6245" i="4"/>
  <c r="I6244" i="4"/>
  <c r="I6243" i="4"/>
  <c r="I6242" i="4"/>
  <c r="I6241" i="4"/>
  <c r="I6240" i="4"/>
  <c r="I6239" i="4"/>
  <c r="I6238" i="4"/>
  <c r="I6237" i="4"/>
  <c r="I6236" i="4"/>
  <c r="I6235" i="4"/>
  <c r="I6234" i="4"/>
  <c r="I6233" i="4"/>
  <c r="I6232" i="4"/>
  <c r="I6231" i="4"/>
  <c r="I6230" i="4"/>
  <c r="I6229" i="4"/>
  <c r="I6228" i="4"/>
  <c r="I6227" i="4"/>
  <c r="I6226" i="4"/>
  <c r="I6225" i="4"/>
  <c r="I6224" i="4"/>
  <c r="I6223" i="4"/>
  <c r="I6222" i="4"/>
  <c r="I6221" i="4"/>
  <c r="I6220" i="4"/>
  <c r="I6219" i="4"/>
  <c r="I6218" i="4"/>
  <c r="I6217" i="4"/>
  <c r="I6216" i="4"/>
  <c r="I6215" i="4"/>
  <c r="I6214" i="4"/>
  <c r="I6213" i="4"/>
  <c r="I6212" i="4"/>
  <c r="I6211" i="4"/>
  <c r="I6210" i="4"/>
  <c r="I6209" i="4"/>
  <c r="I6208" i="4"/>
  <c r="I6207" i="4"/>
  <c r="I6206" i="4"/>
  <c r="I6205" i="4"/>
  <c r="I6204" i="4"/>
  <c r="I6203" i="4"/>
  <c r="I6202" i="4"/>
  <c r="I6201" i="4"/>
  <c r="I6200" i="4"/>
  <c r="I6199" i="4"/>
  <c r="I6198" i="4"/>
  <c r="I6197" i="4"/>
  <c r="I6196" i="4"/>
  <c r="I6195" i="4"/>
  <c r="I6194" i="4"/>
  <c r="I6193" i="4"/>
  <c r="I6192" i="4"/>
  <c r="I6191" i="4"/>
  <c r="I6190" i="4"/>
  <c r="I6189" i="4"/>
  <c r="I6188" i="4"/>
  <c r="I6187" i="4"/>
  <c r="I6186" i="4"/>
  <c r="I6185" i="4"/>
  <c r="I6184" i="4"/>
  <c r="I6183" i="4"/>
  <c r="I6182" i="4"/>
  <c r="I6181" i="4"/>
  <c r="I6180" i="4"/>
  <c r="I6179" i="4"/>
  <c r="I6178" i="4"/>
  <c r="I6177" i="4"/>
  <c r="I6176" i="4"/>
  <c r="I6175" i="4"/>
  <c r="I6174" i="4"/>
  <c r="I6173" i="4"/>
  <c r="I6172" i="4"/>
  <c r="I6171" i="4"/>
  <c r="I6170" i="4"/>
  <c r="I6169" i="4"/>
  <c r="I6168" i="4"/>
  <c r="I6167" i="4"/>
  <c r="I6166" i="4"/>
  <c r="I6165" i="4"/>
  <c r="I6164" i="4"/>
  <c r="I6163" i="4"/>
  <c r="I6162" i="4"/>
  <c r="I6161" i="4"/>
  <c r="I6160" i="4"/>
  <c r="I6159" i="4"/>
  <c r="I6158" i="4"/>
  <c r="I6157" i="4"/>
  <c r="I6156" i="4"/>
  <c r="I6155" i="4"/>
  <c r="I6154" i="4"/>
  <c r="I6153" i="4"/>
  <c r="I6152" i="4"/>
  <c r="I6151" i="4"/>
  <c r="I6150" i="4"/>
  <c r="I6149" i="4"/>
  <c r="I6148" i="4"/>
  <c r="I6147" i="4"/>
  <c r="I6146" i="4"/>
  <c r="I6145" i="4"/>
  <c r="I6144" i="4"/>
  <c r="I6143" i="4"/>
  <c r="I6142" i="4"/>
  <c r="I6141" i="4"/>
  <c r="I6140" i="4"/>
  <c r="I6139" i="4"/>
  <c r="I6138" i="4"/>
  <c r="I6137" i="4"/>
  <c r="I6136" i="4"/>
  <c r="I6135" i="4"/>
  <c r="I6134" i="4"/>
  <c r="I6133" i="4"/>
  <c r="I6132" i="4"/>
  <c r="I6131" i="4"/>
  <c r="I6130" i="4"/>
  <c r="I6129" i="4"/>
  <c r="I6128" i="4"/>
  <c r="I6127" i="4"/>
  <c r="I6126" i="4"/>
  <c r="I6125" i="4"/>
  <c r="I6124" i="4"/>
  <c r="I6123" i="4"/>
  <c r="I6122" i="4"/>
  <c r="I6121" i="4"/>
  <c r="I6120" i="4"/>
  <c r="I6119" i="4"/>
  <c r="I6118" i="4"/>
  <c r="I6117" i="4"/>
  <c r="I6116" i="4"/>
  <c r="I6115" i="4"/>
  <c r="I6114" i="4"/>
  <c r="I6113" i="4"/>
  <c r="I6112" i="4"/>
  <c r="I6111" i="4"/>
  <c r="I6110" i="4"/>
  <c r="I6109" i="4"/>
  <c r="I6108" i="4"/>
  <c r="I6107" i="4"/>
  <c r="I6106" i="4"/>
  <c r="I6105" i="4"/>
  <c r="I6104" i="4"/>
  <c r="I6103" i="4"/>
  <c r="I6102" i="4"/>
  <c r="I6101" i="4"/>
  <c r="I6100" i="4"/>
  <c r="I6099" i="4"/>
  <c r="I6098" i="4"/>
  <c r="I6097" i="4"/>
  <c r="I6096" i="4"/>
  <c r="I6095" i="4"/>
  <c r="I6094" i="4"/>
  <c r="I6093" i="4"/>
  <c r="I6092" i="4"/>
  <c r="I6091" i="4"/>
  <c r="I6090" i="4"/>
  <c r="I6089" i="4"/>
  <c r="I6088" i="4"/>
  <c r="I6087" i="4"/>
  <c r="I6086" i="4"/>
  <c r="I6085" i="4"/>
  <c r="I6084" i="4"/>
  <c r="I6083" i="4"/>
  <c r="I6082" i="4"/>
  <c r="I6081" i="4"/>
  <c r="I6080" i="4"/>
  <c r="I6079" i="4"/>
  <c r="I6078" i="4"/>
  <c r="I6077" i="4"/>
  <c r="I6076" i="4"/>
  <c r="I6075" i="4"/>
  <c r="I6074" i="4"/>
  <c r="I6073" i="4"/>
  <c r="I6072" i="4"/>
  <c r="I6071" i="4"/>
  <c r="I6070" i="4"/>
  <c r="I6069" i="4"/>
  <c r="I6068" i="4"/>
  <c r="I6067" i="4"/>
  <c r="I6066" i="4"/>
  <c r="I6065" i="4"/>
  <c r="I6064" i="4"/>
  <c r="I6063" i="4"/>
  <c r="I6062" i="4"/>
  <c r="I6061" i="4"/>
  <c r="I6060" i="4"/>
  <c r="I6059" i="4"/>
  <c r="I6058" i="4"/>
  <c r="I6057" i="4"/>
  <c r="I6056" i="4"/>
  <c r="I6055" i="4"/>
  <c r="I6054" i="4"/>
  <c r="I6053" i="4"/>
  <c r="I6052" i="4"/>
  <c r="I6051" i="4"/>
  <c r="I6050" i="4"/>
  <c r="I6049" i="4"/>
  <c r="I6048" i="4"/>
  <c r="I6047" i="4"/>
  <c r="I6046" i="4"/>
  <c r="I6045" i="4"/>
  <c r="I6044" i="4"/>
  <c r="I6043" i="4"/>
  <c r="I6042" i="4"/>
  <c r="I6041" i="4"/>
  <c r="I6040" i="4"/>
  <c r="I6039" i="4"/>
  <c r="I6038" i="4"/>
  <c r="I6037" i="4"/>
  <c r="I6036" i="4"/>
  <c r="I6035" i="4"/>
  <c r="I6034" i="4"/>
  <c r="I6033" i="4"/>
  <c r="I6032" i="4"/>
  <c r="I6031" i="4"/>
  <c r="I6030" i="4"/>
  <c r="I6029" i="4"/>
  <c r="I6028" i="4"/>
  <c r="I6027" i="4"/>
  <c r="I6026" i="4"/>
  <c r="I6025" i="4"/>
  <c r="I6024" i="4"/>
  <c r="I6023" i="4"/>
  <c r="I6022" i="4"/>
  <c r="I6021" i="4"/>
  <c r="I6020" i="4"/>
  <c r="I6019" i="4"/>
  <c r="I6018" i="4"/>
  <c r="I6017" i="4"/>
  <c r="I6016" i="4"/>
  <c r="I6015" i="4"/>
  <c r="I6014" i="4"/>
  <c r="I6013" i="4"/>
  <c r="I6012" i="4"/>
  <c r="I6011" i="4"/>
  <c r="I6010" i="4"/>
  <c r="I6009" i="4"/>
  <c r="I6008" i="4"/>
  <c r="I6007" i="4"/>
  <c r="I6006" i="4"/>
  <c r="I6005" i="4"/>
  <c r="I6004" i="4"/>
  <c r="I6003" i="4"/>
  <c r="I6002" i="4"/>
  <c r="I6001" i="4"/>
  <c r="I6000" i="4"/>
  <c r="I5999" i="4"/>
  <c r="I5998" i="4"/>
  <c r="I5997" i="4"/>
  <c r="I5996" i="4"/>
  <c r="I5995" i="4"/>
  <c r="I5994" i="4"/>
  <c r="I5993" i="4"/>
  <c r="I5992" i="4"/>
  <c r="I5991" i="4"/>
  <c r="I5990" i="4"/>
  <c r="I5989" i="4"/>
  <c r="I5988" i="4"/>
  <c r="I5987" i="4"/>
  <c r="I5986" i="4"/>
  <c r="I5985" i="4"/>
  <c r="I5984" i="4"/>
  <c r="I5983" i="4"/>
  <c r="I5982" i="4"/>
  <c r="I5981" i="4"/>
  <c r="I5980" i="4"/>
  <c r="I5979" i="4"/>
  <c r="I5978" i="4"/>
  <c r="I5977" i="4"/>
  <c r="I5976" i="4"/>
  <c r="I5975" i="4"/>
  <c r="I5974" i="4"/>
  <c r="I5973" i="4"/>
  <c r="I5972" i="4"/>
  <c r="I5971" i="4"/>
  <c r="I5970" i="4"/>
  <c r="I5969" i="4"/>
  <c r="I5968" i="4"/>
  <c r="I5967" i="4"/>
  <c r="I5966" i="4"/>
  <c r="I5965" i="4"/>
  <c r="I5964" i="4"/>
  <c r="I5963" i="4"/>
  <c r="I5962" i="4"/>
  <c r="I5961" i="4"/>
  <c r="I5960" i="4"/>
  <c r="I5959" i="4"/>
  <c r="I5958" i="4"/>
  <c r="I5957" i="4"/>
  <c r="I5956" i="4"/>
  <c r="I5955" i="4"/>
  <c r="I5954" i="4"/>
  <c r="I5953" i="4"/>
  <c r="I5952" i="4"/>
  <c r="I5951" i="4"/>
  <c r="I5950" i="4"/>
  <c r="I5949" i="4"/>
  <c r="I5948" i="4"/>
  <c r="I5947" i="4"/>
  <c r="I5946" i="4"/>
  <c r="I5945" i="4"/>
  <c r="I5944" i="4"/>
  <c r="I5943" i="4"/>
  <c r="I5942" i="4"/>
  <c r="I5941" i="4"/>
  <c r="I5940" i="4"/>
  <c r="I5939" i="4"/>
  <c r="I5938" i="4"/>
  <c r="I5937" i="4"/>
  <c r="I5936" i="4"/>
  <c r="I5935" i="4"/>
  <c r="I5934" i="4"/>
  <c r="I5933" i="4"/>
  <c r="I5932" i="4"/>
  <c r="I5931" i="4"/>
  <c r="I5930" i="4"/>
  <c r="I5929" i="4"/>
  <c r="I5928" i="4"/>
  <c r="I5927" i="4"/>
  <c r="I5926" i="4"/>
  <c r="I5925" i="4"/>
  <c r="I5924" i="4"/>
  <c r="I5923" i="4"/>
  <c r="I5922" i="4"/>
  <c r="I5921" i="4"/>
  <c r="I5920" i="4"/>
  <c r="I5919" i="4"/>
  <c r="I5918" i="4"/>
  <c r="I5917" i="4"/>
  <c r="I5916" i="4"/>
  <c r="I5915" i="4"/>
  <c r="I5914" i="4"/>
  <c r="I5913" i="4"/>
  <c r="I5912" i="4"/>
  <c r="I5911" i="4"/>
  <c r="I5910" i="4"/>
  <c r="I5909" i="4"/>
  <c r="I5908" i="4"/>
  <c r="I5907" i="4"/>
  <c r="I5906" i="4"/>
  <c r="I5905" i="4"/>
  <c r="I5904" i="4"/>
  <c r="I5903" i="4"/>
  <c r="I5902" i="4"/>
  <c r="I5901" i="4"/>
  <c r="I5900" i="4"/>
  <c r="I5899" i="4"/>
  <c r="I5898" i="4"/>
  <c r="I5897" i="4"/>
  <c r="I5896" i="4"/>
  <c r="I5895" i="4"/>
  <c r="I5894" i="4"/>
  <c r="I5893" i="4"/>
  <c r="I5892" i="4"/>
  <c r="I5891" i="4"/>
  <c r="I5890" i="4"/>
  <c r="I5889" i="4"/>
  <c r="I5888" i="4"/>
  <c r="I5887" i="4"/>
  <c r="I5886" i="4"/>
  <c r="I5885" i="4"/>
  <c r="I5884" i="4"/>
  <c r="I5883" i="4"/>
  <c r="I5882" i="4"/>
  <c r="I5881" i="4"/>
  <c r="I5880" i="4"/>
  <c r="I5879" i="4"/>
  <c r="I5878" i="4"/>
  <c r="I5877" i="4"/>
  <c r="I5876" i="4"/>
  <c r="I5875" i="4"/>
  <c r="I5874" i="4"/>
  <c r="I5873" i="4"/>
  <c r="I5872" i="4"/>
  <c r="I5871" i="4"/>
  <c r="I5870" i="4"/>
  <c r="I5869" i="4"/>
  <c r="I5868" i="4"/>
  <c r="I5867" i="4"/>
  <c r="I5866" i="4"/>
  <c r="I5865" i="4"/>
  <c r="I5864" i="4"/>
  <c r="I5863" i="4"/>
  <c r="I5862" i="4"/>
  <c r="I5861" i="4"/>
  <c r="I5860" i="4"/>
  <c r="I5859" i="4"/>
  <c r="I5858" i="4"/>
  <c r="I5857" i="4"/>
  <c r="I5856" i="4"/>
  <c r="I5855" i="4"/>
  <c r="I5854" i="4"/>
  <c r="I5853" i="4"/>
  <c r="I5852" i="4"/>
  <c r="I5851" i="4"/>
  <c r="I5850" i="4"/>
  <c r="I5849" i="4"/>
  <c r="I5848" i="4"/>
  <c r="I5847" i="4"/>
  <c r="I5846" i="4"/>
  <c r="I5845" i="4"/>
  <c r="I5844" i="4"/>
  <c r="I5843" i="4"/>
  <c r="I5842" i="4"/>
  <c r="I5841" i="4"/>
  <c r="I5840" i="4"/>
  <c r="I5839" i="4"/>
  <c r="I5838" i="4"/>
  <c r="I5837" i="4"/>
  <c r="I5836" i="4"/>
  <c r="I5835" i="4"/>
  <c r="I5834" i="4"/>
  <c r="I5833" i="4"/>
  <c r="I5832" i="4"/>
  <c r="I5831" i="4"/>
  <c r="I5830" i="4"/>
  <c r="I5829" i="4"/>
  <c r="I5828" i="4"/>
  <c r="I5827" i="4"/>
  <c r="I5826" i="4"/>
  <c r="I5825" i="4"/>
  <c r="I5824" i="4"/>
  <c r="I5823" i="4"/>
  <c r="I5822" i="4"/>
  <c r="I5821" i="4"/>
  <c r="I5820" i="4"/>
  <c r="I5819" i="4"/>
  <c r="I5818" i="4"/>
  <c r="I5817" i="4"/>
  <c r="I5816" i="4"/>
  <c r="I5815" i="4"/>
  <c r="I5814" i="4"/>
  <c r="I5813" i="4"/>
  <c r="I5812" i="4"/>
  <c r="I5811" i="4"/>
  <c r="I5810" i="4"/>
  <c r="I5809" i="4"/>
  <c r="I5808" i="4"/>
  <c r="I5807" i="4"/>
  <c r="I5806" i="4"/>
  <c r="I5805" i="4"/>
  <c r="I5804" i="4"/>
  <c r="I5803" i="4"/>
  <c r="I5802" i="4"/>
  <c r="I5801" i="4"/>
  <c r="I5800" i="4"/>
  <c r="I5799" i="4"/>
  <c r="I5798" i="4"/>
  <c r="I5797" i="4"/>
  <c r="I5796" i="4"/>
  <c r="I5795" i="4"/>
  <c r="I5794" i="4"/>
  <c r="I5793" i="4"/>
  <c r="I5792" i="4"/>
  <c r="I5791" i="4"/>
  <c r="I5790" i="4"/>
  <c r="I5789" i="4"/>
  <c r="I5788" i="4"/>
  <c r="I5787" i="4"/>
  <c r="I5786" i="4"/>
  <c r="I5785" i="4"/>
  <c r="I5784" i="4"/>
  <c r="I5783" i="4"/>
  <c r="I5782" i="4"/>
  <c r="I5781" i="4"/>
  <c r="I5780" i="4"/>
  <c r="I5779" i="4"/>
  <c r="I5778" i="4"/>
  <c r="I5777" i="4"/>
  <c r="I5776" i="4"/>
  <c r="I5775" i="4"/>
  <c r="I5774" i="4"/>
  <c r="I5773" i="4"/>
  <c r="I5772" i="4"/>
  <c r="I5771" i="4"/>
  <c r="I5770" i="4"/>
  <c r="I5769" i="4"/>
  <c r="I5768" i="4"/>
  <c r="I5767" i="4"/>
  <c r="I5766" i="4"/>
  <c r="I5765" i="4"/>
  <c r="I5764" i="4"/>
  <c r="I5763" i="4"/>
  <c r="I5762" i="4"/>
  <c r="I5761" i="4"/>
  <c r="I5760" i="4"/>
  <c r="I5759" i="4"/>
  <c r="I5758" i="4"/>
  <c r="I5757" i="4"/>
  <c r="I5756" i="4"/>
  <c r="I5755" i="4"/>
  <c r="I5754" i="4"/>
  <c r="I5753" i="4"/>
  <c r="I5752" i="4"/>
  <c r="I5751" i="4"/>
  <c r="I5750" i="4"/>
  <c r="I5749" i="4"/>
  <c r="I5748" i="4"/>
  <c r="I5747" i="4"/>
  <c r="I5746" i="4"/>
  <c r="I5745" i="4"/>
  <c r="I5744" i="4"/>
  <c r="I5743" i="4"/>
  <c r="I5742" i="4"/>
  <c r="I5741" i="4"/>
  <c r="I5740" i="4"/>
  <c r="I5739" i="4"/>
  <c r="I5738" i="4"/>
  <c r="I5737" i="4"/>
  <c r="I5736" i="4"/>
  <c r="I5735" i="4"/>
  <c r="I5734" i="4"/>
  <c r="I5733" i="4"/>
  <c r="I5732" i="4"/>
  <c r="I5731" i="4"/>
  <c r="I5730" i="4"/>
  <c r="I5729" i="4"/>
  <c r="I5728" i="4"/>
  <c r="I5727" i="4"/>
  <c r="I5726" i="4"/>
  <c r="I5725" i="4"/>
  <c r="I5724" i="4"/>
  <c r="I5723" i="4"/>
  <c r="I5722" i="4"/>
  <c r="I5721" i="4"/>
  <c r="I5720" i="4"/>
  <c r="I5719" i="4"/>
  <c r="I5718" i="4"/>
  <c r="I5717" i="4"/>
  <c r="I5716" i="4"/>
  <c r="I5715" i="4"/>
  <c r="I5714" i="4"/>
  <c r="I5713" i="4"/>
  <c r="I5712" i="4"/>
  <c r="I5711" i="4"/>
  <c r="I5710" i="4"/>
  <c r="I5709" i="4"/>
  <c r="I5708" i="4"/>
  <c r="I5707" i="4"/>
  <c r="I5706" i="4"/>
  <c r="I5705" i="4"/>
  <c r="I5704" i="4"/>
  <c r="I5703" i="4"/>
  <c r="I5702" i="4"/>
  <c r="I5701" i="4"/>
  <c r="I5700" i="4"/>
  <c r="I5699" i="4"/>
  <c r="I5698" i="4"/>
  <c r="I5697" i="4"/>
  <c r="I5696" i="4"/>
  <c r="I5695" i="4"/>
  <c r="I5694" i="4"/>
  <c r="I5693" i="4"/>
  <c r="I5692" i="4"/>
  <c r="I5691" i="4"/>
  <c r="I5690" i="4"/>
  <c r="I5689" i="4"/>
  <c r="I5688" i="4"/>
  <c r="I5687" i="4"/>
  <c r="I5686" i="4"/>
  <c r="I5685" i="4"/>
  <c r="I5684" i="4"/>
  <c r="I5683" i="4"/>
  <c r="I5682" i="4"/>
  <c r="I5681" i="4"/>
  <c r="I5680" i="4"/>
  <c r="I5679" i="4"/>
  <c r="I5678" i="4"/>
  <c r="I5677" i="4"/>
  <c r="I5676" i="4"/>
  <c r="I5675" i="4"/>
  <c r="I5674" i="4"/>
  <c r="I5673" i="4"/>
  <c r="I5672" i="4"/>
  <c r="I5671" i="4"/>
  <c r="I5670" i="4"/>
  <c r="I5669" i="4"/>
  <c r="I5668" i="4"/>
  <c r="I5667" i="4"/>
  <c r="I5666" i="4"/>
  <c r="I5665" i="4"/>
  <c r="I5664" i="4"/>
  <c r="I5663" i="4"/>
  <c r="I5662" i="4"/>
  <c r="I5661" i="4"/>
  <c r="I5660" i="4"/>
  <c r="I5659" i="4"/>
  <c r="I5658" i="4"/>
  <c r="I5657" i="4"/>
  <c r="I5656" i="4"/>
  <c r="I5655" i="4"/>
  <c r="I5654" i="4"/>
  <c r="I5653" i="4"/>
  <c r="I5652" i="4"/>
  <c r="I5651" i="4"/>
  <c r="I5650" i="4"/>
  <c r="I5649" i="4"/>
  <c r="I5648" i="4"/>
  <c r="I5647" i="4"/>
  <c r="I5646" i="4"/>
  <c r="I5645" i="4"/>
  <c r="I5644" i="4"/>
  <c r="I5643" i="4"/>
  <c r="I5642" i="4"/>
  <c r="I5641" i="4"/>
  <c r="I5640" i="4"/>
  <c r="I5639" i="4"/>
  <c r="I5638" i="4"/>
  <c r="I5637" i="4"/>
  <c r="I5636" i="4"/>
  <c r="I5635" i="4"/>
  <c r="I5634" i="4"/>
  <c r="I5633" i="4"/>
  <c r="I5632" i="4"/>
  <c r="I5631" i="4"/>
  <c r="I5630" i="4"/>
  <c r="I5629" i="4"/>
  <c r="I5628" i="4"/>
  <c r="I5627" i="4"/>
  <c r="I5626" i="4"/>
  <c r="I5625" i="4"/>
  <c r="I5624" i="4"/>
  <c r="I5623" i="4"/>
  <c r="I5622" i="4"/>
  <c r="I5621" i="4"/>
  <c r="I5620" i="4"/>
  <c r="I5619" i="4"/>
  <c r="I5618" i="4"/>
  <c r="I5617" i="4"/>
  <c r="I5616" i="4"/>
  <c r="I5615" i="4"/>
  <c r="I5614" i="4"/>
  <c r="I5613" i="4"/>
  <c r="I5612" i="4"/>
  <c r="I5611" i="4"/>
  <c r="I5610" i="4"/>
  <c r="I5609" i="4"/>
  <c r="I5608" i="4"/>
  <c r="I5607" i="4"/>
  <c r="I5606" i="4"/>
  <c r="I5605" i="4"/>
  <c r="I5604" i="4"/>
  <c r="I5603" i="4"/>
  <c r="I5602" i="4"/>
  <c r="I5601" i="4"/>
  <c r="I5600" i="4"/>
  <c r="I5599" i="4"/>
  <c r="I5598" i="4"/>
  <c r="I5597" i="4"/>
  <c r="I5596" i="4"/>
  <c r="I5595" i="4"/>
  <c r="I5594" i="4"/>
  <c r="I5593" i="4"/>
  <c r="I5592" i="4"/>
  <c r="I5591" i="4"/>
  <c r="I5590" i="4"/>
  <c r="I5589" i="4"/>
  <c r="I5588" i="4"/>
  <c r="I5587" i="4"/>
  <c r="I5586" i="4"/>
  <c r="I5585" i="4"/>
  <c r="I5584" i="4"/>
  <c r="I5583" i="4"/>
  <c r="I5582" i="4"/>
  <c r="I5581" i="4"/>
  <c r="I5580" i="4"/>
  <c r="I5579" i="4"/>
  <c r="I5578" i="4"/>
  <c r="I5577" i="4"/>
  <c r="I5576" i="4"/>
  <c r="I5575" i="4"/>
  <c r="I5574" i="4"/>
  <c r="I5573" i="4"/>
  <c r="I5572" i="4"/>
  <c r="I5571" i="4"/>
  <c r="I5570" i="4"/>
  <c r="I5569" i="4"/>
  <c r="I5568" i="4"/>
  <c r="I5567" i="4"/>
  <c r="I5566" i="4"/>
  <c r="I5565" i="4"/>
  <c r="I5564" i="4"/>
  <c r="I5563" i="4"/>
  <c r="I5562" i="4"/>
  <c r="I5561" i="4"/>
  <c r="I5560" i="4"/>
  <c r="I5559" i="4"/>
  <c r="I5558" i="4"/>
  <c r="I5557" i="4"/>
  <c r="I5556" i="4"/>
  <c r="I5555" i="4"/>
  <c r="I5554" i="4"/>
  <c r="I5553" i="4"/>
  <c r="I5552" i="4"/>
  <c r="I5551" i="4"/>
  <c r="I5550" i="4"/>
  <c r="I5549" i="4"/>
  <c r="I5548" i="4"/>
  <c r="I5547" i="4"/>
  <c r="I5546" i="4"/>
  <c r="I5545" i="4"/>
  <c r="I5544" i="4"/>
  <c r="I5543" i="4"/>
  <c r="I5542" i="4"/>
  <c r="I5541" i="4"/>
  <c r="I5540" i="4"/>
  <c r="I5539" i="4"/>
  <c r="I5538" i="4"/>
  <c r="I5537" i="4"/>
  <c r="I5536" i="4"/>
  <c r="I5535" i="4"/>
  <c r="I5534" i="4"/>
  <c r="I5533" i="4"/>
  <c r="I5532" i="4"/>
  <c r="I5531" i="4"/>
  <c r="I5530" i="4"/>
  <c r="I5529" i="4"/>
  <c r="I5528" i="4"/>
  <c r="I5527" i="4"/>
  <c r="I5526" i="4"/>
  <c r="I5525" i="4"/>
  <c r="I5524" i="4"/>
  <c r="I5523" i="4"/>
  <c r="I5522" i="4"/>
  <c r="I5521" i="4"/>
  <c r="I5520" i="4"/>
  <c r="I5519" i="4"/>
  <c r="I5518" i="4"/>
  <c r="I5517" i="4"/>
  <c r="I5516" i="4"/>
  <c r="I5515" i="4"/>
  <c r="I5514" i="4"/>
  <c r="I5513" i="4"/>
  <c r="I5512" i="4"/>
  <c r="I5511" i="4"/>
  <c r="I5510" i="4"/>
  <c r="I5509" i="4"/>
  <c r="I5508" i="4"/>
  <c r="I5507" i="4"/>
  <c r="I5506" i="4"/>
  <c r="I5505" i="4"/>
  <c r="I5504" i="4"/>
  <c r="I5503" i="4"/>
  <c r="I5502" i="4"/>
  <c r="I5501" i="4"/>
  <c r="I5500" i="4"/>
  <c r="I5499" i="4"/>
  <c r="I5498" i="4"/>
  <c r="I5497" i="4"/>
  <c r="I5496" i="4"/>
  <c r="I5495" i="4"/>
  <c r="I5494" i="4"/>
  <c r="I5493" i="4"/>
  <c r="I5492" i="4"/>
  <c r="I5491" i="4"/>
  <c r="I5490" i="4"/>
  <c r="I5489" i="4"/>
  <c r="I5488" i="4"/>
  <c r="I5487" i="4"/>
  <c r="I5486" i="4"/>
  <c r="I5485" i="4"/>
  <c r="I5484" i="4"/>
  <c r="I5483" i="4"/>
  <c r="I5482" i="4"/>
  <c r="I5481" i="4"/>
  <c r="I5480" i="4"/>
  <c r="I5479" i="4"/>
  <c r="I5478" i="4"/>
  <c r="I5477" i="4"/>
  <c r="I5476" i="4"/>
  <c r="I5475" i="4"/>
  <c r="I5474" i="4"/>
  <c r="I5473" i="4"/>
  <c r="I5472" i="4"/>
  <c r="I5471" i="4"/>
  <c r="I5470" i="4"/>
  <c r="I5469" i="4"/>
  <c r="I5468" i="4"/>
  <c r="I5467" i="4"/>
  <c r="I5466" i="4"/>
  <c r="I5465" i="4"/>
  <c r="I5464" i="4"/>
  <c r="I5463" i="4"/>
  <c r="I5462" i="4"/>
  <c r="I5461" i="4"/>
  <c r="I5460" i="4"/>
  <c r="I5459" i="4"/>
  <c r="I5458" i="4"/>
  <c r="I5457" i="4"/>
  <c r="I5456" i="4"/>
  <c r="I5455" i="4"/>
  <c r="I5454" i="4"/>
  <c r="I5453" i="4"/>
  <c r="I5452" i="4"/>
  <c r="I5451" i="4"/>
  <c r="I5450" i="4"/>
  <c r="I5449" i="4"/>
  <c r="I5448" i="4"/>
  <c r="I5447" i="4"/>
  <c r="I5446" i="4"/>
  <c r="I5445" i="4"/>
  <c r="I5444" i="4"/>
  <c r="I5443" i="4"/>
  <c r="I5442" i="4"/>
  <c r="I5441" i="4"/>
  <c r="I5440" i="4"/>
  <c r="I5439" i="4"/>
  <c r="I5438" i="4"/>
  <c r="I5437" i="4"/>
  <c r="I5436" i="4"/>
  <c r="I5435" i="4"/>
  <c r="I5434" i="4"/>
  <c r="I5433" i="4"/>
  <c r="I5432" i="4"/>
  <c r="I5431" i="4"/>
  <c r="I5430" i="4"/>
  <c r="I5429" i="4"/>
  <c r="I5428" i="4"/>
  <c r="I5427" i="4"/>
  <c r="I5426" i="4"/>
  <c r="I5425" i="4"/>
  <c r="I5424" i="4"/>
  <c r="I5423" i="4"/>
  <c r="I5422" i="4"/>
  <c r="I5421" i="4"/>
  <c r="I5420" i="4"/>
  <c r="I5419" i="4"/>
  <c r="I5418" i="4"/>
  <c r="I5417" i="4"/>
  <c r="I5416" i="4"/>
  <c r="I5415" i="4"/>
  <c r="I5414" i="4"/>
  <c r="I5413" i="4"/>
  <c r="I5412" i="4"/>
  <c r="I5411" i="4"/>
  <c r="I5410" i="4"/>
  <c r="I5409" i="4"/>
  <c r="I5408" i="4"/>
  <c r="I5407" i="4"/>
  <c r="I5406" i="4"/>
  <c r="I5405" i="4"/>
  <c r="I5404" i="4"/>
  <c r="I5403" i="4"/>
  <c r="I5402" i="4"/>
  <c r="I5401" i="4"/>
  <c r="I5400" i="4"/>
  <c r="I5399" i="4"/>
  <c r="I5398" i="4"/>
  <c r="I5397" i="4"/>
  <c r="I5396" i="4"/>
  <c r="I5395" i="4"/>
  <c r="I5394" i="4"/>
  <c r="I5393" i="4"/>
  <c r="I5392" i="4"/>
  <c r="I5391" i="4"/>
  <c r="I5390" i="4"/>
  <c r="I5389" i="4"/>
  <c r="I5388" i="4"/>
  <c r="I5387" i="4"/>
  <c r="I5386" i="4"/>
  <c r="I5385" i="4"/>
  <c r="I5384" i="4"/>
  <c r="I5383" i="4"/>
  <c r="I5382" i="4"/>
  <c r="I5381" i="4"/>
  <c r="I5380" i="4"/>
  <c r="I5379" i="4"/>
  <c r="I5378" i="4"/>
  <c r="I5377" i="4"/>
  <c r="I5376" i="4"/>
  <c r="I5375" i="4"/>
  <c r="I5374" i="4"/>
  <c r="I5373" i="4"/>
  <c r="I5372" i="4"/>
  <c r="I5371" i="4"/>
  <c r="I5370" i="4"/>
  <c r="I5369" i="4"/>
  <c r="I5368" i="4"/>
  <c r="I5367" i="4"/>
  <c r="I5366" i="4"/>
  <c r="I5365" i="4"/>
  <c r="I5364" i="4"/>
  <c r="I5363" i="4"/>
  <c r="I5362" i="4"/>
  <c r="I5361" i="4"/>
  <c r="I5360" i="4"/>
  <c r="I5359" i="4"/>
  <c r="I5358" i="4"/>
  <c r="I5357" i="4"/>
  <c r="I5356" i="4"/>
  <c r="I5355" i="4"/>
  <c r="I5354" i="4"/>
  <c r="I5353" i="4"/>
  <c r="I5352" i="4"/>
  <c r="I5351" i="4"/>
  <c r="I5350" i="4"/>
  <c r="I5349" i="4"/>
  <c r="I5348" i="4"/>
  <c r="I5347" i="4"/>
  <c r="I5346" i="4"/>
  <c r="I5345" i="4"/>
  <c r="I5344" i="4"/>
  <c r="I5343" i="4"/>
  <c r="I5342" i="4"/>
  <c r="I5341" i="4"/>
  <c r="I5340" i="4"/>
  <c r="I5339" i="4"/>
  <c r="I5338" i="4"/>
  <c r="I5337" i="4"/>
  <c r="I5336" i="4"/>
  <c r="I5335" i="4"/>
  <c r="I5334" i="4"/>
  <c r="I5333" i="4"/>
  <c r="I5332" i="4"/>
  <c r="I5331" i="4"/>
  <c r="I5330" i="4"/>
  <c r="I5329" i="4"/>
  <c r="I5328" i="4"/>
  <c r="I5327" i="4"/>
  <c r="I5326" i="4"/>
  <c r="I5325" i="4"/>
  <c r="I5324" i="4"/>
  <c r="I5323" i="4"/>
  <c r="I5322" i="4"/>
  <c r="I5321" i="4"/>
  <c r="I5320" i="4"/>
  <c r="I5319" i="4"/>
  <c r="I5318" i="4"/>
  <c r="I5317" i="4"/>
  <c r="I5316" i="4"/>
  <c r="I5315" i="4"/>
  <c r="I5314" i="4"/>
  <c r="I5313" i="4"/>
  <c r="I5312" i="4"/>
  <c r="I5311" i="4"/>
  <c r="I5310" i="4"/>
  <c r="I5309" i="4"/>
  <c r="I5308" i="4"/>
  <c r="I5307" i="4"/>
  <c r="I5306" i="4"/>
  <c r="I5305" i="4"/>
  <c r="I5304" i="4"/>
  <c r="I5303" i="4"/>
  <c r="I5302" i="4"/>
  <c r="I5301" i="4"/>
  <c r="I5300" i="4"/>
  <c r="I5299" i="4"/>
  <c r="I5298" i="4"/>
  <c r="I5297" i="4"/>
  <c r="I5296" i="4"/>
  <c r="I5295" i="4"/>
  <c r="I5294" i="4"/>
  <c r="I5293" i="4"/>
  <c r="I5292" i="4"/>
  <c r="I5291" i="4"/>
  <c r="I5290" i="4"/>
  <c r="I5289" i="4"/>
  <c r="I5288" i="4"/>
  <c r="I5287" i="4"/>
  <c r="I5286" i="4"/>
  <c r="I5285" i="4"/>
  <c r="I5284" i="4"/>
  <c r="I5283" i="4"/>
  <c r="I5282" i="4"/>
  <c r="I5281" i="4"/>
  <c r="I5280" i="4"/>
  <c r="I5279" i="4"/>
  <c r="I5278" i="4"/>
  <c r="I5277" i="4"/>
  <c r="I5276" i="4"/>
  <c r="I5275" i="4"/>
  <c r="I5274" i="4"/>
  <c r="I5273" i="4"/>
  <c r="I5272" i="4"/>
  <c r="I5271" i="4"/>
  <c r="I5270" i="4"/>
  <c r="I5269" i="4"/>
  <c r="I5268" i="4"/>
  <c r="I5267" i="4"/>
  <c r="I5266" i="4"/>
  <c r="I5265" i="4"/>
  <c r="I5264" i="4"/>
  <c r="I5263" i="4"/>
  <c r="I5262" i="4"/>
  <c r="I5261" i="4"/>
  <c r="I5260" i="4"/>
  <c r="I5259" i="4"/>
  <c r="I5258" i="4"/>
  <c r="I5257" i="4"/>
  <c r="I5256" i="4"/>
  <c r="I5255" i="4"/>
  <c r="I5254" i="4"/>
  <c r="I5253" i="4"/>
  <c r="I5252" i="4"/>
  <c r="I5251" i="4"/>
  <c r="I5250" i="4"/>
  <c r="I5249" i="4"/>
  <c r="I5248" i="4"/>
  <c r="I5247" i="4"/>
  <c r="I5246" i="4"/>
  <c r="I5245" i="4"/>
  <c r="I5244" i="4"/>
  <c r="I5243" i="4"/>
  <c r="I5242" i="4"/>
  <c r="I5241" i="4"/>
  <c r="I5240" i="4"/>
  <c r="I5239" i="4"/>
  <c r="I5238" i="4"/>
  <c r="I5237" i="4"/>
  <c r="I5236" i="4"/>
  <c r="I5235" i="4"/>
  <c r="I5234" i="4"/>
  <c r="I5233" i="4"/>
  <c r="I5232" i="4"/>
  <c r="I5231" i="4"/>
  <c r="I5230" i="4"/>
  <c r="I5229" i="4"/>
  <c r="I5228" i="4"/>
  <c r="I5227" i="4"/>
  <c r="I5226" i="4"/>
  <c r="I5225" i="4"/>
  <c r="I5224" i="4"/>
  <c r="I5223" i="4"/>
  <c r="I5222" i="4"/>
  <c r="I5221" i="4"/>
  <c r="I5220" i="4"/>
  <c r="I5219" i="4"/>
  <c r="I5218" i="4"/>
  <c r="I5217" i="4"/>
  <c r="I5216" i="4"/>
  <c r="I5215" i="4"/>
  <c r="I5214" i="4"/>
  <c r="I5213" i="4"/>
  <c r="I5212" i="4"/>
  <c r="I5211" i="4"/>
  <c r="I5210" i="4"/>
  <c r="I5209" i="4"/>
  <c r="I5208" i="4"/>
  <c r="I5207" i="4"/>
  <c r="I5206" i="4"/>
  <c r="I5205" i="4"/>
  <c r="I5204" i="4"/>
  <c r="I5203" i="4"/>
  <c r="I5202" i="4"/>
  <c r="I5201" i="4"/>
  <c r="I5200" i="4"/>
  <c r="I5199" i="4"/>
  <c r="I5198" i="4"/>
  <c r="I5197" i="4"/>
  <c r="I5196" i="4"/>
  <c r="I5195" i="4"/>
  <c r="I5194" i="4"/>
  <c r="I5193" i="4"/>
  <c r="I5192" i="4"/>
  <c r="I5191" i="4"/>
  <c r="I5190" i="4"/>
  <c r="I5189" i="4"/>
  <c r="I5188" i="4"/>
  <c r="I5187" i="4"/>
  <c r="I5186" i="4"/>
  <c r="I5185" i="4"/>
  <c r="I5184" i="4"/>
  <c r="I5183" i="4"/>
  <c r="I5182" i="4"/>
  <c r="I5181" i="4"/>
  <c r="I5180" i="4"/>
  <c r="I5179" i="4"/>
  <c r="I5178" i="4"/>
  <c r="I5177" i="4"/>
  <c r="I5176" i="4"/>
  <c r="I5175" i="4"/>
  <c r="I5174" i="4"/>
  <c r="I5173" i="4"/>
  <c r="I5172" i="4"/>
  <c r="I5171" i="4"/>
  <c r="I5170" i="4"/>
  <c r="I5169" i="4"/>
  <c r="I5168" i="4"/>
  <c r="I5167" i="4"/>
  <c r="I5166" i="4"/>
  <c r="I5165" i="4"/>
  <c r="I5164" i="4"/>
  <c r="I5163" i="4"/>
  <c r="I5162" i="4"/>
  <c r="I5161" i="4"/>
  <c r="I5160" i="4"/>
  <c r="I5159" i="4"/>
  <c r="I5158" i="4"/>
  <c r="I5157" i="4"/>
  <c r="I5156" i="4"/>
  <c r="I5155" i="4"/>
  <c r="I5154" i="4"/>
  <c r="I5153" i="4"/>
  <c r="I5152" i="4"/>
  <c r="I5151" i="4"/>
  <c r="I5150" i="4"/>
  <c r="I5149" i="4"/>
  <c r="I5148" i="4"/>
  <c r="I5147" i="4"/>
  <c r="I5146" i="4"/>
  <c r="I5145" i="4"/>
  <c r="I5144" i="4"/>
  <c r="I5143" i="4"/>
  <c r="I5142" i="4"/>
  <c r="I5141" i="4"/>
  <c r="I5140" i="4"/>
  <c r="I5139" i="4"/>
  <c r="I5138" i="4"/>
  <c r="I5137" i="4"/>
  <c r="I5136" i="4"/>
  <c r="I5135" i="4"/>
  <c r="I5134" i="4"/>
  <c r="I5133" i="4"/>
  <c r="I5132" i="4"/>
  <c r="I5131" i="4"/>
  <c r="I5130" i="4"/>
  <c r="I5129" i="4"/>
  <c r="I5128" i="4"/>
  <c r="I5127" i="4"/>
  <c r="I5126" i="4"/>
  <c r="I5125" i="4"/>
  <c r="I5124" i="4"/>
  <c r="I5123" i="4"/>
  <c r="I5122" i="4"/>
  <c r="I5121" i="4"/>
  <c r="I5120" i="4"/>
  <c r="I5119" i="4"/>
  <c r="I5118" i="4"/>
  <c r="I5117" i="4"/>
  <c r="I5116" i="4"/>
  <c r="I5115" i="4"/>
  <c r="I5114" i="4"/>
  <c r="I5113" i="4"/>
  <c r="I5112" i="4"/>
  <c r="I5111" i="4"/>
  <c r="I5110" i="4"/>
  <c r="I5109" i="4"/>
  <c r="I5108" i="4"/>
  <c r="I5107" i="4"/>
  <c r="I5106" i="4"/>
  <c r="I5105" i="4"/>
  <c r="I5104" i="4"/>
  <c r="I5103" i="4"/>
  <c r="I5102" i="4"/>
  <c r="I5101" i="4"/>
  <c r="I5100" i="4"/>
  <c r="I5099" i="4"/>
  <c r="I5098" i="4"/>
  <c r="I5097" i="4"/>
  <c r="I5096" i="4"/>
  <c r="I5095" i="4"/>
  <c r="I5094" i="4"/>
  <c r="I5093" i="4"/>
  <c r="I5092" i="4"/>
  <c r="I5091" i="4"/>
  <c r="I5090" i="4"/>
  <c r="I5089" i="4"/>
  <c r="I5088" i="4"/>
  <c r="I5087" i="4"/>
  <c r="I5086" i="4"/>
  <c r="I5085" i="4"/>
  <c r="I5084" i="4"/>
  <c r="I5083" i="4"/>
  <c r="I5082" i="4"/>
  <c r="I5081" i="4"/>
  <c r="I5080" i="4"/>
  <c r="I5079" i="4"/>
  <c r="I5078" i="4"/>
  <c r="I5077" i="4"/>
  <c r="I5076" i="4"/>
  <c r="I5075" i="4"/>
  <c r="I5074" i="4"/>
  <c r="I5073" i="4"/>
  <c r="I5072" i="4"/>
  <c r="I5071" i="4"/>
  <c r="I5070" i="4"/>
  <c r="I5069" i="4"/>
  <c r="I5068" i="4"/>
  <c r="I5067" i="4"/>
  <c r="I5066" i="4"/>
  <c r="I5065" i="4"/>
  <c r="I5064" i="4"/>
  <c r="I5063" i="4"/>
  <c r="I5062" i="4"/>
  <c r="I5061" i="4"/>
  <c r="I5060" i="4"/>
  <c r="I5059" i="4"/>
  <c r="I5058" i="4"/>
  <c r="I5057" i="4"/>
  <c r="I5056" i="4"/>
  <c r="I5055" i="4"/>
  <c r="I5054" i="4"/>
  <c r="I5053" i="4"/>
  <c r="I5052" i="4"/>
  <c r="I5051" i="4"/>
  <c r="I5050" i="4"/>
  <c r="I5049" i="4"/>
  <c r="I5048" i="4"/>
  <c r="I5047" i="4"/>
  <c r="I5046" i="4"/>
  <c r="I5045" i="4"/>
  <c r="I5044" i="4"/>
  <c r="I5043" i="4"/>
  <c r="I5042" i="4"/>
  <c r="I5041" i="4"/>
  <c r="I5040" i="4"/>
  <c r="I5039" i="4"/>
  <c r="I5038" i="4"/>
  <c r="I5037" i="4"/>
  <c r="I5036" i="4"/>
  <c r="I5035" i="4"/>
  <c r="I5034" i="4"/>
  <c r="I5033" i="4"/>
  <c r="I5032" i="4"/>
  <c r="I5031" i="4"/>
  <c r="I5030" i="4"/>
  <c r="I5029" i="4"/>
  <c r="I5028" i="4"/>
  <c r="I5027" i="4"/>
  <c r="I5026" i="4"/>
  <c r="I5025" i="4"/>
  <c r="I5024" i="4"/>
  <c r="I5023" i="4"/>
  <c r="I5022" i="4"/>
  <c r="I5021" i="4"/>
  <c r="I5020" i="4"/>
  <c r="I5019" i="4"/>
  <c r="I5018" i="4"/>
  <c r="I5017" i="4"/>
  <c r="I5016" i="4"/>
  <c r="I5015" i="4"/>
  <c r="I5014" i="4"/>
  <c r="I5013" i="4"/>
  <c r="I5012" i="4"/>
  <c r="I5011" i="4"/>
  <c r="I5010" i="4"/>
  <c r="I5009" i="4"/>
  <c r="I5008" i="4"/>
  <c r="I5007" i="4"/>
  <c r="I5006" i="4"/>
  <c r="I5005" i="4"/>
  <c r="I5004" i="4"/>
  <c r="I5003" i="4"/>
  <c r="I5002" i="4"/>
  <c r="I5001" i="4"/>
  <c r="I5000" i="4"/>
  <c r="I4999" i="4"/>
  <c r="I4998" i="4"/>
  <c r="I4997" i="4"/>
  <c r="I4996" i="4"/>
  <c r="I4995" i="4"/>
  <c r="I4994" i="4"/>
  <c r="I4993" i="4"/>
  <c r="I4992" i="4"/>
  <c r="I4991" i="4"/>
  <c r="I4990" i="4"/>
  <c r="I4989" i="4"/>
  <c r="I4988" i="4"/>
  <c r="I4987" i="4"/>
  <c r="I4986" i="4"/>
  <c r="I4985" i="4"/>
  <c r="I4984" i="4"/>
  <c r="I4983" i="4"/>
  <c r="I4982" i="4"/>
  <c r="I4981" i="4"/>
  <c r="I4980" i="4"/>
  <c r="I4979" i="4"/>
  <c r="I4978" i="4"/>
  <c r="I4977" i="4"/>
  <c r="I4976" i="4"/>
  <c r="I4975" i="4"/>
  <c r="I4974" i="4"/>
  <c r="I4973" i="4"/>
  <c r="I4972" i="4"/>
  <c r="I4971" i="4"/>
  <c r="I4970" i="4"/>
  <c r="I4969" i="4"/>
  <c r="I4968" i="4"/>
  <c r="I4967" i="4"/>
  <c r="I4966" i="4"/>
  <c r="I4965" i="4"/>
  <c r="I4964" i="4"/>
  <c r="I4963" i="4"/>
  <c r="I4962" i="4"/>
  <c r="I4961" i="4"/>
  <c r="I4960" i="4"/>
  <c r="I4959" i="4"/>
  <c r="I4958" i="4"/>
  <c r="I4957" i="4"/>
  <c r="I4956" i="4"/>
  <c r="I4955" i="4"/>
  <c r="I4954" i="4"/>
  <c r="I4953" i="4"/>
  <c r="I4952" i="4"/>
  <c r="I4951" i="4"/>
  <c r="I4950" i="4"/>
  <c r="I4949" i="4"/>
  <c r="I4948" i="4"/>
  <c r="I4947" i="4"/>
  <c r="I4946" i="4"/>
  <c r="I4945" i="4"/>
  <c r="I4944" i="4"/>
  <c r="I4943" i="4"/>
  <c r="I4942" i="4"/>
  <c r="I4941" i="4"/>
  <c r="I4940" i="4"/>
  <c r="I4939" i="4"/>
  <c r="I4938" i="4"/>
  <c r="I4937" i="4"/>
  <c r="I4936" i="4"/>
  <c r="I4935" i="4"/>
  <c r="I4934" i="4"/>
  <c r="I4933" i="4"/>
  <c r="I4932" i="4"/>
  <c r="I4931" i="4"/>
  <c r="I4930" i="4"/>
  <c r="I4929" i="4"/>
  <c r="I4928" i="4"/>
  <c r="I4927" i="4"/>
  <c r="I4926" i="4"/>
  <c r="I4925" i="4"/>
  <c r="I4924" i="4"/>
  <c r="I4923" i="4"/>
  <c r="I4922" i="4"/>
  <c r="I4921" i="4"/>
  <c r="I4920" i="4"/>
  <c r="I4919" i="4"/>
  <c r="I4918" i="4"/>
  <c r="I4917" i="4"/>
  <c r="I4916" i="4"/>
  <c r="I4915" i="4"/>
  <c r="I4914" i="4"/>
  <c r="I4913" i="4"/>
  <c r="I4912" i="4"/>
  <c r="I4911" i="4"/>
  <c r="I4910" i="4"/>
  <c r="I4909" i="4"/>
  <c r="I4908" i="4"/>
  <c r="I4907" i="4"/>
  <c r="I4906" i="4"/>
  <c r="I4905" i="4"/>
  <c r="I4904" i="4"/>
  <c r="I4903" i="4"/>
  <c r="I4902" i="4"/>
  <c r="I4901" i="4"/>
  <c r="I4900" i="4"/>
  <c r="I4899" i="4"/>
  <c r="I4898" i="4"/>
  <c r="I4897" i="4"/>
  <c r="I4896" i="4"/>
  <c r="I4895" i="4"/>
  <c r="I4894" i="4"/>
  <c r="I4893" i="4"/>
  <c r="I4892" i="4"/>
  <c r="I4891" i="4"/>
  <c r="I4890" i="4"/>
  <c r="I4889" i="4"/>
  <c r="I4888" i="4"/>
  <c r="I4887" i="4"/>
  <c r="I4886" i="4"/>
  <c r="I4885" i="4"/>
  <c r="I4884" i="4"/>
  <c r="I4883" i="4"/>
  <c r="I4882" i="4"/>
  <c r="I4881" i="4"/>
  <c r="I4880" i="4"/>
  <c r="I4879" i="4"/>
  <c r="I4878" i="4"/>
  <c r="I4877" i="4"/>
  <c r="I4876" i="4"/>
  <c r="I4875" i="4"/>
  <c r="I4874" i="4"/>
  <c r="I4873" i="4"/>
  <c r="I4872" i="4"/>
  <c r="I4871" i="4"/>
  <c r="I4870" i="4"/>
  <c r="I4869" i="4"/>
  <c r="I4868" i="4"/>
  <c r="I4867" i="4"/>
  <c r="I4866" i="4"/>
  <c r="I4865" i="4"/>
  <c r="I4864" i="4"/>
  <c r="I4863" i="4"/>
  <c r="I4862" i="4"/>
  <c r="I4861" i="4"/>
  <c r="I4860" i="4"/>
  <c r="I4859" i="4"/>
  <c r="I4858" i="4"/>
  <c r="I4857" i="4"/>
  <c r="I4856" i="4"/>
  <c r="I4855" i="4"/>
  <c r="I4854" i="4"/>
  <c r="I4853" i="4"/>
  <c r="I4852" i="4"/>
  <c r="I4851" i="4"/>
  <c r="I4850" i="4"/>
  <c r="I4849" i="4"/>
  <c r="I4848" i="4"/>
  <c r="I4847" i="4"/>
  <c r="I4846" i="4"/>
  <c r="I4845" i="4"/>
  <c r="I4844" i="4"/>
  <c r="I4843" i="4"/>
  <c r="I4842" i="4"/>
  <c r="I4841" i="4"/>
  <c r="I4840" i="4"/>
  <c r="I4839" i="4"/>
  <c r="I4838" i="4"/>
  <c r="I4837" i="4"/>
  <c r="I4836" i="4"/>
  <c r="I4835" i="4"/>
  <c r="I4834" i="4"/>
  <c r="I4833" i="4"/>
  <c r="I4832" i="4"/>
  <c r="I4831" i="4"/>
  <c r="I4830" i="4"/>
  <c r="I4829" i="4"/>
  <c r="I4828" i="4"/>
  <c r="I4827" i="4"/>
  <c r="I4826" i="4"/>
  <c r="I4825" i="4"/>
  <c r="I4824" i="4"/>
  <c r="I4823" i="4"/>
  <c r="I4822" i="4"/>
  <c r="I4821" i="4"/>
  <c r="I4820" i="4"/>
  <c r="I4819" i="4"/>
  <c r="I4818" i="4"/>
  <c r="I4817" i="4"/>
  <c r="I4816" i="4"/>
  <c r="I4815" i="4"/>
  <c r="I4814" i="4"/>
  <c r="I4813" i="4"/>
  <c r="I4812" i="4"/>
  <c r="I4811" i="4"/>
  <c r="I4810" i="4"/>
  <c r="I4809" i="4"/>
  <c r="I4808" i="4"/>
  <c r="I4807" i="4"/>
  <c r="I4806" i="4"/>
  <c r="I4805" i="4"/>
  <c r="I4804" i="4"/>
  <c r="I4803" i="4"/>
  <c r="I4802" i="4"/>
  <c r="I4801" i="4"/>
  <c r="I4800" i="4"/>
  <c r="I4799" i="4"/>
  <c r="I4798" i="4"/>
  <c r="I4797" i="4"/>
  <c r="I4796" i="4"/>
  <c r="I4795" i="4"/>
  <c r="I4794" i="4"/>
  <c r="I4793" i="4"/>
  <c r="I4792" i="4"/>
  <c r="I4791" i="4"/>
  <c r="I4790" i="4"/>
  <c r="I4789" i="4"/>
  <c r="I4788" i="4"/>
  <c r="I4787" i="4"/>
  <c r="I4786" i="4"/>
  <c r="I4785" i="4"/>
  <c r="I4784" i="4"/>
  <c r="I4783" i="4"/>
  <c r="I4782" i="4"/>
  <c r="I4781" i="4"/>
  <c r="I4780" i="4"/>
  <c r="I4779" i="4"/>
  <c r="I4778" i="4"/>
  <c r="I4777" i="4"/>
  <c r="I4776" i="4"/>
  <c r="I4775" i="4"/>
  <c r="I4774" i="4"/>
  <c r="I4773" i="4"/>
  <c r="I4772" i="4"/>
  <c r="I4771" i="4"/>
  <c r="I4770" i="4"/>
  <c r="I4769" i="4"/>
  <c r="I4768" i="4"/>
  <c r="I4767" i="4"/>
  <c r="I4766" i="4"/>
  <c r="I4765" i="4"/>
  <c r="I4764" i="4"/>
  <c r="I4763" i="4"/>
  <c r="I4762" i="4"/>
  <c r="I4761" i="4"/>
  <c r="I4760" i="4"/>
  <c r="I4759" i="4"/>
  <c r="I4758" i="4"/>
  <c r="I4757" i="4"/>
  <c r="I4756" i="4"/>
  <c r="I4755" i="4"/>
  <c r="I4754" i="4"/>
  <c r="I4753" i="4"/>
  <c r="I4752" i="4"/>
  <c r="I4751" i="4"/>
  <c r="I4750" i="4"/>
  <c r="I4749" i="4"/>
  <c r="I4748" i="4"/>
  <c r="I4747" i="4"/>
  <c r="I4746" i="4"/>
  <c r="I4745" i="4"/>
  <c r="I4744" i="4"/>
  <c r="I4743" i="4"/>
  <c r="I4742" i="4"/>
  <c r="I4741" i="4"/>
  <c r="I4740" i="4"/>
  <c r="I4739" i="4"/>
  <c r="I4738" i="4"/>
  <c r="I4737" i="4"/>
  <c r="I4736" i="4"/>
  <c r="I4735" i="4"/>
  <c r="I4734" i="4"/>
  <c r="I4733" i="4"/>
  <c r="I4732" i="4"/>
  <c r="I4731" i="4"/>
  <c r="I4730" i="4"/>
  <c r="I4729" i="4"/>
  <c r="I4728" i="4"/>
  <c r="I4727" i="4"/>
  <c r="I4726" i="4"/>
  <c r="I4725" i="4"/>
  <c r="I4724" i="4"/>
  <c r="I4723" i="4"/>
  <c r="I4722" i="4"/>
  <c r="I4721" i="4"/>
  <c r="I4720" i="4"/>
  <c r="I4719" i="4"/>
  <c r="I4718" i="4"/>
  <c r="I4717" i="4"/>
  <c r="I4716" i="4"/>
  <c r="I4715" i="4"/>
  <c r="I4714" i="4"/>
  <c r="I4713" i="4"/>
  <c r="I4712" i="4"/>
  <c r="I4711" i="4"/>
  <c r="I4710" i="4"/>
  <c r="I4709" i="4"/>
  <c r="I4708" i="4"/>
  <c r="I4707" i="4"/>
  <c r="I4706" i="4"/>
  <c r="I4705" i="4"/>
  <c r="I4704" i="4"/>
  <c r="I4703" i="4"/>
  <c r="I4702" i="4"/>
  <c r="I4701" i="4"/>
  <c r="I4700" i="4"/>
  <c r="I4699" i="4"/>
  <c r="I4698" i="4"/>
  <c r="I4697" i="4"/>
  <c r="I4696" i="4"/>
  <c r="I4695" i="4"/>
  <c r="I4694" i="4"/>
  <c r="I4693" i="4"/>
  <c r="I4692" i="4"/>
  <c r="I4691" i="4"/>
  <c r="I4690" i="4"/>
  <c r="I4689" i="4"/>
  <c r="I4688" i="4"/>
  <c r="I4687" i="4"/>
  <c r="I4686" i="4"/>
  <c r="I4685" i="4"/>
  <c r="I4684" i="4"/>
  <c r="I4683" i="4"/>
  <c r="I4682" i="4"/>
  <c r="I4681" i="4"/>
  <c r="I4680" i="4"/>
  <c r="I4679" i="4"/>
  <c r="I4678" i="4"/>
  <c r="I4677" i="4"/>
  <c r="I4676" i="4"/>
  <c r="I4675" i="4"/>
  <c r="I4674" i="4"/>
  <c r="I4673" i="4"/>
  <c r="I4672" i="4"/>
  <c r="I4671" i="4"/>
  <c r="I4670" i="4"/>
  <c r="I4669" i="4"/>
  <c r="I4668" i="4"/>
  <c r="I4667" i="4"/>
  <c r="I4666" i="4"/>
  <c r="I4665" i="4"/>
  <c r="I4664" i="4"/>
  <c r="I4663" i="4"/>
  <c r="I4662" i="4"/>
  <c r="I4661" i="4"/>
  <c r="I4660" i="4"/>
  <c r="I4659" i="4"/>
  <c r="I4658" i="4"/>
  <c r="I4657" i="4"/>
  <c r="I4656" i="4"/>
  <c r="I4655" i="4"/>
  <c r="I4654" i="4"/>
  <c r="I4653" i="4"/>
  <c r="I4652" i="4"/>
  <c r="I4651" i="4"/>
  <c r="I4650" i="4"/>
  <c r="I4649" i="4"/>
  <c r="I4648" i="4"/>
  <c r="I4647" i="4"/>
  <c r="I4646" i="4"/>
  <c r="I4645" i="4"/>
  <c r="I4644" i="4"/>
  <c r="I4643" i="4"/>
  <c r="I4642" i="4"/>
  <c r="I4641" i="4"/>
  <c r="I4640" i="4"/>
  <c r="I4639" i="4"/>
  <c r="I4638" i="4"/>
  <c r="I4637" i="4"/>
  <c r="I4636" i="4"/>
  <c r="I4635" i="4"/>
  <c r="I4634" i="4"/>
  <c r="I4633" i="4"/>
  <c r="I4632" i="4"/>
  <c r="I4631" i="4"/>
  <c r="I4630" i="4"/>
  <c r="I4629" i="4"/>
  <c r="I4628" i="4"/>
  <c r="I4627" i="4"/>
  <c r="I4626" i="4"/>
  <c r="I4625" i="4"/>
  <c r="I4624" i="4"/>
  <c r="I4623" i="4"/>
  <c r="I4622" i="4"/>
  <c r="I4621" i="4"/>
  <c r="I4620" i="4"/>
  <c r="I4619" i="4"/>
  <c r="I4618" i="4"/>
  <c r="I4617" i="4"/>
  <c r="I4616" i="4"/>
  <c r="I4615" i="4"/>
  <c r="I4614" i="4"/>
  <c r="I4613" i="4"/>
  <c r="I4612" i="4"/>
  <c r="I4611" i="4"/>
  <c r="I4610" i="4"/>
  <c r="I4609" i="4"/>
  <c r="I4608" i="4"/>
  <c r="I4607" i="4"/>
  <c r="I4606" i="4"/>
  <c r="I4605" i="4"/>
  <c r="I4604" i="4"/>
  <c r="I4603" i="4"/>
  <c r="I4602" i="4"/>
  <c r="I4601" i="4"/>
  <c r="I4600" i="4"/>
  <c r="I4599" i="4"/>
  <c r="I4598" i="4"/>
  <c r="I4597" i="4"/>
  <c r="I4596" i="4"/>
  <c r="I4595" i="4"/>
  <c r="I4594" i="4"/>
  <c r="I4593" i="4"/>
  <c r="I4592" i="4"/>
  <c r="I4591" i="4"/>
  <c r="I4590" i="4"/>
  <c r="I4589" i="4"/>
  <c r="I4588" i="4"/>
  <c r="I4587" i="4"/>
  <c r="I4586" i="4"/>
  <c r="I4585" i="4"/>
  <c r="I4584" i="4"/>
  <c r="I4583" i="4"/>
  <c r="I4582" i="4"/>
  <c r="I4581" i="4"/>
  <c r="I4580" i="4"/>
  <c r="I4579" i="4"/>
  <c r="I4578" i="4"/>
  <c r="I4577" i="4"/>
  <c r="I4576" i="4"/>
  <c r="I4575" i="4"/>
  <c r="I4574" i="4"/>
  <c r="I4573" i="4"/>
  <c r="I4572" i="4"/>
  <c r="I4571" i="4"/>
  <c r="I4570" i="4"/>
  <c r="I4569" i="4"/>
  <c r="I4568" i="4"/>
  <c r="I4567" i="4"/>
  <c r="I4566" i="4"/>
  <c r="I4565" i="4"/>
  <c r="I4564" i="4"/>
  <c r="I4563" i="4"/>
  <c r="I4562" i="4"/>
  <c r="I4561" i="4"/>
  <c r="I4560" i="4"/>
  <c r="I4559" i="4"/>
  <c r="I4558" i="4"/>
  <c r="I4557" i="4"/>
  <c r="I4556" i="4"/>
  <c r="I4555" i="4"/>
  <c r="I4554" i="4"/>
  <c r="I4553" i="4"/>
  <c r="I4552" i="4"/>
  <c r="I4551" i="4"/>
  <c r="I4550" i="4"/>
  <c r="I4549" i="4"/>
  <c r="I4548" i="4"/>
  <c r="I4547" i="4"/>
  <c r="I4546" i="4"/>
  <c r="I4545" i="4"/>
  <c r="I4544" i="4"/>
  <c r="I4543" i="4"/>
  <c r="I4542" i="4"/>
  <c r="I4541" i="4"/>
  <c r="I4540" i="4"/>
  <c r="I4539" i="4"/>
  <c r="I4538" i="4"/>
  <c r="I4537" i="4"/>
  <c r="I4536" i="4"/>
  <c r="I4535" i="4"/>
  <c r="I4534" i="4"/>
  <c r="I4533" i="4"/>
  <c r="I4532" i="4"/>
  <c r="I4531" i="4"/>
  <c r="I4530" i="4"/>
  <c r="I4529" i="4"/>
  <c r="I4528" i="4"/>
  <c r="I4527" i="4"/>
  <c r="I4526" i="4"/>
  <c r="I4525" i="4"/>
  <c r="I4524" i="4"/>
  <c r="I4523" i="4"/>
  <c r="I4522" i="4"/>
  <c r="I4521" i="4"/>
  <c r="I4520" i="4"/>
  <c r="I4519" i="4"/>
  <c r="I4518" i="4"/>
  <c r="I4517" i="4"/>
  <c r="I4516" i="4"/>
  <c r="I4515" i="4"/>
  <c r="I4514" i="4"/>
  <c r="I4513" i="4"/>
  <c r="I4512" i="4"/>
  <c r="I4511" i="4"/>
  <c r="I4510" i="4"/>
  <c r="I4509" i="4"/>
  <c r="I4508" i="4"/>
  <c r="I4507" i="4"/>
  <c r="I4506" i="4"/>
  <c r="I4505" i="4"/>
  <c r="I4504" i="4"/>
  <c r="I4503" i="4"/>
  <c r="I4502" i="4"/>
  <c r="I4501" i="4"/>
  <c r="I4500" i="4"/>
  <c r="I4499" i="4"/>
  <c r="I4498" i="4"/>
  <c r="I4497" i="4"/>
  <c r="I4496" i="4"/>
  <c r="I4495" i="4"/>
  <c r="I4494" i="4"/>
  <c r="I4493" i="4"/>
  <c r="I4492" i="4"/>
  <c r="I4491" i="4"/>
  <c r="I4490" i="4"/>
  <c r="I4489" i="4"/>
  <c r="I4488" i="4"/>
  <c r="I4487" i="4"/>
  <c r="I4486" i="4"/>
  <c r="I4485" i="4"/>
  <c r="I4484" i="4"/>
  <c r="I4483" i="4"/>
  <c r="I4482" i="4"/>
  <c r="I4481" i="4"/>
  <c r="I4480" i="4"/>
  <c r="I4479" i="4"/>
  <c r="I4478" i="4"/>
  <c r="I4477" i="4"/>
  <c r="I4476" i="4"/>
  <c r="I4475" i="4"/>
  <c r="I4474" i="4"/>
  <c r="I4473" i="4"/>
  <c r="I4472" i="4"/>
  <c r="I4471" i="4"/>
  <c r="I4470" i="4"/>
  <c r="I4469" i="4"/>
  <c r="I4468" i="4"/>
  <c r="I4467" i="4"/>
  <c r="I4466" i="4"/>
  <c r="I4465" i="4"/>
  <c r="I4464" i="4"/>
  <c r="I4463" i="4"/>
  <c r="I4462" i="4"/>
  <c r="I4461" i="4"/>
  <c r="I4460" i="4"/>
  <c r="I4459" i="4"/>
  <c r="I4458" i="4"/>
  <c r="I4457" i="4"/>
  <c r="I4456" i="4"/>
  <c r="I4455" i="4"/>
  <c r="I4454" i="4"/>
  <c r="I4453" i="4"/>
  <c r="I4452" i="4"/>
  <c r="I4451" i="4"/>
  <c r="I4450" i="4"/>
  <c r="I4449" i="4"/>
  <c r="I4448" i="4"/>
  <c r="I4447" i="4"/>
  <c r="I4446" i="4"/>
  <c r="I4445" i="4"/>
  <c r="I4444" i="4"/>
  <c r="I4443" i="4"/>
  <c r="I4442" i="4"/>
  <c r="I4441" i="4"/>
  <c r="I4440" i="4"/>
  <c r="I4439" i="4"/>
  <c r="I4438" i="4"/>
  <c r="I4437" i="4"/>
  <c r="I4436" i="4"/>
  <c r="I4435" i="4"/>
  <c r="I4434" i="4"/>
  <c r="I4433" i="4"/>
  <c r="I4432" i="4"/>
  <c r="I4431" i="4"/>
  <c r="I4430" i="4"/>
  <c r="I4429" i="4"/>
  <c r="I4428" i="4"/>
  <c r="I4427" i="4"/>
  <c r="I4426" i="4"/>
  <c r="I4425" i="4"/>
  <c r="I4424" i="4"/>
  <c r="I4423" i="4"/>
  <c r="I4422" i="4"/>
  <c r="I4421" i="4"/>
  <c r="I4420" i="4"/>
  <c r="I4419" i="4"/>
  <c r="I4418" i="4"/>
  <c r="I4417" i="4"/>
  <c r="I4416" i="4"/>
  <c r="I4415" i="4"/>
  <c r="I4414" i="4"/>
  <c r="I4413" i="4"/>
  <c r="I4412" i="4"/>
  <c r="I4411" i="4"/>
  <c r="I4410" i="4"/>
  <c r="I4409" i="4"/>
  <c r="I4408" i="4"/>
  <c r="I4407" i="4"/>
  <c r="I4406" i="4"/>
  <c r="I4405" i="4"/>
  <c r="I4404" i="4"/>
  <c r="I4403" i="4"/>
  <c r="I4402" i="4"/>
  <c r="I4401" i="4"/>
  <c r="I4400" i="4"/>
  <c r="I4399" i="4"/>
  <c r="I4398" i="4"/>
  <c r="I4397" i="4"/>
  <c r="I4396" i="4"/>
  <c r="I4395" i="4"/>
  <c r="I4394" i="4"/>
  <c r="I4393" i="4"/>
  <c r="I4392" i="4"/>
  <c r="I4391" i="4"/>
  <c r="I4390" i="4"/>
  <c r="I4389" i="4"/>
  <c r="I4388" i="4"/>
  <c r="I4387" i="4"/>
  <c r="I4386" i="4"/>
  <c r="I4385" i="4"/>
  <c r="I4384" i="4"/>
  <c r="I4383" i="4"/>
  <c r="I4382" i="4"/>
  <c r="I4381" i="4"/>
  <c r="I4380" i="4"/>
  <c r="I4379" i="4"/>
  <c r="I4378" i="4"/>
  <c r="I4377" i="4"/>
  <c r="I4376" i="4"/>
  <c r="I4375" i="4"/>
  <c r="I4374" i="4"/>
  <c r="I4373" i="4"/>
  <c r="I4372" i="4"/>
  <c r="I4371" i="4"/>
  <c r="I4370" i="4"/>
  <c r="I4369" i="4"/>
  <c r="I4368" i="4"/>
  <c r="I4367" i="4"/>
  <c r="I4366" i="4"/>
  <c r="I4365" i="4"/>
  <c r="I4364" i="4"/>
  <c r="I4363" i="4"/>
  <c r="I4362" i="4"/>
  <c r="I4361" i="4"/>
  <c r="I4360" i="4"/>
  <c r="I4359" i="4"/>
  <c r="I4358" i="4"/>
  <c r="I4357" i="4"/>
  <c r="I4356" i="4"/>
  <c r="I4355" i="4"/>
  <c r="I4354" i="4"/>
  <c r="I4353" i="4"/>
  <c r="I4352" i="4"/>
  <c r="I4351" i="4"/>
  <c r="I4350" i="4"/>
  <c r="I4349" i="4"/>
  <c r="I4348" i="4"/>
  <c r="I4347" i="4"/>
  <c r="I4346" i="4"/>
  <c r="I4345" i="4"/>
  <c r="I4344" i="4"/>
  <c r="I4343" i="4"/>
  <c r="I4342" i="4"/>
  <c r="I4341" i="4"/>
  <c r="I4340" i="4"/>
  <c r="I4339" i="4"/>
  <c r="I4338" i="4"/>
  <c r="I4337" i="4"/>
  <c r="I4336" i="4"/>
  <c r="I4335" i="4"/>
  <c r="I4334" i="4"/>
  <c r="I4333" i="4"/>
  <c r="I4332" i="4"/>
  <c r="I4331" i="4"/>
  <c r="I4330" i="4"/>
  <c r="I4329" i="4"/>
  <c r="I4328" i="4"/>
  <c r="I4327" i="4"/>
  <c r="I4326" i="4"/>
  <c r="I4325" i="4"/>
  <c r="I4324" i="4"/>
  <c r="I4323" i="4"/>
  <c r="I4322" i="4"/>
  <c r="I4321" i="4"/>
  <c r="I4320" i="4"/>
  <c r="I4319" i="4"/>
  <c r="I4318" i="4"/>
  <c r="I4317" i="4"/>
  <c r="I4316" i="4"/>
  <c r="I4315" i="4"/>
  <c r="I4314" i="4"/>
  <c r="I4313" i="4"/>
  <c r="I4312" i="4"/>
  <c r="I4311" i="4"/>
  <c r="I4310" i="4"/>
  <c r="I4309" i="4"/>
  <c r="I4308" i="4"/>
  <c r="I4307" i="4"/>
  <c r="I4306" i="4"/>
  <c r="I4305" i="4"/>
  <c r="I4304" i="4"/>
  <c r="I4303" i="4"/>
  <c r="I4302" i="4"/>
  <c r="I4301" i="4"/>
  <c r="I4300" i="4"/>
  <c r="I4299" i="4"/>
  <c r="I4298" i="4"/>
  <c r="I4297" i="4"/>
  <c r="I4296" i="4"/>
  <c r="I4295" i="4"/>
  <c r="I4294" i="4"/>
  <c r="I4293" i="4"/>
  <c r="I4292" i="4"/>
  <c r="I4291" i="4"/>
  <c r="I4290" i="4"/>
  <c r="I4289" i="4"/>
  <c r="I4288" i="4"/>
  <c r="I4287" i="4"/>
  <c r="I4286" i="4"/>
  <c r="I4285" i="4"/>
  <c r="I4284" i="4"/>
  <c r="I4283" i="4"/>
  <c r="I4282" i="4"/>
  <c r="I4281" i="4"/>
  <c r="I4280" i="4"/>
  <c r="I4279" i="4"/>
  <c r="I4278" i="4"/>
  <c r="I4277" i="4"/>
  <c r="I4276" i="4"/>
  <c r="I4275" i="4"/>
  <c r="I4274" i="4"/>
  <c r="I4273" i="4"/>
  <c r="I4272" i="4"/>
  <c r="I4271" i="4"/>
  <c r="I4270" i="4"/>
  <c r="I4269" i="4"/>
  <c r="I4268" i="4"/>
  <c r="I4267" i="4"/>
  <c r="I4266" i="4"/>
  <c r="I4265" i="4"/>
  <c r="I4264" i="4"/>
  <c r="I4263" i="4"/>
  <c r="I4262" i="4"/>
  <c r="I4261" i="4"/>
  <c r="I4260" i="4"/>
  <c r="I4259" i="4"/>
  <c r="I4258" i="4"/>
  <c r="I4257" i="4"/>
  <c r="I4256" i="4"/>
  <c r="I4255" i="4"/>
  <c r="I4254" i="4"/>
  <c r="I4253" i="4"/>
  <c r="I4252" i="4"/>
  <c r="I4251" i="4"/>
  <c r="I4250" i="4"/>
  <c r="I4249" i="4"/>
  <c r="I4248" i="4"/>
  <c r="I4247" i="4"/>
  <c r="I4246" i="4"/>
  <c r="I4245" i="4"/>
  <c r="I4244" i="4"/>
  <c r="I4243" i="4"/>
  <c r="I4242" i="4"/>
  <c r="I4241" i="4"/>
  <c r="I4240" i="4"/>
  <c r="I4239" i="4"/>
  <c r="I4238" i="4"/>
  <c r="I4237" i="4"/>
  <c r="I4236" i="4"/>
  <c r="I4235" i="4"/>
  <c r="I4234" i="4"/>
  <c r="I4233" i="4"/>
  <c r="I4232" i="4"/>
  <c r="I4231" i="4"/>
  <c r="I4230" i="4"/>
  <c r="I4229" i="4"/>
  <c r="I4228" i="4"/>
  <c r="I4227" i="4"/>
  <c r="I4226" i="4"/>
  <c r="I4225" i="4"/>
  <c r="I4224" i="4"/>
  <c r="I4223" i="4"/>
  <c r="I4222" i="4"/>
  <c r="I4221" i="4"/>
  <c r="I4220" i="4"/>
  <c r="I4219" i="4"/>
  <c r="I4218" i="4"/>
  <c r="I4217" i="4"/>
  <c r="I4216" i="4"/>
  <c r="I4215" i="4"/>
  <c r="I4214" i="4"/>
  <c r="I4213" i="4"/>
  <c r="I4212" i="4"/>
  <c r="I4211" i="4"/>
  <c r="I4210" i="4"/>
  <c r="I4209" i="4"/>
  <c r="I4208" i="4"/>
  <c r="I4207" i="4"/>
  <c r="I4206" i="4"/>
  <c r="I4205" i="4"/>
  <c r="I4204" i="4"/>
  <c r="I4203" i="4"/>
  <c r="I4202" i="4"/>
  <c r="I4201" i="4"/>
  <c r="I4200" i="4"/>
  <c r="I4199" i="4"/>
  <c r="I4198" i="4"/>
  <c r="I4197" i="4"/>
  <c r="I4196" i="4"/>
  <c r="I4195" i="4"/>
  <c r="I4194" i="4"/>
  <c r="I4193" i="4"/>
  <c r="I4192" i="4"/>
  <c r="I4191" i="4"/>
  <c r="I4190" i="4"/>
  <c r="I4189" i="4"/>
  <c r="I4188" i="4"/>
  <c r="I4187" i="4"/>
  <c r="I4186" i="4"/>
  <c r="I4185" i="4"/>
  <c r="I4184" i="4"/>
  <c r="I4183" i="4"/>
  <c r="I4182" i="4"/>
  <c r="I4181" i="4"/>
  <c r="I4180" i="4"/>
  <c r="I4179" i="4"/>
  <c r="I4178" i="4"/>
  <c r="I4177" i="4"/>
  <c r="I4176" i="4"/>
  <c r="I4175" i="4"/>
  <c r="I4174" i="4"/>
  <c r="I4173" i="4"/>
  <c r="I4172" i="4"/>
  <c r="I4171" i="4"/>
  <c r="I4170" i="4"/>
  <c r="I4169" i="4"/>
  <c r="I4168" i="4"/>
  <c r="I4167" i="4"/>
  <c r="I4166" i="4"/>
  <c r="I4165" i="4"/>
  <c r="I4164" i="4"/>
  <c r="I4163" i="4"/>
  <c r="I4162" i="4"/>
  <c r="I4161" i="4"/>
  <c r="I4160" i="4"/>
  <c r="I4159" i="4"/>
  <c r="I4158" i="4"/>
  <c r="I4157" i="4"/>
  <c r="I4156" i="4"/>
  <c r="I4155" i="4"/>
  <c r="I4154" i="4"/>
  <c r="I4153" i="4"/>
  <c r="I4152" i="4"/>
  <c r="I4151" i="4"/>
  <c r="I4150" i="4"/>
  <c r="I4149" i="4"/>
  <c r="I4148" i="4"/>
  <c r="I4147" i="4"/>
  <c r="I4146" i="4"/>
  <c r="I4145" i="4"/>
  <c r="I4144" i="4"/>
  <c r="I4143" i="4"/>
  <c r="I4142" i="4"/>
  <c r="I4141" i="4"/>
  <c r="I4140" i="4"/>
  <c r="I4139" i="4"/>
  <c r="I4138" i="4"/>
  <c r="I4137" i="4"/>
  <c r="I4136" i="4"/>
  <c r="I4135" i="4"/>
  <c r="I4134" i="4"/>
  <c r="I4133" i="4"/>
  <c r="I4132" i="4"/>
  <c r="I4131" i="4"/>
  <c r="I4130" i="4"/>
  <c r="I4129" i="4"/>
  <c r="I4128" i="4"/>
  <c r="I4127" i="4"/>
  <c r="I4126" i="4"/>
  <c r="I4125" i="4"/>
  <c r="I4124" i="4"/>
  <c r="I4123" i="4"/>
  <c r="I4122" i="4"/>
  <c r="I4121" i="4"/>
  <c r="I4120" i="4"/>
  <c r="I4119" i="4"/>
  <c r="I4118" i="4"/>
  <c r="I4117" i="4"/>
  <c r="I4116" i="4"/>
  <c r="I4115" i="4"/>
  <c r="I4114" i="4"/>
  <c r="I4113" i="4"/>
  <c r="I4112" i="4"/>
  <c r="I4111" i="4"/>
  <c r="I4110" i="4"/>
  <c r="I4109" i="4"/>
  <c r="I4108" i="4"/>
  <c r="I4107" i="4"/>
  <c r="I4106" i="4"/>
  <c r="I4105" i="4"/>
  <c r="I4104" i="4"/>
  <c r="I4103" i="4"/>
  <c r="I4102" i="4"/>
  <c r="I4101" i="4"/>
  <c r="I4100" i="4"/>
  <c r="I4099" i="4"/>
  <c r="I4098" i="4"/>
  <c r="I4097" i="4"/>
  <c r="I4096" i="4"/>
  <c r="I4095" i="4"/>
  <c r="I4094" i="4"/>
  <c r="I4093" i="4"/>
  <c r="I4092" i="4"/>
  <c r="I4091" i="4"/>
  <c r="I4090" i="4"/>
  <c r="I4089" i="4"/>
  <c r="I4088" i="4"/>
  <c r="I4087" i="4"/>
  <c r="I4086" i="4"/>
  <c r="I4085" i="4"/>
  <c r="I4084" i="4"/>
  <c r="I4083" i="4"/>
  <c r="I4082" i="4"/>
  <c r="I4081" i="4"/>
  <c r="I4080" i="4"/>
  <c r="I4079" i="4"/>
  <c r="I4078" i="4"/>
  <c r="I4077" i="4"/>
  <c r="I4076" i="4"/>
  <c r="I4075" i="4"/>
  <c r="I4074" i="4"/>
  <c r="I4073" i="4"/>
  <c r="I4072" i="4"/>
  <c r="I4071" i="4"/>
  <c r="I4070" i="4"/>
  <c r="I4069" i="4"/>
  <c r="I4068" i="4"/>
  <c r="I4067" i="4"/>
  <c r="I4066" i="4"/>
  <c r="I4065" i="4"/>
  <c r="I4064" i="4"/>
  <c r="I4063" i="4"/>
  <c r="I4062" i="4"/>
  <c r="I4061" i="4"/>
  <c r="I4060" i="4"/>
  <c r="I4059" i="4"/>
  <c r="I4058" i="4"/>
  <c r="I4057" i="4"/>
  <c r="I4056" i="4"/>
  <c r="I4055" i="4"/>
  <c r="I4054" i="4"/>
  <c r="I4053" i="4"/>
  <c r="I4052" i="4"/>
  <c r="I4051" i="4"/>
  <c r="I4050" i="4"/>
  <c r="I4049" i="4"/>
  <c r="I4048" i="4"/>
  <c r="I4047" i="4"/>
  <c r="I4046" i="4"/>
  <c r="I4045" i="4"/>
  <c r="I4044" i="4"/>
  <c r="I4043" i="4"/>
  <c r="I4042" i="4"/>
  <c r="I4041" i="4"/>
  <c r="I4040" i="4"/>
  <c r="I4039" i="4"/>
  <c r="I4038" i="4"/>
  <c r="I4037" i="4"/>
  <c r="I4036" i="4"/>
  <c r="I4035" i="4"/>
  <c r="I4034" i="4"/>
  <c r="I4033" i="4"/>
  <c r="I4032" i="4"/>
  <c r="I4031" i="4"/>
  <c r="I4030" i="4"/>
  <c r="I4029" i="4"/>
  <c r="I4028" i="4"/>
  <c r="I4027" i="4"/>
  <c r="I4026" i="4"/>
  <c r="I4025" i="4"/>
  <c r="I4024" i="4"/>
  <c r="I4023" i="4"/>
  <c r="I4022" i="4"/>
  <c r="I4021" i="4"/>
  <c r="I4020" i="4"/>
  <c r="I4019" i="4"/>
  <c r="I4018" i="4"/>
  <c r="I4017" i="4"/>
  <c r="I4016" i="4"/>
  <c r="I4015" i="4"/>
  <c r="I4014" i="4"/>
  <c r="I4013" i="4"/>
  <c r="I4012" i="4"/>
  <c r="I4011" i="4"/>
  <c r="I4010" i="4"/>
  <c r="I4009" i="4"/>
  <c r="I4008" i="4"/>
  <c r="I4007" i="4"/>
  <c r="I4006" i="4"/>
  <c r="I4005" i="4"/>
  <c r="I4004" i="4"/>
  <c r="I4003" i="4"/>
  <c r="I4002" i="4"/>
  <c r="I4001" i="4"/>
  <c r="I4000" i="4"/>
  <c r="I3999" i="4"/>
  <c r="I3998" i="4"/>
  <c r="I3997" i="4"/>
  <c r="I3996" i="4"/>
  <c r="I3995" i="4"/>
  <c r="I3994" i="4"/>
  <c r="I3993" i="4"/>
  <c r="I3992" i="4"/>
  <c r="I3991" i="4"/>
  <c r="I3990" i="4"/>
  <c r="I3989" i="4"/>
  <c r="I3988" i="4"/>
  <c r="I3987" i="4"/>
  <c r="I3986" i="4"/>
  <c r="I3985" i="4"/>
  <c r="I3984" i="4"/>
  <c r="I3983" i="4"/>
  <c r="I3982" i="4"/>
  <c r="I3981" i="4"/>
  <c r="I3980" i="4"/>
  <c r="I3979" i="4"/>
  <c r="I3978" i="4"/>
  <c r="I3977" i="4"/>
  <c r="I3976" i="4"/>
  <c r="I3975" i="4"/>
  <c r="I3974" i="4"/>
  <c r="I3973" i="4"/>
  <c r="I3972" i="4"/>
  <c r="I3971" i="4"/>
  <c r="I3970" i="4"/>
  <c r="I3969" i="4"/>
  <c r="I3968" i="4"/>
  <c r="I3967" i="4"/>
  <c r="I3966" i="4"/>
  <c r="I3965" i="4"/>
  <c r="I3964" i="4"/>
  <c r="I3963" i="4"/>
  <c r="I3962" i="4"/>
  <c r="I3961" i="4"/>
  <c r="I3960" i="4"/>
  <c r="I3959" i="4"/>
  <c r="I3958" i="4"/>
  <c r="I3957" i="4"/>
  <c r="I3956" i="4"/>
  <c r="I3955" i="4"/>
  <c r="I3954" i="4"/>
  <c r="I3953" i="4"/>
  <c r="I3952" i="4"/>
  <c r="I3951" i="4"/>
  <c r="I3950" i="4"/>
  <c r="I3949" i="4"/>
  <c r="I3948" i="4"/>
  <c r="I3947" i="4"/>
  <c r="I3946" i="4"/>
  <c r="I3945" i="4"/>
  <c r="I3944" i="4"/>
  <c r="I3943" i="4"/>
  <c r="I3942" i="4"/>
  <c r="I3941" i="4"/>
  <c r="I3940" i="4"/>
  <c r="I3939" i="4"/>
  <c r="I3938" i="4"/>
  <c r="I3937" i="4"/>
  <c r="I3936" i="4"/>
  <c r="I3935" i="4"/>
  <c r="I3934" i="4"/>
  <c r="I3933" i="4"/>
  <c r="I3932" i="4"/>
  <c r="I3931" i="4"/>
  <c r="I3930" i="4"/>
  <c r="I3929" i="4"/>
  <c r="I3928" i="4"/>
  <c r="I3927" i="4"/>
  <c r="I3926" i="4"/>
  <c r="I3925" i="4"/>
  <c r="I3924" i="4"/>
  <c r="I3923" i="4"/>
  <c r="I3922" i="4"/>
  <c r="I3921" i="4"/>
  <c r="I3920" i="4"/>
  <c r="I3919" i="4"/>
  <c r="I3918" i="4"/>
  <c r="I3917" i="4"/>
  <c r="I3916" i="4"/>
  <c r="I3915" i="4"/>
  <c r="I3914" i="4"/>
  <c r="I3913" i="4"/>
  <c r="I3912" i="4"/>
  <c r="I3911" i="4"/>
  <c r="I3910" i="4"/>
  <c r="I3909" i="4"/>
  <c r="I3908" i="4"/>
  <c r="I3907" i="4"/>
  <c r="I3906" i="4"/>
  <c r="I3905" i="4"/>
  <c r="I3904" i="4"/>
  <c r="I3903" i="4"/>
  <c r="I3902" i="4"/>
  <c r="I3901" i="4"/>
  <c r="I3900" i="4"/>
  <c r="I3899" i="4"/>
  <c r="I3898" i="4"/>
  <c r="I3897" i="4"/>
  <c r="I3896" i="4"/>
  <c r="I3895" i="4"/>
  <c r="I3894" i="4"/>
  <c r="I3893" i="4"/>
  <c r="I3892" i="4"/>
  <c r="I3891" i="4"/>
  <c r="I3890" i="4"/>
  <c r="I3889" i="4"/>
  <c r="I3888" i="4"/>
  <c r="I3887" i="4"/>
  <c r="I3886" i="4"/>
  <c r="I3885" i="4"/>
  <c r="I3884" i="4"/>
  <c r="I3883" i="4"/>
  <c r="I3882" i="4"/>
  <c r="I3881" i="4"/>
  <c r="I3880" i="4"/>
  <c r="I3879" i="4"/>
  <c r="I3878" i="4"/>
  <c r="I3877" i="4"/>
  <c r="I3876" i="4"/>
  <c r="I3875" i="4"/>
  <c r="I3874" i="4"/>
  <c r="I3873" i="4"/>
  <c r="I3872" i="4"/>
  <c r="I3871" i="4"/>
  <c r="I3870" i="4"/>
  <c r="I3869" i="4"/>
  <c r="I3868" i="4"/>
  <c r="I3867" i="4"/>
  <c r="I3866" i="4"/>
  <c r="I3865" i="4"/>
  <c r="I3864" i="4"/>
  <c r="I3863" i="4"/>
  <c r="I3862" i="4"/>
  <c r="I3861" i="4"/>
  <c r="I3860" i="4"/>
  <c r="I3859" i="4"/>
  <c r="I3858" i="4"/>
  <c r="I3857" i="4"/>
  <c r="I3856" i="4"/>
  <c r="I3855" i="4"/>
  <c r="I3854" i="4"/>
  <c r="I3853" i="4"/>
  <c r="I3852" i="4"/>
  <c r="I3851" i="4"/>
  <c r="I3850" i="4"/>
  <c r="I3849" i="4"/>
  <c r="I3848" i="4"/>
  <c r="I3847" i="4"/>
  <c r="I3846" i="4"/>
  <c r="I3845" i="4"/>
  <c r="I3844" i="4"/>
  <c r="I3843" i="4"/>
  <c r="I3842" i="4"/>
  <c r="I3841" i="4"/>
  <c r="I3840" i="4"/>
  <c r="I3839" i="4"/>
  <c r="I3838" i="4"/>
  <c r="I3837" i="4"/>
  <c r="I3836" i="4"/>
  <c r="I3835" i="4"/>
  <c r="I3834" i="4"/>
  <c r="I3833" i="4"/>
  <c r="I3832" i="4"/>
  <c r="I3831" i="4"/>
  <c r="I3830" i="4"/>
  <c r="I3829" i="4"/>
  <c r="I3828" i="4"/>
  <c r="I3827" i="4"/>
  <c r="I3826" i="4"/>
  <c r="I3825" i="4"/>
  <c r="I3824" i="4"/>
  <c r="I3823" i="4"/>
  <c r="I3822" i="4"/>
  <c r="I3821" i="4"/>
  <c r="I3820" i="4"/>
  <c r="I3819" i="4"/>
  <c r="I3818" i="4"/>
  <c r="I3817" i="4"/>
  <c r="I3816" i="4"/>
  <c r="I3815" i="4"/>
  <c r="I3814" i="4"/>
  <c r="I3813" i="4"/>
  <c r="I3812" i="4"/>
  <c r="I3811" i="4"/>
  <c r="I3810" i="4"/>
  <c r="I3809" i="4"/>
  <c r="I3808" i="4"/>
  <c r="I3807" i="4"/>
  <c r="I3806" i="4"/>
  <c r="I3805" i="4"/>
  <c r="I3804" i="4"/>
  <c r="I3803" i="4"/>
  <c r="I3802" i="4"/>
  <c r="I3801" i="4"/>
  <c r="I3800" i="4"/>
  <c r="I3799" i="4"/>
  <c r="I3798" i="4"/>
  <c r="I3797" i="4"/>
  <c r="I3796" i="4"/>
  <c r="I3795" i="4"/>
  <c r="I3794" i="4"/>
  <c r="I3793" i="4"/>
  <c r="I3792" i="4"/>
  <c r="I3791" i="4"/>
  <c r="I3790" i="4"/>
  <c r="I3789" i="4"/>
  <c r="I3788" i="4"/>
  <c r="I3787" i="4"/>
  <c r="I3786" i="4"/>
  <c r="I3785" i="4"/>
  <c r="I3784" i="4"/>
  <c r="I3783" i="4"/>
  <c r="I3782" i="4"/>
  <c r="I3781" i="4"/>
  <c r="I3780" i="4"/>
  <c r="I3779" i="4"/>
  <c r="I3778" i="4"/>
  <c r="I3777" i="4"/>
  <c r="I3776" i="4"/>
  <c r="I3775" i="4"/>
  <c r="I3774" i="4"/>
  <c r="I3773" i="4"/>
  <c r="I3772" i="4"/>
  <c r="I3771" i="4"/>
  <c r="I3770" i="4"/>
  <c r="I3769" i="4"/>
  <c r="I3768" i="4"/>
  <c r="I3767" i="4"/>
  <c r="I3766" i="4"/>
  <c r="I3765" i="4"/>
  <c r="I3764" i="4"/>
  <c r="I3763" i="4"/>
  <c r="I3762" i="4"/>
  <c r="I3761" i="4"/>
  <c r="I3760" i="4"/>
  <c r="I3759" i="4"/>
  <c r="I3758" i="4"/>
  <c r="I3757" i="4"/>
  <c r="I3756" i="4"/>
  <c r="I3755" i="4"/>
  <c r="I3754" i="4"/>
  <c r="I3753" i="4"/>
  <c r="I3752" i="4"/>
  <c r="I3751" i="4"/>
  <c r="I3750" i="4"/>
  <c r="I3749" i="4"/>
  <c r="I3748" i="4"/>
  <c r="I3747" i="4"/>
  <c r="I3746" i="4"/>
  <c r="I3745" i="4"/>
  <c r="I3744" i="4"/>
  <c r="I3743" i="4"/>
  <c r="I3742" i="4"/>
  <c r="I3741" i="4"/>
  <c r="I3740" i="4"/>
  <c r="I3739" i="4"/>
  <c r="I3738" i="4"/>
  <c r="I3737" i="4"/>
  <c r="I3736" i="4"/>
  <c r="I3735" i="4"/>
  <c r="I3734" i="4"/>
  <c r="I3733" i="4"/>
  <c r="I3732" i="4"/>
  <c r="I3731" i="4"/>
  <c r="I3730" i="4"/>
  <c r="I3729" i="4"/>
  <c r="I3728" i="4"/>
  <c r="I3727" i="4"/>
  <c r="I3726" i="4"/>
  <c r="I3725" i="4"/>
  <c r="I3724" i="4"/>
  <c r="I3723" i="4"/>
  <c r="I3722" i="4"/>
  <c r="I3721" i="4"/>
  <c r="I3720" i="4"/>
  <c r="I3719" i="4"/>
  <c r="I3718" i="4"/>
  <c r="I3717" i="4"/>
  <c r="I3716" i="4"/>
  <c r="I3715" i="4"/>
  <c r="I3714" i="4"/>
  <c r="I3713" i="4"/>
  <c r="I3712" i="4"/>
  <c r="I3711" i="4"/>
  <c r="I3710" i="4"/>
  <c r="I3709" i="4"/>
  <c r="I3708" i="4"/>
  <c r="I3707" i="4"/>
  <c r="I3706" i="4"/>
  <c r="I3705" i="4"/>
  <c r="I3704" i="4"/>
  <c r="I3703" i="4"/>
  <c r="I3702" i="4"/>
  <c r="I3701" i="4"/>
  <c r="I3700" i="4"/>
  <c r="I3699" i="4"/>
  <c r="I3698" i="4"/>
  <c r="I3697" i="4"/>
  <c r="I3696" i="4"/>
  <c r="I3695" i="4"/>
  <c r="I3694" i="4"/>
  <c r="I3693" i="4"/>
  <c r="I3692" i="4"/>
  <c r="I3691" i="4"/>
  <c r="I3690" i="4"/>
  <c r="I3689" i="4"/>
  <c r="I3688" i="4"/>
  <c r="I3687" i="4"/>
  <c r="I3686" i="4"/>
  <c r="I3685" i="4"/>
  <c r="I3684" i="4"/>
  <c r="I3683" i="4"/>
  <c r="I3682" i="4"/>
  <c r="I3681" i="4"/>
  <c r="I3680" i="4"/>
  <c r="I3679" i="4"/>
  <c r="I3678" i="4"/>
  <c r="I3677" i="4"/>
  <c r="I3676" i="4"/>
  <c r="I3675" i="4"/>
  <c r="I3674" i="4"/>
  <c r="I3673" i="4"/>
  <c r="I3672" i="4"/>
  <c r="I3671" i="4"/>
  <c r="I3670" i="4"/>
  <c r="I3669" i="4"/>
  <c r="I3668" i="4"/>
  <c r="I3667" i="4"/>
  <c r="I3666" i="4"/>
  <c r="I3665" i="4"/>
  <c r="I3664" i="4"/>
  <c r="I3663" i="4"/>
  <c r="I3662" i="4"/>
  <c r="I3661" i="4"/>
  <c r="I3660" i="4"/>
  <c r="I3659" i="4"/>
  <c r="I3658" i="4"/>
  <c r="I3657" i="4"/>
  <c r="I3656" i="4"/>
  <c r="I3655" i="4"/>
  <c r="I3654" i="4"/>
  <c r="I3653" i="4"/>
  <c r="I3652" i="4"/>
  <c r="I3651" i="4"/>
  <c r="I3650" i="4"/>
  <c r="I3649" i="4"/>
  <c r="I3648" i="4"/>
  <c r="I3647" i="4"/>
  <c r="I3646" i="4"/>
  <c r="I3645" i="4"/>
  <c r="I3644" i="4"/>
  <c r="I3643" i="4"/>
  <c r="I3642" i="4"/>
  <c r="I3641" i="4"/>
  <c r="I3640" i="4"/>
  <c r="I3639" i="4"/>
  <c r="I3638" i="4"/>
  <c r="I3637" i="4"/>
  <c r="I3636" i="4"/>
  <c r="I3635" i="4"/>
  <c r="I3634" i="4"/>
  <c r="I3633" i="4"/>
  <c r="I3632" i="4"/>
  <c r="I3631" i="4"/>
  <c r="I3630" i="4"/>
  <c r="I3629" i="4"/>
  <c r="I3628" i="4"/>
  <c r="I3627" i="4"/>
  <c r="I3626" i="4"/>
  <c r="I3625" i="4"/>
  <c r="I3624" i="4"/>
  <c r="I3623" i="4"/>
  <c r="I3622" i="4"/>
  <c r="I3621" i="4"/>
  <c r="I3620" i="4"/>
  <c r="I3619" i="4"/>
  <c r="I3618" i="4"/>
  <c r="I3617" i="4"/>
  <c r="I3616" i="4"/>
  <c r="I3615" i="4"/>
  <c r="I3614" i="4"/>
  <c r="I3613" i="4"/>
  <c r="I3612" i="4"/>
  <c r="I3611" i="4"/>
  <c r="I3610" i="4"/>
  <c r="I3609" i="4"/>
  <c r="I3608" i="4"/>
  <c r="I3607" i="4"/>
  <c r="I3606" i="4"/>
  <c r="I3605" i="4"/>
  <c r="I3604" i="4"/>
  <c r="I3603" i="4"/>
  <c r="I3602" i="4"/>
  <c r="I3601" i="4"/>
  <c r="I3600" i="4"/>
  <c r="I3599" i="4"/>
  <c r="I3598" i="4"/>
  <c r="I3597" i="4"/>
  <c r="I3596" i="4"/>
  <c r="I3595" i="4"/>
  <c r="I3594" i="4"/>
  <c r="I3593" i="4"/>
  <c r="I3592" i="4"/>
  <c r="I3591" i="4"/>
  <c r="I3590" i="4"/>
  <c r="I3589" i="4"/>
  <c r="I3588" i="4"/>
  <c r="I3587" i="4"/>
  <c r="I3586" i="4"/>
  <c r="I3585" i="4"/>
  <c r="I3584" i="4"/>
  <c r="I3583" i="4"/>
  <c r="I3582" i="4"/>
  <c r="I3581" i="4"/>
  <c r="I3580" i="4"/>
  <c r="I3579" i="4"/>
  <c r="I3578" i="4"/>
  <c r="I3577" i="4"/>
  <c r="I3576" i="4"/>
  <c r="I3575" i="4"/>
  <c r="I3574" i="4"/>
  <c r="I3573" i="4"/>
  <c r="I3572" i="4"/>
  <c r="I3571" i="4"/>
  <c r="I3570" i="4"/>
  <c r="I3569" i="4"/>
  <c r="I3568" i="4"/>
  <c r="I3567" i="4"/>
  <c r="I3566" i="4"/>
  <c r="I3565" i="4"/>
  <c r="I3564" i="4"/>
  <c r="I3563" i="4"/>
  <c r="I3562" i="4"/>
  <c r="I3561" i="4"/>
  <c r="I3560" i="4"/>
  <c r="I3559" i="4"/>
  <c r="I3558" i="4"/>
  <c r="I3557" i="4"/>
  <c r="I3556" i="4"/>
  <c r="I3555" i="4"/>
  <c r="I3554" i="4"/>
  <c r="I3553" i="4"/>
  <c r="I3552" i="4"/>
  <c r="I3551" i="4"/>
  <c r="I3550" i="4"/>
  <c r="I3549" i="4"/>
  <c r="I3548" i="4"/>
  <c r="I3547" i="4"/>
  <c r="I3546" i="4"/>
  <c r="I3545" i="4"/>
  <c r="I3544" i="4"/>
  <c r="I3543" i="4"/>
  <c r="I3542" i="4"/>
  <c r="I3541" i="4"/>
  <c r="I3540" i="4"/>
  <c r="I3539" i="4"/>
  <c r="I3538" i="4"/>
  <c r="I3537" i="4"/>
  <c r="I3536" i="4"/>
  <c r="I3535" i="4"/>
  <c r="I3534" i="4"/>
  <c r="I3533" i="4"/>
  <c r="I3532" i="4"/>
  <c r="I3531" i="4"/>
  <c r="I3530" i="4"/>
  <c r="I3529" i="4"/>
  <c r="I3528" i="4"/>
  <c r="I3527" i="4"/>
  <c r="I3526" i="4"/>
  <c r="I3525" i="4"/>
  <c r="I3524" i="4"/>
  <c r="I3523" i="4"/>
  <c r="I3522" i="4"/>
  <c r="I3521" i="4"/>
  <c r="I3520" i="4"/>
  <c r="I3519" i="4"/>
  <c r="I3518" i="4"/>
  <c r="I3517" i="4"/>
  <c r="I3516" i="4"/>
  <c r="I3515" i="4"/>
  <c r="I3514" i="4"/>
  <c r="I3513" i="4"/>
  <c r="I3512" i="4"/>
  <c r="I3511" i="4"/>
  <c r="I3510" i="4"/>
  <c r="I3509" i="4"/>
  <c r="I3508" i="4"/>
  <c r="I3507" i="4"/>
  <c r="I3506" i="4"/>
  <c r="I3505" i="4"/>
  <c r="I3504" i="4"/>
  <c r="I3503" i="4"/>
  <c r="I3502" i="4"/>
  <c r="I3501" i="4"/>
  <c r="I3500" i="4"/>
  <c r="I3499" i="4"/>
  <c r="I3498" i="4"/>
  <c r="I3497" i="4"/>
  <c r="I3496" i="4"/>
  <c r="I3495" i="4"/>
  <c r="I3494" i="4"/>
  <c r="I3493" i="4"/>
  <c r="I3492" i="4"/>
  <c r="I3491" i="4"/>
  <c r="I3490" i="4"/>
  <c r="I3489" i="4"/>
  <c r="I3488" i="4"/>
  <c r="I3487" i="4"/>
  <c r="I3486" i="4"/>
  <c r="I3485" i="4"/>
  <c r="I3484" i="4"/>
  <c r="I3483" i="4"/>
  <c r="I3482" i="4"/>
  <c r="I3481" i="4"/>
  <c r="I3480" i="4"/>
  <c r="I3479" i="4"/>
  <c r="I3478" i="4"/>
  <c r="I3477" i="4"/>
  <c r="I3476" i="4"/>
  <c r="I3475" i="4"/>
  <c r="I3474" i="4"/>
  <c r="I3473" i="4"/>
  <c r="I3472" i="4"/>
  <c r="I3471" i="4"/>
  <c r="I3470" i="4"/>
  <c r="I3469" i="4"/>
  <c r="I3468" i="4"/>
  <c r="I3467" i="4"/>
  <c r="I3466" i="4"/>
  <c r="I3465" i="4"/>
  <c r="I3464" i="4"/>
  <c r="I3463" i="4"/>
  <c r="I3462" i="4"/>
  <c r="I3461" i="4"/>
  <c r="I3460" i="4"/>
  <c r="I3459" i="4"/>
  <c r="I3458" i="4"/>
  <c r="I3457" i="4"/>
  <c r="I3456" i="4"/>
  <c r="I3455" i="4"/>
  <c r="I3454" i="4"/>
  <c r="I3453" i="4"/>
  <c r="I3452" i="4"/>
  <c r="I3451" i="4"/>
  <c r="I3450" i="4"/>
  <c r="I3449" i="4"/>
  <c r="I3448" i="4"/>
  <c r="I3447" i="4"/>
  <c r="I3446" i="4"/>
  <c r="I3445" i="4"/>
  <c r="I3444" i="4"/>
  <c r="I3443" i="4"/>
  <c r="I3442" i="4"/>
  <c r="I3441" i="4"/>
  <c r="I3440" i="4"/>
  <c r="I3439" i="4"/>
  <c r="I3438" i="4"/>
  <c r="I3437" i="4"/>
  <c r="I3436" i="4"/>
  <c r="I3435" i="4"/>
  <c r="I3434" i="4"/>
  <c r="I3433" i="4"/>
  <c r="I3432" i="4"/>
  <c r="I3431" i="4"/>
  <c r="I3430" i="4"/>
  <c r="I3429" i="4"/>
  <c r="I3428" i="4"/>
  <c r="I3427" i="4"/>
  <c r="I3426" i="4"/>
  <c r="I3425" i="4"/>
  <c r="I3424" i="4"/>
  <c r="I3423" i="4"/>
  <c r="I3422" i="4"/>
  <c r="I3421" i="4"/>
  <c r="I3420" i="4"/>
  <c r="I3419" i="4"/>
  <c r="I3418" i="4"/>
  <c r="I3417" i="4"/>
  <c r="I3416" i="4"/>
  <c r="I3415" i="4"/>
  <c r="I3414" i="4"/>
  <c r="I3413" i="4"/>
  <c r="I3412" i="4"/>
  <c r="I3411" i="4"/>
  <c r="I3410" i="4"/>
  <c r="I3409" i="4"/>
  <c r="I3408" i="4"/>
  <c r="I3407" i="4"/>
  <c r="I3406" i="4"/>
  <c r="I3405" i="4"/>
  <c r="I3404" i="4"/>
  <c r="I3403" i="4"/>
  <c r="I3402" i="4"/>
  <c r="I3401" i="4"/>
  <c r="I3400" i="4"/>
  <c r="I3399" i="4"/>
  <c r="I3398" i="4"/>
  <c r="I3397" i="4"/>
  <c r="I3396" i="4"/>
  <c r="I3395" i="4"/>
  <c r="I3394" i="4"/>
  <c r="I3393" i="4"/>
  <c r="I3392" i="4"/>
  <c r="I3391" i="4"/>
  <c r="I3390" i="4"/>
  <c r="I3389" i="4"/>
  <c r="I3388" i="4"/>
  <c r="I3387" i="4"/>
  <c r="I3386" i="4"/>
  <c r="I3385" i="4"/>
  <c r="I3384" i="4"/>
  <c r="I3383" i="4"/>
  <c r="I3382" i="4"/>
  <c r="I3381" i="4"/>
  <c r="I3380" i="4"/>
  <c r="I3379" i="4"/>
  <c r="I3378" i="4"/>
  <c r="I3377" i="4"/>
  <c r="I3376" i="4"/>
  <c r="I3375" i="4"/>
  <c r="I3374" i="4"/>
  <c r="I3373" i="4"/>
  <c r="I3372" i="4"/>
  <c r="I3371" i="4"/>
  <c r="I3370" i="4"/>
  <c r="I3369" i="4"/>
  <c r="I3368" i="4"/>
  <c r="I3367" i="4"/>
  <c r="I3366" i="4"/>
  <c r="I3365" i="4"/>
  <c r="I3364" i="4"/>
  <c r="I3363" i="4"/>
  <c r="I3362" i="4"/>
  <c r="I3361" i="4"/>
  <c r="I3360" i="4"/>
  <c r="I3359" i="4"/>
  <c r="I3358" i="4"/>
  <c r="I3357" i="4"/>
  <c r="I3356" i="4"/>
  <c r="I3355" i="4"/>
  <c r="I3354" i="4"/>
  <c r="I3353" i="4"/>
  <c r="I3352" i="4"/>
  <c r="I3351" i="4"/>
  <c r="I3350" i="4"/>
  <c r="I3349" i="4"/>
  <c r="I3348" i="4"/>
  <c r="I3347" i="4"/>
  <c r="I3346" i="4"/>
  <c r="I3345" i="4"/>
  <c r="I3344" i="4"/>
  <c r="I3343" i="4"/>
  <c r="I3342" i="4"/>
  <c r="I3341" i="4"/>
  <c r="I3340" i="4"/>
  <c r="I3339" i="4"/>
  <c r="I3338" i="4"/>
  <c r="I3337" i="4"/>
  <c r="I3336" i="4"/>
  <c r="I3335" i="4"/>
  <c r="I3334" i="4"/>
  <c r="I3333" i="4"/>
  <c r="I3332" i="4"/>
  <c r="I3331" i="4"/>
  <c r="I3330" i="4"/>
  <c r="I3329" i="4"/>
  <c r="I3328" i="4"/>
  <c r="I3327" i="4"/>
  <c r="I3326" i="4"/>
  <c r="I3325" i="4"/>
  <c r="I3324" i="4"/>
  <c r="I3323" i="4"/>
  <c r="I3322" i="4"/>
  <c r="I3321" i="4"/>
  <c r="I3320" i="4"/>
  <c r="I3319" i="4"/>
  <c r="I3318" i="4"/>
  <c r="I3317" i="4"/>
  <c r="I3316" i="4"/>
  <c r="I3315" i="4"/>
  <c r="I3314" i="4"/>
  <c r="I3313" i="4"/>
  <c r="I3312" i="4"/>
  <c r="I3311" i="4"/>
  <c r="I3310" i="4"/>
  <c r="I3309" i="4"/>
  <c r="I3308" i="4"/>
  <c r="I3307" i="4"/>
  <c r="I3306" i="4"/>
  <c r="I3305" i="4"/>
  <c r="I3304" i="4"/>
  <c r="I3303" i="4"/>
  <c r="I3302" i="4"/>
  <c r="I3301" i="4"/>
  <c r="I3300" i="4"/>
  <c r="I3299" i="4"/>
  <c r="I3298" i="4"/>
  <c r="I3297" i="4"/>
  <c r="I3296" i="4"/>
  <c r="I3295" i="4"/>
  <c r="I3294" i="4"/>
  <c r="I3293" i="4"/>
  <c r="I3292" i="4"/>
  <c r="I3291" i="4"/>
  <c r="I3290" i="4"/>
  <c r="I3289" i="4"/>
  <c r="I3288" i="4"/>
  <c r="I3287" i="4"/>
  <c r="I3286" i="4"/>
  <c r="I3285" i="4"/>
  <c r="I3284" i="4"/>
  <c r="I3283" i="4"/>
  <c r="I3282" i="4"/>
  <c r="I3281" i="4"/>
  <c r="I3280" i="4"/>
  <c r="I3279" i="4"/>
  <c r="I3278" i="4"/>
  <c r="I3277" i="4"/>
  <c r="I3276" i="4"/>
  <c r="I3275" i="4"/>
  <c r="I3274" i="4"/>
  <c r="I3273" i="4"/>
  <c r="I3272" i="4"/>
  <c r="I3271" i="4"/>
  <c r="I3270" i="4"/>
  <c r="I3269" i="4"/>
  <c r="I3268" i="4"/>
  <c r="I3267" i="4"/>
  <c r="I3266" i="4"/>
  <c r="I3265" i="4"/>
  <c r="I3264" i="4"/>
  <c r="I3263" i="4"/>
  <c r="I3262" i="4"/>
  <c r="I3261" i="4"/>
  <c r="I3260" i="4"/>
  <c r="I3259" i="4"/>
  <c r="I3258" i="4"/>
  <c r="I3257" i="4"/>
  <c r="I3256" i="4"/>
  <c r="I3255" i="4"/>
  <c r="I3254" i="4"/>
  <c r="I3253" i="4"/>
  <c r="I3252" i="4"/>
  <c r="I3251" i="4"/>
  <c r="I3250" i="4"/>
  <c r="I3249" i="4"/>
  <c r="I3248" i="4"/>
  <c r="I3247" i="4"/>
  <c r="I3246" i="4"/>
  <c r="I3245" i="4"/>
  <c r="I3244" i="4"/>
  <c r="I3243" i="4"/>
  <c r="I3242" i="4"/>
  <c r="I3241" i="4"/>
  <c r="I3240" i="4"/>
  <c r="I3239" i="4"/>
  <c r="I3238" i="4"/>
  <c r="I3237" i="4"/>
  <c r="I3236" i="4"/>
  <c r="I3235" i="4"/>
  <c r="I3234" i="4"/>
  <c r="I3233" i="4"/>
  <c r="I3232" i="4"/>
  <c r="I3231" i="4"/>
  <c r="I3230" i="4"/>
  <c r="I3229" i="4"/>
  <c r="I3228" i="4"/>
  <c r="I3227" i="4"/>
  <c r="I3226" i="4"/>
  <c r="I3225" i="4"/>
  <c r="I3224" i="4"/>
  <c r="I3223" i="4"/>
  <c r="I3222" i="4"/>
  <c r="I3221" i="4"/>
  <c r="I3220" i="4"/>
  <c r="I3219" i="4"/>
  <c r="I3218" i="4"/>
  <c r="I3217" i="4"/>
  <c r="I3216" i="4"/>
  <c r="I3215" i="4"/>
  <c r="I3214" i="4"/>
  <c r="I3213" i="4"/>
  <c r="I3212" i="4"/>
  <c r="I3211" i="4"/>
  <c r="I3210" i="4"/>
  <c r="I3209" i="4"/>
  <c r="I3208" i="4"/>
  <c r="I3207" i="4"/>
  <c r="I3206" i="4"/>
  <c r="I3205" i="4"/>
  <c r="I3204" i="4"/>
  <c r="I3203" i="4"/>
  <c r="I3202" i="4"/>
  <c r="I3201" i="4"/>
  <c r="I3200" i="4"/>
  <c r="I3199" i="4"/>
  <c r="I3198" i="4"/>
  <c r="I3197" i="4"/>
  <c r="I3196" i="4"/>
  <c r="I3195" i="4"/>
  <c r="I3194" i="4"/>
  <c r="I3193" i="4"/>
  <c r="I3192" i="4"/>
  <c r="I3191" i="4"/>
  <c r="I3190" i="4"/>
  <c r="I3189" i="4"/>
  <c r="I3188" i="4"/>
  <c r="I3187" i="4"/>
  <c r="I3186" i="4"/>
  <c r="I3185" i="4"/>
  <c r="I3184" i="4"/>
  <c r="I3183" i="4"/>
  <c r="I3182" i="4"/>
  <c r="I3181" i="4"/>
  <c r="I3180" i="4"/>
  <c r="I3179" i="4"/>
  <c r="I3178" i="4"/>
  <c r="I3177" i="4"/>
  <c r="I3176" i="4"/>
  <c r="I3175" i="4"/>
  <c r="I3174" i="4"/>
  <c r="I3173" i="4"/>
  <c r="I3172" i="4"/>
  <c r="I3171" i="4"/>
  <c r="I3170" i="4"/>
  <c r="I3169" i="4"/>
  <c r="I3168" i="4"/>
  <c r="I3167" i="4"/>
  <c r="I3166" i="4"/>
  <c r="I3165" i="4"/>
  <c r="I3164" i="4"/>
  <c r="I3163" i="4"/>
  <c r="I3162" i="4"/>
  <c r="I3161" i="4"/>
  <c r="I3160" i="4"/>
  <c r="I3159" i="4"/>
  <c r="I3158" i="4"/>
  <c r="I3157" i="4"/>
  <c r="I3156" i="4"/>
  <c r="I3155" i="4"/>
  <c r="I3154" i="4"/>
  <c r="I3153" i="4"/>
  <c r="I3152" i="4"/>
  <c r="I3151" i="4"/>
  <c r="I3150" i="4"/>
  <c r="I3149" i="4"/>
  <c r="I3148" i="4"/>
  <c r="I3147" i="4"/>
  <c r="I3146" i="4"/>
  <c r="I3145" i="4"/>
  <c r="I3144" i="4"/>
  <c r="I3143" i="4"/>
  <c r="I3142" i="4"/>
  <c r="I3141" i="4"/>
  <c r="I3140" i="4"/>
  <c r="I3139" i="4"/>
  <c r="I3138" i="4"/>
  <c r="I3137" i="4"/>
  <c r="I3136" i="4"/>
  <c r="I3135" i="4"/>
  <c r="I3134" i="4"/>
  <c r="I3133" i="4"/>
  <c r="I3132" i="4"/>
  <c r="I3131" i="4"/>
  <c r="I3130" i="4"/>
  <c r="I3129" i="4"/>
  <c r="I3128" i="4"/>
  <c r="I3127" i="4"/>
  <c r="I3126" i="4"/>
  <c r="I3125" i="4"/>
  <c r="I3124" i="4"/>
  <c r="I3123" i="4"/>
  <c r="I3122" i="4"/>
  <c r="I3121" i="4"/>
  <c r="I3120" i="4"/>
  <c r="I3119" i="4"/>
  <c r="I3118" i="4"/>
  <c r="I3117" i="4"/>
  <c r="I3116" i="4"/>
  <c r="I3115" i="4"/>
  <c r="I3114" i="4"/>
  <c r="I3113" i="4"/>
  <c r="I3112" i="4"/>
  <c r="I3111" i="4"/>
  <c r="I3110" i="4"/>
  <c r="I3109" i="4"/>
  <c r="I3108" i="4"/>
  <c r="I3107" i="4"/>
  <c r="I3106" i="4"/>
  <c r="I3105" i="4"/>
  <c r="I3104" i="4"/>
  <c r="I3103" i="4"/>
  <c r="I3102" i="4"/>
  <c r="I3101" i="4"/>
  <c r="I3100" i="4"/>
  <c r="I3099" i="4"/>
  <c r="I3098" i="4"/>
  <c r="I3097" i="4"/>
  <c r="I3096" i="4"/>
  <c r="I3095" i="4"/>
  <c r="I3094" i="4"/>
  <c r="I3093" i="4"/>
  <c r="I3092" i="4"/>
  <c r="I3091" i="4"/>
  <c r="I3090" i="4"/>
  <c r="I3089" i="4"/>
  <c r="I3088" i="4"/>
  <c r="I3087" i="4"/>
  <c r="I3086" i="4"/>
  <c r="I3085" i="4"/>
  <c r="I3084" i="4"/>
  <c r="I3083" i="4"/>
  <c r="I3082" i="4"/>
  <c r="I3081" i="4"/>
  <c r="I3080" i="4"/>
  <c r="I3079" i="4"/>
  <c r="I3078" i="4"/>
  <c r="I3077" i="4"/>
  <c r="I3076" i="4"/>
  <c r="I3075" i="4"/>
  <c r="I3074" i="4"/>
  <c r="I3073" i="4"/>
  <c r="I3072" i="4"/>
  <c r="I3071" i="4"/>
  <c r="I3070" i="4"/>
  <c r="I3069" i="4"/>
  <c r="I3068" i="4"/>
  <c r="I3067" i="4"/>
  <c r="I3066" i="4"/>
  <c r="I3065" i="4"/>
  <c r="I3064" i="4"/>
  <c r="I3063" i="4"/>
  <c r="I3062" i="4"/>
  <c r="I3061" i="4"/>
  <c r="I3060" i="4"/>
  <c r="I3059" i="4"/>
  <c r="I3058" i="4"/>
  <c r="I3057" i="4"/>
  <c r="I3056" i="4"/>
  <c r="I3055" i="4"/>
  <c r="I3054" i="4"/>
  <c r="I3053" i="4"/>
  <c r="I3052" i="4"/>
  <c r="I3051" i="4"/>
  <c r="I3050" i="4"/>
  <c r="I3049" i="4"/>
  <c r="I3048" i="4"/>
  <c r="I3047" i="4"/>
  <c r="I3046" i="4"/>
  <c r="I3045" i="4"/>
  <c r="I3044" i="4"/>
  <c r="I3043" i="4"/>
  <c r="I3042" i="4"/>
  <c r="I3041" i="4"/>
  <c r="I3040" i="4"/>
  <c r="I3039" i="4"/>
  <c r="I3038" i="4"/>
  <c r="I3037" i="4"/>
  <c r="I3036" i="4"/>
  <c r="I3035" i="4"/>
  <c r="I3034" i="4"/>
  <c r="I3033" i="4"/>
  <c r="I3032" i="4"/>
  <c r="I3031" i="4"/>
  <c r="I3030" i="4"/>
  <c r="I3029" i="4"/>
  <c r="I3028" i="4"/>
  <c r="I3027" i="4"/>
  <c r="I3026" i="4"/>
  <c r="I3025" i="4"/>
  <c r="I3024" i="4"/>
  <c r="I3023" i="4"/>
  <c r="I3022" i="4"/>
  <c r="I3021" i="4"/>
  <c r="I3020" i="4"/>
  <c r="I3019" i="4"/>
  <c r="I3018" i="4"/>
  <c r="I3017" i="4"/>
  <c r="I3016" i="4"/>
  <c r="I3015" i="4"/>
  <c r="I3014" i="4"/>
  <c r="I3013" i="4"/>
  <c r="I3012" i="4"/>
  <c r="I3011" i="4"/>
  <c r="I3010" i="4"/>
  <c r="I3009" i="4"/>
  <c r="I3008" i="4"/>
  <c r="I3007" i="4"/>
  <c r="I3006" i="4"/>
  <c r="I3005" i="4"/>
  <c r="I3004" i="4"/>
  <c r="I3003" i="4"/>
  <c r="I3002" i="4"/>
  <c r="I3001" i="4"/>
  <c r="I3000" i="4"/>
  <c r="I2999" i="4"/>
  <c r="I2998" i="4"/>
  <c r="I2997" i="4"/>
  <c r="I2996" i="4"/>
  <c r="I2995" i="4"/>
  <c r="I2994" i="4"/>
  <c r="I2993" i="4"/>
  <c r="I2992" i="4"/>
  <c r="I2991" i="4"/>
  <c r="I2990" i="4"/>
  <c r="I2989" i="4"/>
  <c r="I2988" i="4"/>
  <c r="I2987" i="4"/>
  <c r="I2986" i="4"/>
  <c r="I2985" i="4"/>
  <c r="I2984" i="4"/>
  <c r="I2983" i="4"/>
  <c r="I2982" i="4"/>
  <c r="I2981" i="4"/>
  <c r="I2980" i="4"/>
  <c r="I2979" i="4"/>
  <c r="I2978" i="4"/>
  <c r="I2977" i="4"/>
  <c r="I2976" i="4"/>
  <c r="I2975" i="4"/>
  <c r="I2974" i="4"/>
  <c r="I2973" i="4"/>
  <c r="I2972" i="4"/>
  <c r="I2971" i="4"/>
  <c r="I2970" i="4"/>
  <c r="I2969" i="4"/>
  <c r="I2968" i="4"/>
  <c r="I2967" i="4"/>
  <c r="I2966" i="4"/>
  <c r="I2965" i="4"/>
  <c r="I2964" i="4"/>
  <c r="I2963" i="4"/>
  <c r="I2962" i="4"/>
  <c r="I2961" i="4"/>
  <c r="I2960" i="4"/>
  <c r="I2959" i="4"/>
  <c r="I2958" i="4"/>
  <c r="I2957" i="4"/>
  <c r="I2956" i="4"/>
  <c r="I2955" i="4"/>
  <c r="I2954" i="4"/>
  <c r="I2953" i="4"/>
  <c r="I2952" i="4"/>
  <c r="I2951" i="4"/>
  <c r="I2950" i="4"/>
  <c r="I2949" i="4"/>
  <c r="I2948" i="4"/>
  <c r="I2947" i="4"/>
  <c r="I2946" i="4"/>
  <c r="I2945" i="4"/>
  <c r="I2944" i="4"/>
  <c r="I2943" i="4"/>
  <c r="I2942" i="4"/>
  <c r="I2941" i="4"/>
  <c r="I2940" i="4"/>
  <c r="I2939" i="4"/>
  <c r="I2938" i="4"/>
  <c r="I2937" i="4"/>
  <c r="I2936" i="4"/>
  <c r="I2935" i="4"/>
  <c r="I2934" i="4"/>
  <c r="I2933" i="4"/>
  <c r="I2932" i="4"/>
  <c r="I2931" i="4"/>
  <c r="I2930" i="4"/>
  <c r="I2929" i="4"/>
  <c r="I2928" i="4"/>
  <c r="I2927" i="4"/>
  <c r="I2926" i="4"/>
  <c r="I2925" i="4"/>
  <c r="I2924" i="4"/>
  <c r="I2923" i="4"/>
  <c r="I2922" i="4"/>
  <c r="I2921" i="4"/>
  <c r="I2920" i="4"/>
  <c r="I2919" i="4"/>
  <c r="I2918" i="4"/>
  <c r="I2917" i="4"/>
  <c r="I2916" i="4"/>
  <c r="I2915" i="4"/>
  <c r="I2914" i="4"/>
  <c r="I2913" i="4"/>
  <c r="I2912" i="4"/>
  <c r="I2911" i="4"/>
  <c r="I2910" i="4"/>
  <c r="I2909" i="4"/>
  <c r="I2908" i="4"/>
  <c r="I2907" i="4"/>
  <c r="I2906" i="4"/>
  <c r="I2905" i="4"/>
  <c r="I2904" i="4"/>
  <c r="I2903" i="4"/>
  <c r="I2902" i="4"/>
  <c r="I2901" i="4"/>
  <c r="I2900" i="4"/>
  <c r="I2899" i="4"/>
  <c r="I2898" i="4"/>
  <c r="I2897" i="4"/>
  <c r="I2896" i="4"/>
  <c r="I2895" i="4"/>
  <c r="I2894" i="4"/>
  <c r="I2893" i="4"/>
  <c r="I2892" i="4"/>
  <c r="I2891" i="4"/>
  <c r="I2890" i="4"/>
  <c r="I2889" i="4"/>
  <c r="I2888" i="4"/>
  <c r="I2887" i="4"/>
  <c r="I2886" i="4"/>
  <c r="I2885" i="4"/>
  <c r="I2884" i="4"/>
  <c r="I2883" i="4"/>
  <c r="I2882" i="4"/>
  <c r="I2881" i="4"/>
  <c r="I2880" i="4"/>
  <c r="I2879" i="4"/>
  <c r="I2878" i="4"/>
  <c r="I2877" i="4"/>
  <c r="I2876" i="4"/>
  <c r="I2875" i="4"/>
  <c r="I2874" i="4"/>
  <c r="I2873" i="4"/>
  <c r="I2872" i="4"/>
  <c r="I2871" i="4"/>
  <c r="I2870" i="4"/>
  <c r="I2869" i="4"/>
  <c r="I2868" i="4"/>
  <c r="I2867" i="4"/>
  <c r="I2866" i="4"/>
  <c r="I2865" i="4"/>
  <c r="I2864" i="4"/>
  <c r="I2863" i="4"/>
  <c r="I2862" i="4"/>
  <c r="I2861" i="4"/>
  <c r="I2860" i="4"/>
  <c r="I2859" i="4"/>
  <c r="I2858" i="4"/>
  <c r="I2857" i="4"/>
  <c r="I2856" i="4"/>
  <c r="I2855" i="4"/>
  <c r="I2854" i="4"/>
  <c r="I2853" i="4"/>
  <c r="I2852" i="4"/>
  <c r="I2851" i="4"/>
  <c r="I2850" i="4"/>
  <c r="I2849" i="4"/>
  <c r="I2848" i="4"/>
  <c r="I2847" i="4"/>
  <c r="I2846" i="4"/>
  <c r="I2845" i="4"/>
  <c r="I2844" i="4"/>
  <c r="I2843" i="4"/>
  <c r="I2842" i="4"/>
  <c r="I2841" i="4"/>
  <c r="I2840" i="4"/>
  <c r="I2839" i="4"/>
  <c r="I2838" i="4"/>
  <c r="I2837" i="4"/>
  <c r="I2836" i="4"/>
  <c r="I2835" i="4"/>
  <c r="I2834" i="4"/>
  <c r="I2833" i="4"/>
  <c r="I2832" i="4"/>
  <c r="I2831" i="4"/>
  <c r="I2830" i="4"/>
  <c r="I2829" i="4"/>
  <c r="I2828" i="4"/>
  <c r="I2827" i="4"/>
  <c r="I2826" i="4"/>
  <c r="I2825" i="4"/>
  <c r="I2824" i="4"/>
  <c r="I2823" i="4"/>
  <c r="I2822" i="4"/>
  <c r="I2821" i="4"/>
  <c r="I2820" i="4"/>
  <c r="I2819" i="4"/>
  <c r="I2818" i="4"/>
  <c r="I2817" i="4"/>
  <c r="I2816" i="4"/>
  <c r="I2815" i="4"/>
  <c r="I2814" i="4"/>
  <c r="I2813" i="4"/>
  <c r="I2812" i="4"/>
  <c r="I2811" i="4"/>
  <c r="I2810" i="4"/>
  <c r="I2809" i="4"/>
  <c r="I2808" i="4"/>
  <c r="I2807" i="4"/>
  <c r="I2806" i="4"/>
  <c r="I2805" i="4"/>
  <c r="I2804" i="4"/>
  <c r="I2803" i="4"/>
  <c r="I2802" i="4"/>
  <c r="I2801" i="4"/>
  <c r="I2800" i="4"/>
  <c r="I2799" i="4"/>
  <c r="I2798" i="4"/>
  <c r="I2797" i="4"/>
  <c r="I2796" i="4"/>
  <c r="I2795" i="4"/>
  <c r="I2794" i="4"/>
  <c r="I2793" i="4"/>
  <c r="I2792" i="4"/>
  <c r="I2791" i="4"/>
  <c r="I2790" i="4"/>
  <c r="I2789" i="4"/>
  <c r="I2788" i="4"/>
  <c r="I2787" i="4"/>
  <c r="I2786" i="4"/>
  <c r="I2785" i="4"/>
  <c r="I2784" i="4"/>
  <c r="I2783" i="4"/>
  <c r="I2782" i="4"/>
  <c r="I2781" i="4"/>
  <c r="I2780" i="4"/>
  <c r="I2779" i="4"/>
  <c r="I2778" i="4"/>
  <c r="I2777" i="4"/>
  <c r="I2776" i="4"/>
  <c r="I2775" i="4"/>
  <c r="I2774" i="4"/>
  <c r="I2773" i="4"/>
  <c r="I2772" i="4"/>
  <c r="I2771" i="4"/>
  <c r="I2770" i="4"/>
  <c r="I2769" i="4"/>
  <c r="I2768" i="4"/>
  <c r="I2767" i="4"/>
  <c r="I2766" i="4"/>
  <c r="I2765" i="4"/>
  <c r="I2764" i="4"/>
  <c r="I2763" i="4"/>
  <c r="I2762" i="4"/>
  <c r="I2761" i="4"/>
  <c r="I2760" i="4"/>
  <c r="I2759" i="4"/>
  <c r="I2758" i="4"/>
  <c r="I2757" i="4"/>
  <c r="I2756" i="4"/>
  <c r="I2755" i="4"/>
  <c r="I2754" i="4"/>
  <c r="I2753" i="4"/>
  <c r="I2752" i="4"/>
  <c r="I2751" i="4"/>
  <c r="I2750" i="4"/>
  <c r="I2749" i="4"/>
  <c r="I2748" i="4"/>
  <c r="I2747" i="4"/>
  <c r="I2746" i="4"/>
  <c r="I2745" i="4"/>
  <c r="I2744" i="4"/>
  <c r="I2743" i="4"/>
  <c r="I2742" i="4"/>
  <c r="I2741" i="4"/>
  <c r="I2740" i="4"/>
  <c r="I2739" i="4"/>
  <c r="I2738" i="4"/>
  <c r="I2737" i="4"/>
  <c r="I2736" i="4"/>
  <c r="I2735" i="4"/>
  <c r="I2734" i="4"/>
  <c r="I2733" i="4"/>
  <c r="I2732" i="4"/>
  <c r="I2731" i="4"/>
  <c r="I2730" i="4"/>
  <c r="I2729" i="4"/>
  <c r="I2728" i="4"/>
  <c r="I2727" i="4"/>
  <c r="I2726" i="4"/>
  <c r="I2725" i="4"/>
  <c r="I2724" i="4"/>
  <c r="I2723" i="4"/>
  <c r="I2722" i="4"/>
  <c r="I2721" i="4"/>
  <c r="I2720" i="4"/>
  <c r="I2719" i="4"/>
  <c r="I2718" i="4"/>
  <c r="I2717" i="4"/>
  <c r="I2716" i="4"/>
  <c r="I2715" i="4"/>
  <c r="I2714" i="4"/>
  <c r="I2713" i="4"/>
  <c r="I2712" i="4"/>
  <c r="I2711" i="4"/>
  <c r="I2710" i="4"/>
  <c r="I2709" i="4"/>
  <c r="I2708" i="4"/>
  <c r="I2707" i="4"/>
  <c r="I2706" i="4"/>
  <c r="I2705" i="4"/>
  <c r="I2704" i="4"/>
  <c r="I2703" i="4"/>
  <c r="I2702" i="4"/>
  <c r="I2701" i="4"/>
  <c r="I2700" i="4"/>
  <c r="I2699" i="4"/>
  <c r="I2698" i="4"/>
  <c r="I2697" i="4"/>
  <c r="I2696" i="4"/>
  <c r="I2695" i="4"/>
  <c r="I2694" i="4"/>
  <c r="I2693" i="4"/>
  <c r="I2692" i="4"/>
  <c r="I2691" i="4"/>
  <c r="I2690" i="4"/>
  <c r="I2689" i="4"/>
  <c r="I2688" i="4"/>
  <c r="I2687" i="4"/>
  <c r="I2686" i="4"/>
  <c r="I2685" i="4"/>
  <c r="I2684" i="4"/>
  <c r="I2683" i="4"/>
  <c r="I2682" i="4"/>
  <c r="I2681" i="4"/>
  <c r="I2680" i="4"/>
  <c r="I2679" i="4"/>
  <c r="I2678" i="4"/>
  <c r="I2677" i="4"/>
  <c r="I2676" i="4"/>
  <c r="I2675" i="4"/>
  <c r="I2674" i="4"/>
  <c r="I2673" i="4"/>
  <c r="I2672" i="4"/>
  <c r="I2671" i="4"/>
  <c r="I2670" i="4"/>
  <c r="I2669" i="4"/>
  <c r="I2668" i="4"/>
  <c r="I2667" i="4"/>
  <c r="I2666" i="4"/>
  <c r="I2665" i="4"/>
  <c r="I2664" i="4"/>
  <c r="I2663" i="4"/>
  <c r="I2662" i="4"/>
  <c r="I2661" i="4"/>
  <c r="I2660" i="4"/>
  <c r="I2659" i="4"/>
  <c r="I2658" i="4"/>
  <c r="I2657" i="4"/>
  <c r="I2656" i="4"/>
  <c r="I2655" i="4"/>
  <c r="I2654" i="4"/>
  <c r="I2653" i="4"/>
  <c r="I2652" i="4"/>
  <c r="I2651" i="4"/>
  <c r="I2650" i="4"/>
  <c r="I2649" i="4"/>
  <c r="I2648" i="4"/>
  <c r="I2647" i="4"/>
  <c r="I2646" i="4"/>
  <c r="I2645" i="4"/>
  <c r="I2644" i="4"/>
  <c r="I2643" i="4"/>
  <c r="I2642" i="4"/>
  <c r="I2641" i="4"/>
  <c r="I2640" i="4"/>
  <c r="I2639" i="4"/>
  <c r="I2638" i="4"/>
  <c r="I2637" i="4"/>
  <c r="I2636" i="4"/>
  <c r="I2635" i="4"/>
  <c r="I2634" i="4"/>
  <c r="I2633" i="4"/>
  <c r="I2632" i="4"/>
  <c r="I2631" i="4"/>
  <c r="I2630" i="4"/>
  <c r="I2629" i="4"/>
  <c r="I2628" i="4"/>
  <c r="I2627" i="4"/>
  <c r="I2626" i="4"/>
  <c r="I2625" i="4"/>
  <c r="I2624" i="4"/>
  <c r="I2623" i="4"/>
  <c r="I2622" i="4"/>
  <c r="I2621" i="4"/>
  <c r="I2620" i="4"/>
  <c r="I2619" i="4"/>
  <c r="I2618" i="4"/>
  <c r="I2617" i="4"/>
  <c r="I2616" i="4"/>
  <c r="I2615" i="4"/>
  <c r="I2614" i="4"/>
  <c r="I2613" i="4"/>
  <c r="I2612" i="4"/>
  <c r="I2611" i="4"/>
  <c r="I2610" i="4"/>
  <c r="I2609" i="4"/>
  <c r="I2608" i="4"/>
  <c r="I2607" i="4"/>
  <c r="I2606" i="4"/>
  <c r="I2605" i="4"/>
  <c r="I2604" i="4"/>
  <c r="I2603" i="4"/>
  <c r="I2602" i="4"/>
  <c r="I2601" i="4"/>
  <c r="I2600" i="4"/>
  <c r="I2599" i="4"/>
  <c r="I2598" i="4"/>
  <c r="I2597" i="4"/>
  <c r="I2596" i="4"/>
  <c r="I2595" i="4"/>
  <c r="I2594" i="4"/>
  <c r="I2593" i="4"/>
  <c r="I2592" i="4"/>
  <c r="I2591" i="4"/>
  <c r="I2590" i="4"/>
  <c r="I2589" i="4"/>
  <c r="I2588" i="4"/>
  <c r="I2587" i="4"/>
  <c r="I2586" i="4"/>
  <c r="I2585" i="4"/>
  <c r="I2584" i="4"/>
  <c r="I2583" i="4"/>
  <c r="I2582" i="4"/>
  <c r="I2581" i="4"/>
  <c r="I2580" i="4"/>
  <c r="I2579" i="4"/>
  <c r="I2578" i="4"/>
  <c r="I2577" i="4"/>
  <c r="I2576" i="4"/>
  <c r="I2575" i="4"/>
  <c r="I2574" i="4"/>
  <c r="I2573" i="4"/>
  <c r="I2572" i="4"/>
  <c r="I2571" i="4"/>
  <c r="I2570" i="4"/>
  <c r="I2569" i="4"/>
  <c r="I2568" i="4"/>
  <c r="I2567" i="4"/>
  <c r="I2566" i="4"/>
  <c r="I2565" i="4"/>
  <c r="I2564" i="4"/>
  <c r="I2563" i="4"/>
  <c r="I2562" i="4"/>
  <c r="I2561" i="4"/>
  <c r="I2560" i="4"/>
  <c r="I2559" i="4"/>
  <c r="I2558" i="4"/>
  <c r="I2557" i="4"/>
  <c r="I2556" i="4"/>
  <c r="I2555" i="4"/>
  <c r="I2554" i="4"/>
  <c r="I2553" i="4"/>
  <c r="I2552" i="4"/>
  <c r="I2551" i="4"/>
  <c r="I2550" i="4"/>
  <c r="I2549" i="4"/>
  <c r="I2548" i="4"/>
  <c r="I2547" i="4"/>
  <c r="I2546" i="4"/>
  <c r="I2545" i="4"/>
  <c r="I2544" i="4"/>
  <c r="I2543" i="4"/>
  <c r="I2542" i="4"/>
  <c r="I2541" i="4"/>
  <c r="I2540" i="4"/>
  <c r="I2539" i="4"/>
  <c r="I2538" i="4"/>
  <c r="I2537" i="4"/>
  <c r="I2536" i="4"/>
  <c r="I2535" i="4"/>
  <c r="I2534" i="4"/>
  <c r="I2533" i="4"/>
  <c r="I2532" i="4"/>
  <c r="I2531" i="4"/>
  <c r="I2530" i="4"/>
  <c r="I2529" i="4"/>
  <c r="I2528" i="4"/>
  <c r="I2527" i="4"/>
  <c r="I2526" i="4"/>
  <c r="I2525" i="4"/>
  <c r="I2524" i="4"/>
  <c r="I2523" i="4"/>
  <c r="I2522" i="4"/>
  <c r="I2521" i="4"/>
  <c r="I2520" i="4"/>
  <c r="I2519" i="4"/>
  <c r="I2518" i="4"/>
  <c r="I2517" i="4"/>
  <c r="I2516" i="4"/>
  <c r="I2515" i="4"/>
  <c r="I2514" i="4"/>
  <c r="I2513" i="4"/>
  <c r="I2512" i="4"/>
  <c r="I2511" i="4"/>
  <c r="I2510" i="4"/>
  <c r="I2509" i="4"/>
  <c r="I2508" i="4"/>
  <c r="I2507" i="4"/>
  <c r="I2506" i="4"/>
  <c r="I2505" i="4"/>
  <c r="I2504" i="4"/>
  <c r="I2503" i="4"/>
  <c r="I2502" i="4"/>
  <c r="I2501" i="4"/>
  <c r="I2500" i="4"/>
  <c r="I2499" i="4"/>
  <c r="I2498" i="4"/>
  <c r="I2497" i="4"/>
  <c r="I2496" i="4"/>
  <c r="I2495" i="4"/>
  <c r="I2494" i="4"/>
  <c r="I2493" i="4"/>
  <c r="I2492" i="4"/>
  <c r="I2491" i="4"/>
  <c r="I2490" i="4"/>
  <c r="I2489" i="4"/>
  <c r="I2488" i="4"/>
  <c r="I2487" i="4"/>
  <c r="I2486" i="4"/>
  <c r="I2485" i="4"/>
  <c r="I2484" i="4"/>
  <c r="I2483" i="4"/>
  <c r="I2482" i="4"/>
  <c r="I2481" i="4"/>
  <c r="I2480" i="4"/>
  <c r="I2479" i="4"/>
  <c r="I2478" i="4"/>
  <c r="I2477" i="4"/>
  <c r="I2476" i="4"/>
  <c r="I2475" i="4"/>
  <c r="I2474" i="4"/>
  <c r="I2473" i="4"/>
  <c r="I2472" i="4"/>
  <c r="I2471" i="4"/>
  <c r="I2470" i="4"/>
  <c r="I2469" i="4"/>
  <c r="I2468" i="4"/>
  <c r="I2467" i="4"/>
  <c r="I2466" i="4"/>
  <c r="I2465" i="4"/>
  <c r="I2464" i="4"/>
  <c r="I2463" i="4"/>
  <c r="I2462" i="4"/>
  <c r="I2461" i="4"/>
  <c r="I2460" i="4"/>
  <c r="I2459" i="4"/>
  <c r="I2458" i="4"/>
  <c r="I2457" i="4"/>
  <c r="I2456" i="4"/>
  <c r="I2455" i="4"/>
  <c r="I2454" i="4"/>
  <c r="I2453" i="4"/>
  <c r="I2452" i="4"/>
  <c r="I2451" i="4"/>
  <c r="I2450" i="4"/>
  <c r="I2449" i="4"/>
  <c r="I2448" i="4"/>
  <c r="I2447" i="4"/>
  <c r="I2446" i="4"/>
  <c r="I2445" i="4"/>
  <c r="I2444" i="4"/>
  <c r="I2443" i="4"/>
  <c r="I2442" i="4"/>
  <c r="I2441" i="4"/>
  <c r="I2440" i="4"/>
  <c r="I2439" i="4"/>
  <c r="I2438" i="4"/>
  <c r="I2437" i="4"/>
  <c r="I2436" i="4"/>
  <c r="I2435" i="4"/>
  <c r="I2434" i="4"/>
  <c r="I2433" i="4"/>
  <c r="I2432" i="4"/>
  <c r="I2431" i="4"/>
  <c r="I2430" i="4"/>
  <c r="I2429" i="4"/>
  <c r="I2428" i="4"/>
  <c r="I2427" i="4"/>
  <c r="I2426" i="4"/>
  <c r="I2425" i="4"/>
  <c r="I2424" i="4"/>
  <c r="I2423" i="4"/>
  <c r="I2422" i="4"/>
  <c r="I2421" i="4"/>
  <c r="I2420" i="4"/>
  <c r="I2419" i="4"/>
  <c r="I2418" i="4"/>
  <c r="I2417" i="4"/>
  <c r="I2416" i="4"/>
  <c r="I2415" i="4"/>
  <c r="I2414" i="4"/>
  <c r="I2413" i="4"/>
  <c r="I2412" i="4"/>
  <c r="I2411" i="4"/>
  <c r="I2410" i="4"/>
  <c r="I2409" i="4"/>
  <c r="I2408" i="4"/>
  <c r="I2407" i="4"/>
  <c r="I2406" i="4"/>
  <c r="I2405" i="4"/>
  <c r="I2404" i="4"/>
  <c r="I2403" i="4"/>
  <c r="I2402" i="4"/>
  <c r="I2401" i="4"/>
  <c r="I2400" i="4"/>
  <c r="I2399" i="4"/>
  <c r="I2398" i="4"/>
  <c r="I2397" i="4"/>
  <c r="I2396" i="4"/>
  <c r="I2395" i="4"/>
  <c r="I2394" i="4"/>
  <c r="I2393" i="4"/>
  <c r="I2392" i="4"/>
  <c r="I2391" i="4"/>
  <c r="I2390" i="4"/>
  <c r="I2389" i="4"/>
  <c r="I2388" i="4"/>
  <c r="I2387" i="4"/>
  <c r="I2386" i="4"/>
  <c r="I2385" i="4"/>
  <c r="I2384" i="4"/>
  <c r="I2383" i="4"/>
  <c r="I2382" i="4"/>
  <c r="I2381" i="4"/>
  <c r="I2380" i="4"/>
  <c r="I2379" i="4"/>
  <c r="I2378" i="4"/>
  <c r="I2377" i="4"/>
  <c r="I2376" i="4"/>
  <c r="I2375" i="4"/>
  <c r="I2374" i="4"/>
  <c r="I2373" i="4"/>
  <c r="I2372" i="4"/>
  <c r="I2371" i="4"/>
  <c r="I2370" i="4"/>
  <c r="I2369" i="4"/>
  <c r="I2368" i="4"/>
  <c r="I2367" i="4"/>
  <c r="I2366" i="4"/>
  <c r="I2365" i="4"/>
  <c r="I2364" i="4"/>
  <c r="I2363" i="4"/>
  <c r="I2362" i="4"/>
  <c r="I2361" i="4"/>
  <c r="I2360" i="4"/>
  <c r="I2359" i="4"/>
  <c r="I2358" i="4"/>
  <c r="I2357" i="4"/>
  <c r="I2356" i="4"/>
  <c r="I2355" i="4"/>
  <c r="I2354" i="4"/>
  <c r="I2353" i="4"/>
  <c r="I2352" i="4"/>
  <c r="I2351" i="4"/>
  <c r="I2350" i="4"/>
  <c r="I2349" i="4"/>
  <c r="I2348" i="4"/>
  <c r="I2347" i="4"/>
  <c r="I2346" i="4"/>
  <c r="I2345" i="4"/>
  <c r="I2344" i="4"/>
  <c r="I2343" i="4"/>
  <c r="I2342" i="4"/>
  <c r="I2341" i="4"/>
  <c r="I2340" i="4"/>
  <c r="I2339" i="4"/>
  <c r="I2338" i="4"/>
  <c r="I2337" i="4"/>
  <c r="I2336" i="4"/>
  <c r="I2335" i="4"/>
  <c r="I2334" i="4"/>
  <c r="I2333" i="4"/>
  <c r="I2332" i="4"/>
  <c r="I2331" i="4"/>
  <c r="I2330" i="4"/>
  <c r="I2329" i="4"/>
  <c r="I2328" i="4"/>
  <c r="I2327" i="4"/>
  <c r="I2326" i="4"/>
  <c r="I2325" i="4"/>
  <c r="I2324" i="4"/>
  <c r="I2323" i="4"/>
  <c r="I2322" i="4"/>
  <c r="I2321" i="4"/>
  <c r="I2320" i="4"/>
  <c r="I2319" i="4"/>
  <c r="I2318" i="4"/>
  <c r="I2317" i="4"/>
  <c r="I2316" i="4"/>
  <c r="I2315" i="4"/>
  <c r="I2314" i="4"/>
  <c r="I2313" i="4"/>
  <c r="I2312" i="4"/>
  <c r="I2311" i="4"/>
  <c r="I2310" i="4"/>
  <c r="I2309" i="4"/>
  <c r="I2308" i="4"/>
  <c r="I2307" i="4"/>
  <c r="I2306" i="4"/>
  <c r="I2305" i="4"/>
  <c r="I2304" i="4"/>
  <c r="I2303" i="4"/>
  <c r="I2302" i="4"/>
  <c r="I2301" i="4"/>
  <c r="I2300" i="4"/>
  <c r="I2299" i="4"/>
  <c r="I2298" i="4"/>
  <c r="I2297" i="4"/>
  <c r="I2296" i="4"/>
  <c r="I2295" i="4"/>
  <c r="I2294" i="4"/>
  <c r="I2293" i="4"/>
  <c r="I2292" i="4"/>
  <c r="I2291" i="4"/>
  <c r="I2290" i="4"/>
  <c r="I2289" i="4"/>
  <c r="I2288" i="4"/>
  <c r="I2287" i="4"/>
  <c r="I2286" i="4"/>
  <c r="I2285" i="4"/>
  <c r="I2284" i="4"/>
  <c r="I2283" i="4"/>
  <c r="I2282" i="4"/>
  <c r="I2281" i="4"/>
  <c r="I2280" i="4"/>
  <c r="I2279" i="4"/>
  <c r="I2278" i="4"/>
  <c r="I2277" i="4"/>
  <c r="I2276" i="4"/>
  <c r="I2275" i="4"/>
  <c r="I2274" i="4"/>
  <c r="I2273" i="4"/>
  <c r="I2272" i="4"/>
  <c r="I2271" i="4"/>
  <c r="I2270" i="4"/>
  <c r="I2269" i="4"/>
  <c r="I2268" i="4"/>
  <c r="I2267" i="4"/>
  <c r="I2266" i="4"/>
  <c r="I2265" i="4"/>
  <c r="I2264" i="4"/>
  <c r="I2263" i="4"/>
  <c r="I2262" i="4"/>
  <c r="I2261" i="4"/>
  <c r="I2260" i="4"/>
  <c r="I2259" i="4"/>
  <c r="I2258" i="4"/>
  <c r="I2257" i="4"/>
  <c r="I2256" i="4"/>
  <c r="I2255" i="4"/>
  <c r="I2254" i="4"/>
  <c r="I2253" i="4"/>
  <c r="I2252" i="4"/>
  <c r="I2251" i="4"/>
  <c r="I2250" i="4"/>
  <c r="I2249" i="4"/>
  <c r="I2248" i="4"/>
  <c r="I2247" i="4"/>
  <c r="I2246" i="4"/>
  <c r="I2245" i="4"/>
  <c r="I2244" i="4"/>
  <c r="I2243" i="4"/>
  <c r="I2242" i="4"/>
  <c r="I2241" i="4"/>
  <c r="I2240" i="4"/>
  <c r="I2239" i="4"/>
  <c r="I2238" i="4"/>
  <c r="I2237" i="4"/>
  <c r="I2236" i="4"/>
  <c r="I2235" i="4"/>
  <c r="I2234" i="4"/>
  <c r="I2233" i="4"/>
  <c r="I2232" i="4"/>
  <c r="I2231" i="4"/>
  <c r="I2230" i="4"/>
  <c r="I2229" i="4"/>
  <c r="I2228" i="4"/>
  <c r="I2227" i="4"/>
  <c r="I2226" i="4"/>
  <c r="I2225" i="4"/>
  <c r="I2224" i="4"/>
  <c r="I2223" i="4"/>
  <c r="I2222" i="4"/>
  <c r="I2221" i="4"/>
  <c r="I2220" i="4"/>
  <c r="I2219" i="4"/>
  <c r="I2218" i="4"/>
  <c r="I2217" i="4"/>
  <c r="I2216" i="4"/>
  <c r="I2215" i="4"/>
  <c r="I2214" i="4"/>
  <c r="I2213" i="4"/>
  <c r="I2212" i="4"/>
  <c r="I2211" i="4"/>
  <c r="I2210" i="4"/>
  <c r="I2209" i="4"/>
  <c r="I2208" i="4"/>
  <c r="I2207" i="4"/>
  <c r="I2206" i="4"/>
  <c r="I2205" i="4"/>
  <c r="I2204" i="4"/>
  <c r="I2203" i="4"/>
  <c r="I2202" i="4"/>
  <c r="I2201" i="4"/>
  <c r="I2200" i="4"/>
  <c r="I2199" i="4"/>
  <c r="I2198" i="4"/>
  <c r="I2197" i="4"/>
  <c r="I2196" i="4"/>
  <c r="I2195" i="4"/>
  <c r="I2194" i="4"/>
  <c r="I2193" i="4"/>
  <c r="I2192" i="4"/>
  <c r="I2191" i="4"/>
  <c r="I2190" i="4"/>
  <c r="I2189" i="4"/>
  <c r="I2188" i="4"/>
  <c r="I2187" i="4"/>
  <c r="I2186" i="4"/>
  <c r="I2185" i="4"/>
  <c r="I2184" i="4"/>
  <c r="I2183" i="4"/>
  <c r="I2182" i="4"/>
  <c r="I2181" i="4"/>
  <c r="I2180" i="4"/>
  <c r="I2179" i="4"/>
  <c r="I2178" i="4"/>
  <c r="I2177" i="4"/>
  <c r="I2176" i="4"/>
  <c r="I2175" i="4"/>
  <c r="I2174" i="4"/>
  <c r="I2173" i="4"/>
  <c r="I2172" i="4"/>
  <c r="I2171" i="4"/>
  <c r="I2170" i="4"/>
  <c r="I2169" i="4"/>
  <c r="I2168" i="4"/>
  <c r="I2167" i="4"/>
  <c r="I2166" i="4"/>
  <c r="I2165" i="4"/>
  <c r="I2164" i="4"/>
  <c r="I2163" i="4"/>
  <c r="I2162" i="4"/>
  <c r="I2161" i="4"/>
  <c r="I2160" i="4"/>
  <c r="I2159" i="4"/>
  <c r="I2158" i="4"/>
  <c r="I2157" i="4"/>
  <c r="I2156" i="4"/>
  <c r="I2155" i="4"/>
  <c r="I2154" i="4"/>
  <c r="I2153" i="4"/>
  <c r="I2152" i="4"/>
  <c r="I2151" i="4"/>
  <c r="I2150" i="4"/>
  <c r="I2149" i="4"/>
  <c r="I2148" i="4"/>
  <c r="I2147" i="4"/>
  <c r="I2146" i="4"/>
  <c r="I2145" i="4"/>
  <c r="I2144" i="4"/>
  <c r="I2143" i="4"/>
  <c r="I2142" i="4"/>
  <c r="I2141" i="4"/>
  <c r="I2140" i="4"/>
  <c r="I2139" i="4"/>
  <c r="I2138" i="4"/>
  <c r="I2137" i="4"/>
  <c r="I2136" i="4"/>
  <c r="I2135" i="4"/>
  <c r="I2134" i="4"/>
  <c r="I2133" i="4"/>
  <c r="I2132" i="4"/>
  <c r="I2131" i="4"/>
  <c r="I2130" i="4"/>
  <c r="I2129" i="4"/>
  <c r="I2128" i="4"/>
  <c r="I2127" i="4"/>
  <c r="I2126" i="4"/>
  <c r="I2125" i="4"/>
  <c r="I2124" i="4"/>
  <c r="I2123" i="4"/>
  <c r="I2122" i="4"/>
  <c r="I2121" i="4"/>
  <c r="I2120" i="4"/>
  <c r="I2119" i="4"/>
  <c r="I2118" i="4"/>
  <c r="I2117" i="4"/>
  <c r="I2116" i="4"/>
  <c r="I2115" i="4"/>
  <c r="I2114" i="4"/>
  <c r="I2113" i="4"/>
  <c r="I2112" i="4"/>
  <c r="I2111" i="4"/>
  <c r="I2110" i="4"/>
  <c r="I2109" i="4"/>
  <c r="I2108" i="4"/>
  <c r="I2107" i="4"/>
  <c r="I2106" i="4"/>
  <c r="I2105" i="4"/>
  <c r="I2104" i="4"/>
  <c r="I2103" i="4"/>
  <c r="I2102" i="4"/>
  <c r="I2101" i="4"/>
  <c r="I2100" i="4"/>
  <c r="I2099" i="4"/>
  <c r="I2098" i="4"/>
  <c r="I2097" i="4"/>
  <c r="I2096" i="4"/>
  <c r="I2095" i="4"/>
  <c r="I2094" i="4"/>
  <c r="I2093" i="4"/>
  <c r="I2092" i="4"/>
  <c r="I2091" i="4"/>
  <c r="I2090" i="4"/>
  <c r="I2089" i="4"/>
  <c r="I2088" i="4"/>
  <c r="I2087" i="4"/>
  <c r="I2086" i="4"/>
  <c r="I2085" i="4"/>
  <c r="I2084" i="4"/>
  <c r="I2083" i="4"/>
  <c r="I2082" i="4"/>
  <c r="I2081" i="4"/>
  <c r="I2080" i="4"/>
  <c r="I2079" i="4"/>
  <c r="I2078" i="4"/>
  <c r="I2077" i="4"/>
  <c r="I2076" i="4"/>
  <c r="I2075" i="4"/>
  <c r="I2074" i="4"/>
  <c r="I2073" i="4"/>
  <c r="I2072" i="4"/>
  <c r="I2071" i="4"/>
  <c r="I2070" i="4"/>
  <c r="I2069" i="4"/>
  <c r="I2068" i="4"/>
  <c r="I2067" i="4"/>
  <c r="I2066" i="4"/>
  <c r="I2065" i="4"/>
  <c r="I2064" i="4"/>
  <c r="I2063" i="4"/>
  <c r="I2062" i="4"/>
  <c r="I2061" i="4"/>
  <c r="I2060" i="4"/>
  <c r="I2059" i="4"/>
  <c r="I2058" i="4"/>
  <c r="I2057" i="4"/>
  <c r="I2056" i="4"/>
  <c r="I2055" i="4"/>
  <c r="I2054" i="4"/>
  <c r="I2053" i="4"/>
  <c r="I2052" i="4"/>
  <c r="I2051" i="4"/>
  <c r="I2050" i="4"/>
  <c r="I2049" i="4"/>
  <c r="I2048" i="4"/>
  <c r="I2047" i="4"/>
  <c r="I2046" i="4"/>
  <c r="I2045" i="4"/>
  <c r="I2044" i="4"/>
  <c r="I2043" i="4"/>
  <c r="I2042" i="4"/>
  <c r="I2041" i="4"/>
  <c r="I2040" i="4"/>
  <c r="I2039" i="4"/>
  <c r="I2038" i="4"/>
  <c r="I2037" i="4"/>
  <c r="I2036" i="4"/>
  <c r="I2035" i="4"/>
  <c r="I2034" i="4"/>
  <c r="I2033" i="4"/>
  <c r="I2032" i="4"/>
  <c r="I2031" i="4"/>
  <c r="I2030" i="4"/>
  <c r="I2029" i="4"/>
  <c r="I2028" i="4"/>
  <c r="I2027" i="4"/>
  <c r="I2026" i="4"/>
  <c r="I2025" i="4"/>
  <c r="I2024" i="4"/>
  <c r="I2023" i="4"/>
  <c r="I2022" i="4"/>
  <c r="I2021" i="4"/>
  <c r="I2020" i="4"/>
  <c r="I2019" i="4"/>
  <c r="I2018" i="4"/>
  <c r="I2017" i="4"/>
  <c r="I2016" i="4"/>
  <c r="I2015" i="4"/>
  <c r="I2014" i="4"/>
  <c r="I2013" i="4"/>
  <c r="I2012" i="4"/>
  <c r="I2011" i="4"/>
  <c r="I2010" i="4"/>
  <c r="I2009" i="4"/>
  <c r="I2008" i="4"/>
  <c r="I2007" i="4"/>
  <c r="I2006" i="4"/>
  <c r="I2005" i="4"/>
  <c r="I2004" i="4"/>
  <c r="I2003" i="4"/>
  <c r="I2002" i="4"/>
  <c r="I2001" i="4"/>
  <c r="I2000" i="4"/>
  <c r="I1999" i="4"/>
  <c r="I1998" i="4"/>
  <c r="I1997" i="4"/>
  <c r="I1996" i="4"/>
  <c r="I1995" i="4"/>
  <c r="I1994" i="4"/>
  <c r="I1993" i="4"/>
  <c r="I1992" i="4"/>
  <c r="I1991" i="4"/>
  <c r="I1990" i="4"/>
  <c r="I1989" i="4"/>
  <c r="I1988" i="4"/>
  <c r="I1987" i="4"/>
  <c r="I1986" i="4"/>
  <c r="I1985" i="4"/>
  <c r="I1984" i="4"/>
  <c r="I1983" i="4"/>
  <c r="I1982" i="4"/>
  <c r="I1981" i="4"/>
  <c r="I1980" i="4"/>
  <c r="I1979" i="4"/>
  <c r="I1978" i="4"/>
  <c r="I1977" i="4"/>
  <c r="I1976" i="4"/>
  <c r="I1975" i="4"/>
  <c r="I1974" i="4"/>
  <c r="I1973" i="4"/>
  <c r="I1972" i="4"/>
  <c r="I1971" i="4"/>
  <c r="I1970" i="4"/>
  <c r="I1969" i="4"/>
  <c r="I1968" i="4"/>
  <c r="I1967" i="4"/>
  <c r="I1966" i="4"/>
  <c r="I1965" i="4"/>
  <c r="I1964" i="4"/>
  <c r="I1963" i="4"/>
  <c r="I1962" i="4"/>
  <c r="I1961" i="4"/>
  <c r="I1960" i="4"/>
  <c r="I1959" i="4"/>
  <c r="I1958" i="4"/>
  <c r="I1957" i="4"/>
  <c r="I1956" i="4"/>
  <c r="I1955" i="4"/>
  <c r="I1954" i="4"/>
  <c r="I1953" i="4"/>
  <c r="I1952" i="4"/>
  <c r="I1951" i="4"/>
  <c r="I1950" i="4"/>
  <c r="I1949" i="4"/>
  <c r="I1948" i="4"/>
  <c r="I1947" i="4"/>
  <c r="I1946" i="4"/>
  <c r="I1945" i="4"/>
  <c r="I1944" i="4"/>
  <c r="I1943" i="4"/>
  <c r="I1942" i="4"/>
  <c r="I1941" i="4"/>
  <c r="I1940" i="4"/>
  <c r="I1939" i="4"/>
  <c r="I1938" i="4"/>
  <c r="I1937" i="4"/>
  <c r="I1936" i="4"/>
  <c r="I1935" i="4"/>
  <c r="I1934" i="4"/>
  <c r="I1933" i="4"/>
  <c r="I1932" i="4"/>
  <c r="I1931" i="4"/>
  <c r="I1930" i="4"/>
  <c r="I1929" i="4"/>
  <c r="I1928" i="4"/>
  <c r="I1927" i="4"/>
  <c r="I1926" i="4"/>
  <c r="I1925" i="4"/>
  <c r="I1924" i="4"/>
  <c r="I1923" i="4"/>
  <c r="I1922" i="4"/>
  <c r="I1921" i="4"/>
  <c r="I1920" i="4"/>
  <c r="I1919" i="4"/>
  <c r="I1918" i="4"/>
  <c r="I1917" i="4"/>
  <c r="I1916" i="4"/>
  <c r="I1915" i="4"/>
  <c r="I1914" i="4"/>
  <c r="I1913" i="4"/>
  <c r="I1912" i="4"/>
  <c r="I1911" i="4"/>
  <c r="I1910" i="4"/>
  <c r="I1909" i="4"/>
  <c r="I1908" i="4"/>
  <c r="I1907" i="4"/>
  <c r="I1906" i="4"/>
  <c r="I1905" i="4"/>
  <c r="I1904" i="4"/>
  <c r="I1903" i="4"/>
  <c r="I1902" i="4"/>
  <c r="I1901" i="4"/>
  <c r="I1900" i="4"/>
  <c r="I1899" i="4"/>
  <c r="I1898" i="4"/>
  <c r="I1897" i="4"/>
  <c r="I1896" i="4"/>
  <c r="I1895" i="4"/>
  <c r="I1894" i="4"/>
  <c r="I1893" i="4"/>
  <c r="I1892" i="4"/>
  <c r="I1891" i="4"/>
  <c r="I1890" i="4"/>
  <c r="I1889" i="4"/>
  <c r="I1888" i="4"/>
  <c r="I1887" i="4"/>
  <c r="I1886" i="4"/>
  <c r="I1885" i="4"/>
  <c r="I1884" i="4"/>
  <c r="I1883" i="4"/>
  <c r="I1882" i="4"/>
  <c r="I1881" i="4"/>
  <c r="I1880" i="4"/>
  <c r="I1879" i="4"/>
  <c r="I1878" i="4"/>
  <c r="I1877" i="4"/>
  <c r="I1876" i="4"/>
  <c r="I1875" i="4"/>
  <c r="I1874" i="4"/>
  <c r="I1873" i="4"/>
  <c r="I1872" i="4"/>
  <c r="I1871" i="4"/>
  <c r="I1870" i="4"/>
  <c r="I1869" i="4"/>
  <c r="I1868" i="4"/>
  <c r="I1867" i="4"/>
  <c r="I1866" i="4"/>
  <c r="I1865" i="4"/>
  <c r="I1864" i="4"/>
  <c r="I1863" i="4"/>
  <c r="I1862" i="4"/>
  <c r="I1861" i="4"/>
  <c r="I1860" i="4"/>
  <c r="I1859" i="4"/>
  <c r="I1858" i="4"/>
  <c r="I1857" i="4"/>
  <c r="I1856" i="4"/>
  <c r="I1855" i="4"/>
  <c r="I1854" i="4"/>
  <c r="I1853" i="4"/>
  <c r="I1852" i="4"/>
  <c r="I1851" i="4"/>
  <c r="I1850" i="4"/>
  <c r="I1849" i="4"/>
  <c r="I1848" i="4"/>
  <c r="I1847" i="4"/>
  <c r="I1846" i="4"/>
  <c r="I1845" i="4"/>
  <c r="I1844" i="4"/>
  <c r="I1843" i="4"/>
  <c r="I1842" i="4"/>
  <c r="I1841" i="4"/>
  <c r="I1840" i="4"/>
  <c r="I1839" i="4"/>
  <c r="I1838" i="4"/>
  <c r="I1837" i="4"/>
  <c r="I1836" i="4"/>
  <c r="I1835" i="4"/>
  <c r="I1834" i="4"/>
  <c r="I1833" i="4"/>
  <c r="I1832" i="4"/>
  <c r="I1831" i="4"/>
  <c r="I1830" i="4"/>
  <c r="I1829" i="4"/>
  <c r="I1828" i="4"/>
  <c r="I1827" i="4"/>
  <c r="I1826" i="4"/>
  <c r="I1825" i="4"/>
  <c r="I1824" i="4"/>
  <c r="I1823" i="4"/>
  <c r="I1822" i="4"/>
  <c r="I1821" i="4"/>
  <c r="I1820" i="4"/>
  <c r="I1819" i="4"/>
  <c r="I1818" i="4"/>
  <c r="I1817" i="4"/>
  <c r="I1816" i="4"/>
  <c r="I1815" i="4"/>
  <c r="I1814" i="4"/>
  <c r="I1813" i="4"/>
  <c r="I1812" i="4"/>
  <c r="I1811" i="4"/>
  <c r="I1810" i="4"/>
  <c r="I1809" i="4"/>
  <c r="I1808" i="4"/>
  <c r="I1807" i="4"/>
  <c r="I1806" i="4"/>
  <c r="I1805" i="4"/>
  <c r="I1804" i="4"/>
  <c r="I1803" i="4"/>
  <c r="I1802" i="4"/>
  <c r="I1801" i="4"/>
  <c r="I1800" i="4"/>
  <c r="I1799" i="4"/>
  <c r="I1798" i="4"/>
  <c r="I1797" i="4"/>
  <c r="I1796" i="4"/>
  <c r="I1795" i="4"/>
  <c r="I1794" i="4"/>
  <c r="I1793" i="4"/>
  <c r="I1792" i="4"/>
  <c r="I1791" i="4"/>
  <c r="I1790" i="4"/>
  <c r="I1789" i="4"/>
  <c r="I1788" i="4"/>
  <c r="I1787" i="4"/>
  <c r="I1786" i="4"/>
  <c r="I1785" i="4"/>
  <c r="I1784" i="4"/>
  <c r="I1783" i="4"/>
  <c r="I1782" i="4"/>
  <c r="I1781" i="4"/>
  <c r="I1780" i="4"/>
  <c r="I1779" i="4"/>
  <c r="I1778" i="4"/>
  <c r="I1777" i="4"/>
  <c r="I1776" i="4"/>
  <c r="I1775" i="4"/>
  <c r="I1774" i="4"/>
  <c r="I1773" i="4"/>
  <c r="I1772" i="4"/>
  <c r="I1771" i="4"/>
  <c r="I1770" i="4"/>
  <c r="I1769" i="4"/>
  <c r="I1768" i="4"/>
  <c r="I1767" i="4"/>
  <c r="I1766" i="4"/>
  <c r="I1765" i="4"/>
  <c r="I1764" i="4"/>
  <c r="I1763" i="4"/>
  <c r="I1762" i="4"/>
  <c r="I1761" i="4"/>
  <c r="I1760" i="4"/>
  <c r="I1759" i="4"/>
  <c r="I1758" i="4"/>
  <c r="I1757" i="4"/>
  <c r="I1756" i="4"/>
  <c r="I1755" i="4"/>
  <c r="I1754" i="4"/>
  <c r="I1753" i="4"/>
  <c r="I1752" i="4"/>
  <c r="I1751" i="4"/>
  <c r="I1750" i="4"/>
  <c r="I1749" i="4"/>
  <c r="I1748" i="4"/>
  <c r="I1747" i="4"/>
  <c r="I1746" i="4"/>
  <c r="I1745" i="4"/>
  <c r="I1744" i="4"/>
  <c r="I1743" i="4"/>
  <c r="I1742" i="4"/>
  <c r="I1741" i="4"/>
  <c r="I1740" i="4"/>
  <c r="I1739" i="4"/>
  <c r="I1738" i="4"/>
  <c r="I1737" i="4"/>
  <c r="I1736" i="4"/>
  <c r="I1735" i="4"/>
  <c r="I1734" i="4"/>
  <c r="I1733" i="4"/>
  <c r="I1732" i="4"/>
  <c r="I1731" i="4"/>
  <c r="I1730" i="4"/>
  <c r="I1729" i="4"/>
  <c r="I1728" i="4"/>
  <c r="I1727" i="4"/>
  <c r="I1726" i="4"/>
  <c r="I1725" i="4"/>
  <c r="I1724" i="4"/>
  <c r="I1723" i="4"/>
  <c r="I1722" i="4"/>
  <c r="I1721" i="4"/>
  <c r="I1720" i="4"/>
  <c r="I1719" i="4"/>
  <c r="I1718" i="4"/>
  <c r="I1717" i="4"/>
  <c r="I1716" i="4"/>
  <c r="I1715" i="4"/>
  <c r="I1714" i="4"/>
  <c r="I1713" i="4"/>
  <c r="I1712" i="4"/>
  <c r="I1711" i="4"/>
  <c r="I1710" i="4"/>
  <c r="I1709" i="4"/>
  <c r="I1708" i="4"/>
  <c r="I1707" i="4"/>
  <c r="I1706" i="4"/>
  <c r="I1705" i="4"/>
  <c r="I1704" i="4"/>
  <c r="I1703" i="4"/>
  <c r="I1702" i="4"/>
  <c r="I1701" i="4"/>
  <c r="I1700" i="4"/>
  <c r="I1699" i="4"/>
  <c r="I1698" i="4"/>
  <c r="I1697" i="4"/>
  <c r="I1696" i="4"/>
  <c r="I1695" i="4"/>
  <c r="I1694" i="4"/>
  <c r="I1693" i="4"/>
  <c r="I1692" i="4"/>
  <c r="I1691" i="4"/>
  <c r="I1690" i="4"/>
  <c r="I1689" i="4"/>
  <c r="I1688" i="4"/>
  <c r="I1687" i="4"/>
  <c r="I1686" i="4"/>
  <c r="I1685" i="4"/>
  <c r="I1684" i="4"/>
  <c r="I1683" i="4"/>
  <c r="I1682" i="4"/>
  <c r="I1681" i="4"/>
  <c r="I1680" i="4"/>
  <c r="I1679" i="4"/>
  <c r="I1678" i="4"/>
  <c r="I1677" i="4"/>
  <c r="I1676" i="4"/>
  <c r="I1675" i="4"/>
  <c r="I1674" i="4"/>
  <c r="I1673" i="4"/>
  <c r="I1672" i="4"/>
  <c r="I1671" i="4"/>
  <c r="I1670" i="4"/>
  <c r="I1669" i="4"/>
  <c r="I1668" i="4"/>
  <c r="I1667" i="4"/>
  <c r="I1666" i="4"/>
  <c r="I1665" i="4"/>
  <c r="I1664" i="4"/>
  <c r="I1663" i="4"/>
  <c r="I1662" i="4"/>
  <c r="I1661" i="4"/>
  <c r="I1660" i="4"/>
  <c r="I1659" i="4"/>
  <c r="I1658" i="4"/>
  <c r="I1657" i="4"/>
  <c r="I1656" i="4"/>
  <c r="I1655" i="4"/>
  <c r="I1654" i="4"/>
  <c r="I1653" i="4"/>
  <c r="I1652" i="4"/>
  <c r="I1651" i="4"/>
  <c r="I1650" i="4"/>
  <c r="I1649" i="4"/>
  <c r="I1648" i="4"/>
  <c r="I1647" i="4"/>
  <c r="I1646" i="4"/>
  <c r="I1645" i="4"/>
  <c r="I1644" i="4"/>
  <c r="I1643" i="4"/>
  <c r="I1642" i="4"/>
  <c r="I1641" i="4"/>
  <c r="I1640" i="4"/>
  <c r="I1639" i="4"/>
  <c r="I1638" i="4"/>
  <c r="I1637" i="4"/>
  <c r="I1636" i="4"/>
  <c r="I1635" i="4"/>
  <c r="I1634" i="4"/>
  <c r="I1633" i="4"/>
  <c r="I1632" i="4"/>
  <c r="I1631" i="4"/>
  <c r="I1630" i="4"/>
  <c r="I1629" i="4"/>
  <c r="I1628" i="4"/>
  <c r="I1627" i="4"/>
  <c r="I1626" i="4"/>
  <c r="I1625" i="4"/>
  <c r="I1624" i="4"/>
  <c r="I1623" i="4"/>
  <c r="I1622" i="4"/>
  <c r="I1621" i="4"/>
  <c r="I1620" i="4"/>
  <c r="I1619" i="4"/>
  <c r="I1618" i="4"/>
  <c r="I1617" i="4"/>
  <c r="I1616" i="4"/>
  <c r="I1615" i="4"/>
  <c r="I1614" i="4"/>
  <c r="I1613" i="4"/>
  <c r="I1612" i="4"/>
  <c r="I1611" i="4"/>
  <c r="I1610" i="4"/>
  <c r="I1609" i="4"/>
  <c r="I1608" i="4"/>
  <c r="I1607" i="4"/>
  <c r="I1606" i="4"/>
  <c r="I1605" i="4"/>
  <c r="I1604" i="4"/>
  <c r="I1603" i="4"/>
  <c r="I1602" i="4"/>
  <c r="I1601" i="4"/>
  <c r="I1600" i="4"/>
  <c r="I1599" i="4"/>
  <c r="I1598" i="4"/>
  <c r="I1597" i="4"/>
  <c r="I1596" i="4"/>
  <c r="I1595" i="4"/>
  <c r="I1594" i="4"/>
  <c r="I1593" i="4"/>
  <c r="I1592" i="4"/>
  <c r="I1591" i="4"/>
  <c r="I1590" i="4"/>
  <c r="I1589" i="4"/>
  <c r="I1588" i="4"/>
  <c r="I1587" i="4"/>
  <c r="I1586" i="4"/>
  <c r="I1585" i="4"/>
  <c r="I1584" i="4"/>
  <c r="I1583" i="4"/>
  <c r="I1582" i="4"/>
  <c r="I1581" i="4"/>
  <c r="I1580" i="4"/>
  <c r="I1579" i="4"/>
  <c r="I1578" i="4"/>
  <c r="I1577" i="4"/>
  <c r="I1576" i="4"/>
  <c r="I1575" i="4"/>
  <c r="I1574" i="4"/>
  <c r="I1573" i="4"/>
  <c r="I1572" i="4"/>
  <c r="I1571" i="4"/>
  <c r="I1570" i="4"/>
  <c r="I1569" i="4"/>
  <c r="I1568" i="4"/>
  <c r="I1567" i="4"/>
  <c r="I1566" i="4"/>
  <c r="I1565" i="4"/>
  <c r="I1564" i="4"/>
  <c r="I1563" i="4"/>
  <c r="I1562" i="4"/>
  <c r="I1561" i="4"/>
  <c r="I1560" i="4"/>
  <c r="I1559" i="4"/>
  <c r="I1558" i="4"/>
  <c r="I1557" i="4"/>
  <c r="I1556" i="4"/>
  <c r="I1555" i="4"/>
  <c r="I1554" i="4"/>
  <c r="I1553" i="4"/>
  <c r="I1552" i="4"/>
  <c r="I1551" i="4"/>
  <c r="I1550" i="4"/>
  <c r="I1549" i="4"/>
  <c r="I1548" i="4"/>
  <c r="I1547" i="4"/>
  <c r="I1546" i="4"/>
  <c r="I1545" i="4"/>
  <c r="I1544" i="4"/>
  <c r="I1543" i="4"/>
  <c r="I1542" i="4"/>
  <c r="I1541" i="4"/>
  <c r="I1540" i="4"/>
  <c r="I1539" i="4"/>
  <c r="I1538" i="4"/>
  <c r="I1537" i="4"/>
  <c r="I1536" i="4"/>
  <c r="I1535" i="4"/>
  <c r="I1534" i="4"/>
  <c r="I1533" i="4"/>
  <c r="I1532" i="4"/>
  <c r="I1531" i="4"/>
  <c r="I1530" i="4"/>
  <c r="I1529" i="4"/>
  <c r="I1528" i="4"/>
  <c r="I1527" i="4"/>
  <c r="I1526" i="4"/>
  <c r="I1525" i="4"/>
  <c r="I1524" i="4"/>
  <c r="I1523" i="4"/>
  <c r="I1522" i="4"/>
  <c r="I1521" i="4"/>
  <c r="I1520" i="4"/>
  <c r="I1519" i="4"/>
  <c r="I1518" i="4"/>
  <c r="I1517" i="4"/>
  <c r="I1516" i="4"/>
  <c r="I1515" i="4"/>
  <c r="I1514" i="4"/>
  <c r="I1513" i="4"/>
  <c r="I1512" i="4"/>
  <c r="I1511" i="4"/>
  <c r="I1510" i="4"/>
  <c r="I1509" i="4"/>
  <c r="I1508" i="4"/>
  <c r="I1507" i="4"/>
  <c r="I1506" i="4"/>
  <c r="I1505" i="4"/>
  <c r="I1504" i="4"/>
  <c r="I1503" i="4"/>
  <c r="I1502" i="4"/>
  <c r="I1501" i="4"/>
  <c r="I1500" i="4"/>
  <c r="I1499" i="4"/>
  <c r="I1498" i="4"/>
  <c r="I1497" i="4"/>
  <c r="I1496" i="4"/>
  <c r="I1495" i="4"/>
  <c r="I1494" i="4"/>
  <c r="I1493" i="4"/>
  <c r="I1492" i="4"/>
  <c r="I1491" i="4"/>
  <c r="I1490" i="4"/>
  <c r="I1489" i="4"/>
  <c r="I1488" i="4"/>
  <c r="I1487" i="4"/>
  <c r="I1486" i="4"/>
  <c r="I1485" i="4"/>
  <c r="I1484" i="4"/>
  <c r="I1483" i="4"/>
  <c r="I1482" i="4"/>
  <c r="I1481" i="4"/>
  <c r="I1480" i="4"/>
  <c r="I1479" i="4"/>
  <c r="I1478" i="4"/>
  <c r="I1477" i="4"/>
  <c r="I1476" i="4"/>
  <c r="I1475" i="4"/>
  <c r="I1474" i="4"/>
  <c r="I1473" i="4"/>
  <c r="I1472" i="4"/>
  <c r="I1471" i="4"/>
  <c r="I1470" i="4"/>
  <c r="I1469" i="4"/>
  <c r="I1468" i="4"/>
  <c r="I1467" i="4"/>
  <c r="I1466" i="4"/>
  <c r="I1465" i="4"/>
  <c r="I1464" i="4"/>
  <c r="I1463" i="4"/>
  <c r="I1462" i="4"/>
  <c r="I1461" i="4"/>
  <c r="I1460" i="4"/>
  <c r="I1459" i="4"/>
  <c r="I1458" i="4"/>
  <c r="I1457" i="4"/>
  <c r="I1456" i="4"/>
  <c r="I1455" i="4"/>
  <c r="I1454" i="4"/>
  <c r="I1453" i="4"/>
  <c r="I1452" i="4"/>
  <c r="I1451" i="4"/>
  <c r="I1450" i="4"/>
  <c r="I1449" i="4"/>
  <c r="I1448" i="4"/>
  <c r="I1447" i="4"/>
  <c r="I1446" i="4"/>
  <c r="I1445" i="4"/>
  <c r="I1444" i="4"/>
  <c r="I1443" i="4"/>
  <c r="I1442" i="4"/>
  <c r="I1441" i="4"/>
  <c r="I1440" i="4"/>
  <c r="I1439" i="4"/>
  <c r="I1438" i="4"/>
  <c r="I1437" i="4"/>
  <c r="I1436" i="4"/>
  <c r="I1435" i="4"/>
  <c r="I1434" i="4"/>
  <c r="I1433" i="4"/>
  <c r="I1432" i="4"/>
  <c r="I1431" i="4"/>
  <c r="I1430" i="4"/>
  <c r="I1429" i="4"/>
  <c r="I1428" i="4"/>
  <c r="I1427" i="4"/>
  <c r="I1426" i="4"/>
  <c r="I1425" i="4"/>
  <c r="I1424" i="4"/>
  <c r="I1423" i="4"/>
  <c r="I1422" i="4"/>
  <c r="I1421" i="4"/>
  <c r="I1420" i="4"/>
  <c r="I1419" i="4"/>
  <c r="I1418" i="4"/>
  <c r="I1417" i="4"/>
  <c r="I1416" i="4"/>
  <c r="I1415" i="4"/>
  <c r="I1414" i="4"/>
  <c r="I1413" i="4"/>
  <c r="I1412" i="4"/>
  <c r="I1411" i="4"/>
  <c r="I1410" i="4"/>
  <c r="I1409" i="4"/>
  <c r="I1408" i="4"/>
  <c r="I1407" i="4"/>
  <c r="I1406" i="4"/>
  <c r="I1405" i="4"/>
  <c r="I1404" i="4"/>
  <c r="I1403" i="4"/>
  <c r="I1402" i="4"/>
  <c r="I1401" i="4"/>
  <c r="I1400" i="4"/>
  <c r="I1399" i="4"/>
  <c r="I1398" i="4"/>
  <c r="I1397" i="4"/>
  <c r="I1396" i="4"/>
  <c r="I1395" i="4"/>
  <c r="I1394" i="4"/>
  <c r="I1393" i="4"/>
  <c r="I1392" i="4"/>
  <c r="I1391" i="4"/>
  <c r="I1390" i="4"/>
  <c r="I1389" i="4"/>
  <c r="I1388" i="4"/>
  <c r="I1387" i="4"/>
  <c r="I1386" i="4"/>
  <c r="I1385" i="4"/>
  <c r="I1384" i="4"/>
  <c r="I1383" i="4"/>
  <c r="I1382" i="4"/>
  <c r="I1381" i="4"/>
  <c r="I1380" i="4"/>
  <c r="I1379" i="4"/>
  <c r="I1378" i="4"/>
  <c r="I1377" i="4"/>
  <c r="I1376" i="4"/>
  <c r="I1375" i="4"/>
  <c r="I1374" i="4"/>
  <c r="I1373" i="4"/>
  <c r="I1372" i="4"/>
  <c r="I1371" i="4"/>
  <c r="I1370" i="4"/>
  <c r="I1369" i="4"/>
  <c r="I1368" i="4"/>
  <c r="I1367" i="4"/>
  <c r="I1366" i="4"/>
  <c r="I1365" i="4"/>
  <c r="I1364" i="4"/>
  <c r="I1363" i="4"/>
  <c r="I1362" i="4"/>
  <c r="I1361" i="4"/>
  <c r="I1360" i="4"/>
  <c r="I1359" i="4"/>
  <c r="I1358" i="4"/>
  <c r="I1357" i="4"/>
  <c r="I1356" i="4"/>
  <c r="I1355" i="4"/>
  <c r="I1354" i="4"/>
  <c r="I1353" i="4"/>
  <c r="I1352" i="4"/>
  <c r="I1351" i="4"/>
  <c r="I1350" i="4"/>
  <c r="I1349" i="4"/>
  <c r="I1348" i="4"/>
  <c r="I1347" i="4"/>
  <c r="I1346" i="4"/>
  <c r="I1345" i="4"/>
  <c r="I1344" i="4"/>
  <c r="I1343" i="4"/>
  <c r="I1342" i="4"/>
  <c r="I1341" i="4"/>
  <c r="I1340" i="4"/>
  <c r="I1339" i="4"/>
  <c r="I1338" i="4"/>
  <c r="I1337" i="4"/>
  <c r="I1336" i="4"/>
  <c r="I1335" i="4"/>
  <c r="I1334" i="4"/>
  <c r="I1333" i="4"/>
  <c r="I1332" i="4"/>
  <c r="I1331" i="4"/>
  <c r="I1330" i="4"/>
  <c r="I1329" i="4"/>
  <c r="I1328" i="4"/>
  <c r="I1327" i="4"/>
  <c r="I1326" i="4"/>
  <c r="I1325" i="4"/>
  <c r="I1324" i="4"/>
  <c r="I1323" i="4"/>
  <c r="I1322" i="4"/>
  <c r="I1321" i="4"/>
  <c r="I1320" i="4"/>
  <c r="I1319" i="4"/>
  <c r="I1318" i="4"/>
  <c r="I1317" i="4"/>
  <c r="I1316" i="4"/>
  <c r="I1315" i="4"/>
  <c r="I1314" i="4"/>
  <c r="I1313" i="4"/>
  <c r="I1312" i="4"/>
  <c r="I1311" i="4"/>
  <c r="I1310" i="4"/>
  <c r="I1309" i="4"/>
  <c r="I1308" i="4"/>
  <c r="I1307" i="4"/>
  <c r="I1306" i="4"/>
  <c r="I1305" i="4"/>
  <c r="I1304" i="4"/>
  <c r="I1303" i="4"/>
  <c r="I1302" i="4"/>
  <c r="I1301" i="4"/>
  <c r="I1300" i="4"/>
  <c r="I1299" i="4"/>
  <c r="I1298" i="4"/>
  <c r="I1297" i="4"/>
  <c r="I1296" i="4"/>
  <c r="I1295" i="4"/>
  <c r="I1294" i="4"/>
  <c r="I1293" i="4"/>
  <c r="I1292" i="4"/>
  <c r="I1291" i="4"/>
  <c r="I1290" i="4"/>
  <c r="I1289" i="4"/>
  <c r="I1288" i="4"/>
  <c r="I1287" i="4"/>
  <c r="I1286" i="4"/>
  <c r="I1285" i="4"/>
  <c r="I1284" i="4"/>
  <c r="I1283" i="4"/>
  <c r="I1282" i="4"/>
  <c r="I1281" i="4"/>
  <c r="I1280" i="4"/>
  <c r="I1279" i="4"/>
  <c r="I1278" i="4"/>
  <c r="I1277" i="4"/>
  <c r="I1276" i="4"/>
  <c r="I1275" i="4"/>
  <c r="I1274" i="4"/>
  <c r="I1273" i="4"/>
  <c r="I1272" i="4"/>
  <c r="I1271" i="4"/>
  <c r="I1270" i="4"/>
  <c r="I1269" i="4"/>
  <c r="I1268" i="4"/>
  <c r="I1267" i="4"/>
  <c r="I1266" i="4"/>
  <c r="I1265" i="4"/>
  <c r="I1264" i="4"/>
  <c r="I1263" i="4"/>
  <c r="I1262" i="4"/>
  <c r="I1261" i="4"/>
  <c r="I1260" i="4"/>
  <c r="I1259" i="4"/>
  <c r="I1258" i="4"/>
  <c r="I1257" i="4"/>
  <c r="I1256" i="4"/>
  <c r="I1255" i="4"/>
  <c r="I1254" i="4"/>
  <c r="I1253" i="4"/>
  <c r="I1252" i="4"/>
  <c r="I1251" i="4"/>
  <c r="I1250" i="4"/>
  <c r="I1249" i="4"/>
  <c r="I1248" i="4"/>
  <c r="I1247" i="4"/>
  <c r="I1246" i="4"/>
  <c r="I1245" i="4"/>
  <c r="I1244" i="4"/>
  <c r="I1243" i="4"/>
  <c r="I1242" i="4"/>
  <c r="I1241" i="4"/>
  <c r="I1240" i="4"/>
  <c r="I1239" i="4"/>
  <c r="I1238" i="4"/>
  <c r="I1237" i="4"/>
  <c r="I1236" i="4"/>
  <c r="I1235" i="4"/>
  <c r="I1234" i="4"/>
  <c r="I1233" i="4"/>
  <c r="I1232" i="4"/>
  <c r="I1231" i="4"/>
  <c r="I1230" i="4"/>
  <c r="I1229" i="4"/>
  <c r="I1228" i="4"/>
  <c r="I1227" i="4"/>
  <c r="I1226" i="4"/>
  <c r="I1225" i="4"/>
  <c r="I1224" i="4"/>
  <c r="I1223" i="4"/>
  <c r="I1222" i="4"/>
  <c r="I1221" i="4"/>
  <c r="I1220" i="4"/>
  <c r="I1219" i="4"/>
  <c r="I1218" i="4"/>
  <c r="I1217" i="4"/>
  <c r="I1216" i="4"/>
  <c r="I1215" i="4"/>
  <c r="I1214" i="4"/>
  <c r="I1213" i="4"/>
  <c r="I1212" i="4"/>
  <c r="I1211" i="4"/>
  <c r="I1210" i="4"/>
  <c r="I1209" i="4"/>
  <c r="I1208" i="4"/>
  <c r="I1207" i="4"/>
  <c r="I1206" i="4"/>
  <c r="I1205" i="4"/>
  <c r="I1204" i="4"/>
  <c r="I1203" i="4"/>
  <c r="I1202" i="4"/>
  <c r="I1201" i="4"/>
  <c r="I1200" i="4"/>
  <c r="I1199" i="4"/>
  <c r="I1198" i="4"/>
  <c r="I1197" i="4"/>
  <c r="I1196" i="4"/>
  <c r="I1195" i="4"/>
  <c r="I1194" i="4"/>
  <c r="I1193" i="4"/>
  <c r="I1192" i="4"/>
  <c r="I1191" i="4"/>
  <c r="I1190" i="4"/>
  <c r="I1189" i="4"/>
  <c r="I1188" i="4"/>
  <c r="I1187" i="4"/>
  <c r="I1186" i="4"/>
  <c r="I1185" i="4"/>
  <c r="I1184" i="4"/>
  <c r="I1183" i="4"/>
  <c r="I1182" i="4"/>
  <c r="I1181" i="4"/>
  <c r="I1180" i="4"/>
  <c r="I1179" i="4"/>
  <c r="I1178" i="4"/>
  <c r="I1177" i="4"/>
  <c r="I1176" i="4"/>
  <c r="I1175" i="4"/>
  <c r="I1174" i="4"/>
  <c r="I1173" i="4"/>
  <c r="I1172" i="4"/>
  <c r="I1171" i="4"/>
  <c r="I1170" i="4"/>
  <c r="I1169" i="4"/>
  <c r="I1168" i="4"/>
  <c r="I1167" i="4"/>
  <c r="I1166" i="4"/>
  <c r="I1165" i="4"/>
  <c r="I1164" i="4"/>
  <c r="I1163" i="4"/>
  <c r="I1162" i="4"/>
  <c r="I1161" i="4"/>
  <c r="I1160" i="4"/>
  <c r="I1159" i="4"/>
  <c r="I1158" i="4"/>
  <c r="I1157" i="4"/>
  <c r="I1156" i="4"/>
  <c r="I1155" i="4"/>
  <c r="I1154" i="4"/>
  <c r="I1153" i="4"/>
  <c r="I1152" i="4"/>
  <c r="I1151" i="4"/>
  <c r="I1150" i="4"/>
  <c r="I1149" i="4"/>
  <c r="I1148" i="4"/>
  <c r="I1147" i="4"/>
  <c r="I1146" i="4"/>
  <c r="I1145" i="4"/>
  <c r="I1144" i="4"/>
  <c r="I1143" i="4"/>
  <c r="I1142" i="4"/>
  <c r="I1141" i="4"/>
  <c r="I1140" i="4"/>
  <c r="I1139" i="4"/>
  <c r="I1138" i="4"/>
  <c r="I1137" i="4"/>
  <c r="I1136" i="4"/>
  <c r="I1135" i="4"/>
  <c r="I1134" i="4"/>
  <c r="I1133" i="4"/>
  <c r="I1132" i="4"/>
  <c r="I1131" i="4"/>
  <c r="I1130" i="4"/>
  <c r="I1129" i="4"/>
  <c r="I1128" i="4"/>
  <c r="I1127" i="4"/>
  <c r="I1126" i="4"/>
  <c r="I1125" i="4"/>
  <c r="I1124" i="4"/>
  <c r="I1123" i="4"/>
  <c r="I1122" i="4"/>
  <c r="I1121" i="4"/>
  <c r="I1120" i="4"/>
  <c r="I1119" i="4"/>
  <c r="I1118" i="4"/>
  <c r="I1117" i="4"/>
  <c r="I1116" i="4"/>
  <c r="I1115" i="4"/>
  <c r="I1114" i="4"/>
  <c r="I1113" i="4"/>
  <c r="I1112" i="4"/>
  <c r="I1111" i="4"/>
  <c r="I1110" i="4"/>
  <c r="I1109" i="4"/>
  <c r="I1108" i="4"/>
  <c r="I1107" i="4"/>
  <c r="I1106" i="4"/>
  <c r="I1105" i="4"/>
  <c r="I1104" i="4"/>
  <c r="I1103" i="4"/>
  <c r="I1102" i="4"/>
  <c r="I1101" i="4"/>
  <c r="I1100" i="4"/>
  <c r="I1099" i="4"/>
  <c r="I1098" i="4"/>
  <c r="I1097" i="4"/>
  <c r="I1096" i="4"/>
  <c r="I1095" i="4"/>
  <c r="I1094" i="4"/>
  <c r="I1093" i="4"/>
  <c r="I1092" i="4"/>
  <c r="I1091" i="4"/>
  <c r="I1090" i="4"/>
  <c r="I1089" i="4"/>
  <c r="I1088" i="4"/>
  <c r="I1087" i="4"/>
  <c r="I1086" i="4"/>
  <c r="I1085" i="4"/>
  <c r="I1084" i="4"/>
  <c r="I1083" i="4"/>
  <c r="I1082" i="4"/>
  <c r="I1081" i="4"/>
  <c r="I1080" i="4"/>
  <c r="I1079" i="4"/>
  <c r="I1078" i="4"/>
  <c r="I1077" i="4"/>
  <c r="I1076" i="4"/>
  <c r="I1075" i="4"/>
  <c r="I1074" i="4"/>
  <c r="I1073" i="4"/>
  <c r="I1072" i="4"/>
  <c r="I1071" i="4"/>
  <c r="I1070" i="4"/>
  <c r="I1069" i="4"/>
  <c r="I1068" i="4"/>
  <c r="I1067" i="4"/>
  <c r="I1066" i="4"/>
  <c r="I1065" i="4"/>
  <c r="I1064" i="4"/>
  <c r="I1063" i="4"/>
  <c r="I1062" i="4"/>
  <c r="I1061" i="4"/>
  <c r="I1060" i="4"/>
  <c r="I1059" i="4"/>
  <c r="I1058" i="4"/>
  <c r="I1057" i="4"/>
  <c r="I1056" i="4"/>
  <c r="I1055" i="4"/>
  <c r="I1054" i="4"/>
  <c r="I1053" i="4"/>
  <c r="I1052" i="4"/>
  <c r="I1051" i="4"/>
  <c r="I1050" i="4"/>
  <c r="I1049" i="4"/>
  <c r="I1048" i="4"/>
  <c r="I1047" i="4"/>
  <c r="I1046" i="4"/>
  <c r="I1045" i="4"/>
  <c r="I1044" i="4"/>
  <c r="I1043" i="4"/>
  <c r="I1042" i="4"/>
  <c r="I1041" i="4"/>
  <c r="I1040" i="4"/>
  <c r="I1039" i="4"/>
  <c r="I1038" i="4"/>
  <c r="I1037" i="4"/>
  <c r="I1036" i="4"/>
  <c r="I1035" i="4"/>
  <c r="I1034" i="4"/>
  <c r="I1033" i="4"/>
  <c r="I1032" i="4"/>
  <c r="I1031" i="4"/>
  <c r="I1030" i="4"/>
  <c r="I1029" i="4"/>
  <c r="I1028" i="4"/>
  <c r="I1027" i="4"/>
  <c r="I1026" i="4"/>
  <c r="I1025" i="4"/>
  <c r="I1024" i="4"/>
  <c r="I1023" i="4"/>
  <c r="I1022" i="4"/>
  <c r="I1021" i="4"/>
  <c r="I1020" i="4"/>
  <c r="I1019" i="4"/>
  <c r="I1018" i="4"/>
  <c r="I1017" i="4"/>
  <c r="I1016" i="4"/>
  <c r="I1015" i="4"/>
  <c r="I1014" i="4"/>
  <c r="I1013" i="4"/>
  <c r="I1012" i="4"/>
  <c r="I1011" i="4"/>
  <c r="I1010" i="4"/>
  <c r="I1009" i="4"/>
  <c r="I1008" i="4"/>
  <c r="I1007" i="4"/>
  <c r="I1006" i="4"/>
  <c r="I1005" i="4"/>
  <c r="I1004" i="4"/>
  <c r="I1003" i="4"/>
  <c r="I1002" i="4"/>
  <c r="I1001" i="4"/>
  <c r="I1000" i="4"/>
  <c r="I999" i="4"/>
  <c r="I998" i="4"/>
  <c r="I997" i="4"/>
  <c r="I996" i="4"/>
  <c r="I995" i="4"/>
  <c r="I994" i="4"/>
  <c r="I993" i="4"/>
  <c r="I992" i="4"/>
  <c r="I991" i="4"/>
  <c r="I990" i="4"/>
  <c r="I989" i="4"/>
  <c r="I988" i="4"/>
  <c r="I987" i="4"/>
  <c r="I986" i="4"/>
  <c r="I985" i="4"/>
  <c r="I984" i="4"/>
  <c r="I983" i="4"/>
  <c r="I982" i="4"/>
  <c r="I981" i="4"/>
  <c r="I980" i="4"/>
  <c r="I979" i="4"/>
  <c r="I978" i="4"/>
  <c r="I977" i="4"/>
  <c r="I976" i="4"/>
  <c r="I975" i="4"/>
  <c r="I974" i="4"/>
  <c r="I973" i="4"/>
  <c r="I972" i="4"/>
  <c r="I971" i="4"/>
  <c r="I970" i="4"/>
  <c r="I969" i="4"/>
  <c r="I968" i="4"/>
  <c r="I967" i="4"/>
  <c r="I966" i="4"/>
  <c r="I965" i="4"/>
  <c r="I964" i="4"/>
  <c r="I963" i="4"/>
  <c r="I962" i="4"/>
  <c r="I961" i="4"/>
  <c r="I960" i="4"/>
  <c r="I959" i="4"/>
  <c r="I958" i="4"/>
  <c r="I957" i="4"/>
  <c r="I956" i="4"/>
  <c r="I955" i="4"/>
  <c r="I954" i="4"/>
  <c r="I953" i="4"/>
  <c r="I952" i="4"/>
  <c r="I951" i="4"/>
  <c r="I950" i="4"/>
  <c r="I949" i="4"/>
  <c r="I948" i="4"/>
  <c r="I947" i="4"/>
  <c r="I946" i="4"/>
  <c r="I945" i="4"/>
  <c r="I944" i="4"/>
  <c r="I943" i="4"/>
  <c r="I942" i="4"/>
  <c r="I941" i="4"/>
  <c r="I940" i="4"/>
  <c r="I939" i="4"/>
  <c r="I938" i="4"/>
  <c r="I937" i="4"/>
  <c r="I936" i="4"/>
  <c r="I935" i="4"/>
  <c r="I934" i="4"/>
  <c r="I933" i="4"/>
  <c r="I932" i="4"/>
  <c r="I931" i="4"/>
  <c r="I930" i="4"/>
  <c r="I929" i="4"/>
  <c r="I928" i="4"/>
  <c r="I927" i="4"/>
  <c r="I926" i="4"/>
  <c r="I925" i="4"/>
  <c r="I924" i="4"/>
  <c r="I923" i="4"/>
  <c r="I922" i="4"/>
  <c r="I921" i="4"/>
  <c r="I920" i="4"/>
  <c r="I919" i="4"/>
  <c r="I918" i="4"/>
  <c r="I917" i="4"/>
  <c r="I916" i="4"/>
  <c r="I915" i="4"/>
  <c r="I914" i="4"/>
  <c r="I913" i="4"/>
  <c r="I912" i="4"/>
  <c r="I911" i="4"/>
  <c r="I910" i="4"/>
  <c r="I909" i="4"/>
  <c r="I908" i="4"/>
  <c r="I907" i="4"/>
  <c r="I906" i="4"/>
  <c r="I905" i="4"/>
  <c r="I904" i="4"/>
  <c r="I903" i="4"/>
  <c r="I902" i="4"/>
  <c r="I901" i="4"/>
  <c r="I900" i="4"/>
  <c r="I899" i="4"/>
  <c r="I898" i="4"/>
  <c r="I897" i="4"/>
  <c r="I896" i="4"/>
  <c r="I895" i="4"/>
  <c r="I894" i="4"/>
  <c r="I893" i="4"/>
  <c r="I892" i="4"/>
  <c r="I891" i="4"/>
  <c r="I890" i="4"/>
  <c r="I889" i="4"/>
  <c r="I888" i="4"/>
  <c r="I887" i="4"/>
  <c r="I886" i="4"/>
  <c r="I885" i="4"/>
  <c r="I884" i="4"/>
  <c r="I883" i="4"/>
  <c r="I882" i="4"/>
  <c r="I881" i="4"/>
  <c r="I880" i="4"/>
  <c r="I879" i="4"/>
  <c r="I878" i="4"/>
  <c r="I877" i="4"/>
  <c r="I876" i="4"/>
  <c r="I875" i="4"/>
  <c r="I874" i="4"/>
  <c r="I873" i="4"/>
  <c r="I872" i="4"/>
  <c r="I871" i="4"/>
  <c r="I870" i="4"/>
  <c r="I869" i="4"/>
  <c r="I868" i="4"/>
  <c r="I867" i="4"/>
  <c r="I866" i="4"/>
  <c r="I865" i="4"/>
  <c r="I864" i="4"/>
  <c r="I863" i="4"/>
  <c r="I862" i="4"/>
  <c r="I861" i="4"/>
  <c r="I860" i="4"/>
  <c r="I859" i="4"/>
  <c r="I858" i="4"/>
  <c r="I857" i="4"/>
  <c r="I856" i="4"/>
  <c r="I855" i="4"/>
  <c r="I854" i="4"/>
  <c r="I853" i="4"/>
  <c r="I852" i="4"/>
  <c r="I851" i="4"/>
  <c r="I850" i="4"/>
  <c r="I849" i="4"/>
  <c r="I848" i="4"/>
  <c r="I847" i="4"/>
  <c r="I846" i="4"/>
  <c r="I845" i="4"/>
  <c r="I844" i="4"/>
  <c r="I843" i="4"/>
  <c r="I842" i="4"/>
  <c r="I841" i="4"/>
  <c r="I840" i="4"/>
  <c r="I839" i="4"/>
  <c r="I838" i="4"/>
  <c r="I837" i="4"/>
  <c r="I836" i="4"/>
  <c r="I835" i="4"/>
  <c r="I834" i="4"/>
  <c r="I833" i="4"/>
  <c r="I832" i="4"/>
  <c r="I831" i="4"/>
  <c r="I830" i="4"/>
  <c r="I829" i="4"/>
  <c r="I828" i="4"/>
  <c r="I827" i="4"/>
  <c r="I826" i="4"/>
  <c r="I825" i="4"/>
  <c r="I824" i="4"/>
  <c r="I823" i="4"/>
  <c r="I822" i="4"/>
  <c r="I821" i="4"/>
  <c r="I820" i="4"/>
  <c r="I819" i="4"/>
  <c r="I818" i="4"/>
  <c r="I817" i="4"/>
  <c r="I816" i="4"/>
  <c r="I815" i="4"/>
  <c r="I814" i="4"/>
  <c r="I813" i="4"/>
  <c r="I812" i="4"/>
  <c r="I811" i="4"/>
  <c r="I810" i="4"/>
  <c r="I809" i="4"/>
  <c r="I808" i="4"/>
  <c r="I807" i="4"/>
  <c r="I806" i="4"/>
  <c r="I805" i="4"/>
  <c r="I804" i="4"/>
  <c r="I803" i="4"/>
  <c r="I802" i="4"/>
  <c r="I801" i="4"/>
  <c r="I800" i="4"/>
  <c r="I799" i="4"/>
  <c r="I798" i="4"/>
  <c r="I797" i="4"/>
  <c r="I796" i="4"/>
  <c r="I795" i="4"/>
  <c r="I794" i="4"/>
  <c r="I793" i="4"/>
  <c r="I792" i="4"/>
  <c r="I791" i="4"/>
  <c r="I790" i="4"/>
  <c r="I789" i="4"/>
  <c r="I788" i="4"/>
  <c r="I787" i="4"/>
  <c r="I786" i="4"/>
  <c r="I785" i="4"/>
  <c r="I784" i="4"/>
  <c r="I783" i="4"/>
  <c r="I782" i="4"/>
  <c r="I781" i="4"/>
  <c r="I780" i="4"/>
  <c r="I779" i="4"/>
  <c r="I778" i="4"/>
  <c r="I777" i="4"/>
  <c r="I776" i="4"/>
  <c r="I775" i="4"/>
  <c r="I774" i="4"/>
  <c r="I773" i="4"/>
  <c r="I772" i="4"/>
  <c r="I771" i="4"/>
  <c r="I770" i="4"/>
  <c r="I769" i="4"/>
  <c r="I768" i="4"/>
  <c r="I767" i="4"/>
  <c r="I766" i="4"/>
  <c r="I765" i="4"/>
  <c r="I764" i="4"/>
  <c r="I763" i="4"/>
  <c r="I762" i="4"/>
  <c r="I761" i="4"/>
  <c r="I760" i="4"/>
  <c r="I759" i="4"/>
  <c r="I758" i="4"/>
  <c r="I757" i="4"/>
  <c r="I756" i="4"/>
  <c r="I755" i="4"/>
  <c r="I754" i="4"/>
  <c r="I753" i="4"/>
  <c r="I752" i="4"/>
  <c r="I751" i="4"/>
  <c r="I750" i="4"/>
  <c r="I749" i="4"/>
  <c r="I748" i="4"/>
  <c r="I747" i="4"/>
  <c r="I746" i="4"/>
  <c r="I745" i="4"/>
  <c r="I744" i="4"/>
  <c r="I743" i="4"/>
  <c r="I742" i="4"/>
  <c r="I741" i="4"/>
  <c r="I740" i="4"/>
  <c r="I739" i="4"/>
  <c r="I738" i="4"/>
  <c r="I737" i="4"/>
  <c r="I736" i="4"/>
  <c r="I735" i="4"/>
  <c r="I734" i="4"/>
  <c r="I733" i="4"/>
  <c r="I732" i="4"/>
  <c r="I731" i="4"/>
  <c r="I730" i="4"/>
  <c r="I729" i="4"/>
  <c r="I728" i="4"/>
  <c r="I727" i="4"/>
  <c r="I726" i="4"/>
  <c r="I725" i="4"/>
  <c r="I724" i="4"/>
  <c r="I723" i="4"/>
  <c r="I722" i="4"/>
  <c r="I721" i="4"/>
  <c r="I720" i="4"/>
  <c r="I719" i="4"/>
  <c r="I718" i="4"/>
  <c r="I717" i="4"/>
  <c r="I716" i="4"/>
  <c r="I715" i="4"/>
  <c r="I714" i="4"/>
  <c r="I713" i="4"/>
  <c r="I712" i="4"/>
  <c r="I711" i="4"/>
  <c r="I710" i="4"/>
  <c r="I709" i="4"/>
  <c r="I708" i="4"/>
  <c r="I707" i="4"/>
  <c r="I706" i="4"/>
  <c r="I705" i="4"/>
  <c r="I704" i="4"/>
  <c r="I703" i="4"/>
  <c r="I702" i="4"/>
  <c r="I701" i="4"/>
  <c r="I700" i="4"/>
  <c r="I699" i="4"/>
  <c r="I698" i="4"/>
  <c r="I697" i="4"/>
  <c r="I696" i="4"/>
  <c r="I695" i="4"/>
  <c r="I694" i="4"/>
  <c r="I693" i="4"/>
  <c r="I692" i="4"/>
  <c r="I691" i="4"/>
  <c r="I690" i="4"/>
  <c r="I689" i="4"/>
  <c r="I688" i="4"/>
  <c r="I687" i="4"/>
  <c r="I686" i="4"/>
  <c r="I685" i="4"/>
  <c r="I684" i="4"/>
  <c r="I683" i="4"/>
  <c r="I682" i="4"/>
  <c r="I681" i="4"/>
  <c r="I680" i="4"/>
  <c r="I679" i="4"/>
  <c r="I678" i="4"/>
  <c r="I677" i="4"/>
  <c r="I676" i="4"/>
  <c r="I675" i="4"/>
  <c r="I674" i="4"/>
  <c r="I673" i="4"/>
  <c r="I672" i="4"/>
  <c r="I671" i="4"/>
  <c r="I670" i="4"/>
  <c r="I669" i="4"/>
  <c r="I668" i="4"/>
  <c r="I667" i="4"/>
  <c r="I666" i="4"/>
  <c r="I665" i="4"/>
  <c r="I664" i="4"/>
  <c r="I663" i="4"/>
  <c r="I662" i="4"/>
  <c r="I661" i="4"/>
  <c r="I660" i="4"/>
  <c r="I659" i="4"/>
  <c r="I658" i="4"/>
  <c r="I657" i="4"/>
  <c r="I656" i="4"/>
  <c r="I655" i="4"/>
  <c r="I654" i="4"/>
  <c r="I653" i="4"/>
  <c r="I652" i="4"/>
  <c r="I651" i="4"/>
  <c r="I650" i="4"/>
  <c r="I649" i="4"/>
  <c r="I648" i="4"/>
  <c r="I647" i="4"/>
  <c r="I646" i="4"/>
  <c r="I645" i="4"/>
  <c r="I644" i="4"/>
  <c r="I643" i="4"/>
  <c r="I642" i="4"/>
  <c r="I641" i="4"/>
  <c r="I640" i="4"/>
  <c r="I639" i="4"/>
  <c r="I638" i="4"/>
  <c r="I637" i="4"/>
  <c r="I636" i="4"/>
  <c r="I635" i="4"/>
  <c r="I634" i="4"/>
  <c r="I633" i="4"/>
  <c r="I632" i="4"/>
  <c r="I631" i="4"/>
  <c r="I630" i="4"/>
  <c r="I629" i="4"/>
  <c r="I628" i="4"/>
  <c r="I627" i="4"/>
  <c r="I626" i="4"/>
  <c r="I625" i="4"/>
  <c r="I624" i="4"/>
  <c r="I623" i="4"/>
  <c r="I622" i="4"/>
  <c r="I621" i="4"/>
  <c r="I620" i="4"/>
  <c r="I619" i="4"/>
  <c r="I618" i="4"/>
  <c r="I617" i="4"/>
  <c r="I616" i="4"/>
  <c r="I615" i="4"/>
  <c r="I614" i="4"/>
  <c r="I613" i="4"/>
  <c r="I612" i="4"/>
  <c r="I611" i="4"/>
  <c r="I610" i="4"/>
  <c r="I609" i="4"/>
  <c r="I608" i="4"/>
  <c r="I607" i="4"/>
  <c r="I606" i="4"/>
  <c r="I605" i="4"/>
  <c r="I604" i="4"/>
  <c r="I603" i="4"/>
  <c r="I602" i="4"/>
  <c r="I601" i="4"/>
  <c r="I600" i="4"/>
  <c r="I599" i="4"/>
  <c r="I598" i="4"/>
  <c r="I597" i="4"/>
  <c r="I596" i="4"/>
  <c r="I595" i="4"/>
  <c r="I594" i="4"/>
  <c r="I593" i="4"/>
  <c r="I592" i="4"/>
  <c r="I591" i="4"/>
  <c r="I590" i="4"/>
  <c r="I589" i="4"/>
  <c r="I588" i="4"/>
  <c r="I587" i="4"/>
  <c r="I586" i="4"/>
  <c r="I585" i="4"/>
  <c r="I584" i="4"/>
  <c r="I583" i="4"/>
  <c r="I582" i="4"/>
  <c r="I581" i="4"/>
  <c r="I580" i="4"/>
  <c r="I579" i="4"/>
  <c r="I578" i="4"/>
  <c r="I577" i="4"/>
  <c r="I576" i="4"/>
  <c r="I575" i="4"/>
  <c r="I574" i="4"/>
  <c r="I573" i="4"/>
  <c r="I572" i="4"/>
  <c r="I571" i="4"/>
  <c r="I570" i="4"/>
  <c r="I569" i="4"/>
  <c r="I568" i="4"/>
  <c r="I567" i="4"/>
  <c r="I566" i="4"/>
  <c r="I565" i="4"/>
  <c r="I564" i="4"/>
  <c r="I563" i="4"/>
  <c r="I562" i="4"/>
  <c r="I561" i="4"/>
  <c r="I560" i="4"/>
  <c r="I559" i="4"/>
  <c r="I558" i="4"/>
  <c r="I557" i="4"/>
  <c r="I556" i="4"/>
  <c r="I555" i="4"/>
  <c r="I554" i="4"/>
  <c r="I553" i="4"/>
  <c r="I552" i="4"/>
  <c r="I551" i="4"/>
  <c r="I550" i="4"/>
  <c r="I549" i="4"/>
  <c r="I548" i="4"/>
  <c r="I547" i="4"/>
  <c r="I546" i="4"/>
  <c r="I545" i="4"/>
  <c r="I544" i="4"/>
  <c r="I543" i="4"/>
  <c r="I542" i="4"/>
  <c r="I541" i="4"/>
  <c r="I540" i="4"/>
  <c r="I539" i="4"/>
  <c r="I538" i="4"/>
  <c r="I537" i="4"/>
  <c r="I536" i="4"/>
  <c r="I535" i="4"/>
  <c r="I534" i="4"/>
  <c r="I533" i="4"/>
  <c r="I532" i="4"/>
  <c r="I531" i="4"/>
  <c r="I530" i="4"/>
  <c r="I529" i="4"/>
  <c r="I528" i="4"/>
  <c r="I527" i="4"/>
  <c r="I526" i="4"/>
  <c r="I525" i="4"/>
  <c r="I524" i="4"/>
  <c r="I523" i="4"/>
  <c r="I522" i="4"/>
  <c r="I521" i="4"/>
  <c r="I520" i="4"/>
  <c r="I519" i="4"/>
  <c r="I518" i="4"/>
  <c r="I517" i="4"/>
  <c r="I516" i="4"/>
  <c r="I515" i="4"/>
  <c r="I514" i="4"/>
  <c r="I513" i="4"/>
  <c r="I512" i="4"/>
  <c r="I511" i="4"/>
  <c r="I510" i="4"/>
  <c r="I509" i="4"/>
  <c r="I508" i="4"/>
  <c r="I507" i="4"/>
  <c r="I506" i="4"/>
  <c r="I505" i="4"/>
  <c r="I504" i="4"/>
  <c r="I503" i="4"/>
  <c r="I502" i="4"/>
  <c r="I501" i="4"/>
  <c r="I500" i="4"/>
  <c r="I499" i="4"/>
  <c r="I498" i="4"/>
  <c r="I497" i="4"/>
  <c r="I496" i="4"/>
  <c r="I495" i="4"/>
  <c r="I494" i="4"/>
  <c r="I493" i="4"/>
  <c r="I492" i="4"/>
  <c r="I491" i="4"/>
  <c r="I490" i="4"/>
  <c r="I489" i="4"/>
  <c r="I488" i="4"/>
  <c r="I487" i="4"/>
  <c r="I486" i="4"/>
  <c r="I485" i="4"/>
  <c r="I484" i="4"/>
  <c r="I483" i="4"/>
  <c r="I482" i="4"/>
  <c r="I481" i="4"/>
  <c r="I480" i="4"/>
  <c r="I479" i="4"/>
  <c r="I478" i="4"/>
  <c r="I477" i="4"/>
  <c r="I476" i="4"/>
  <c r="I475" i="4"/>
  <c r="I474" i="4"/>
  <c r="I473" i="4"/>
  <c r="I472" i="4"/>
  <c r="I471" i="4"/>
  <c r="I470" i="4"/>
  <c r="I469" i="4"/>
  <c r="I468" i="4"/>
  <c r="I467" i="4"/>
  <c r="I466" i="4"/>
  <c r="I465" i="4"/>
  <c r="I464" i="4"/>
  <c r="I463" i="4"/>
  <c r="I462" i="4"/>
  <c r="I461" i="4"/>
  <c r="I460" i="4"/>
  <c r="I459" i="4"/>
  <c r="I458" i="4"/>
  <c r="I457" i="4"/>
  <c r="I456" i="4"/>
  <c r="I455" i="4"/>
  <c r="I454" i="4"/>
  <c r="I453" i="4"/>
  <c r="I452" i="4"/>
  <c r="I451" i="4"/>
  <c r="I450" i="4"/>
  <c r="I449" i="4"/>
  <c r="I448" i="4"/>
  <c r="I447" i="4"/>
  <c r="I446" i="4"/>
  <c r="I445" i="4"/>
  <c r="I444" i="4"/>
  <c r="I443" i="4"/>
  <c r="I442" i="4"/>
  <c r="I441" i="4"/>
  <c r="I440" i="4"/>
  <c r="I439" i="4"/>
  <c r="I438" i="4"/>
  <c r="I437" i="4"/>
  <c r="I436" i="4"/>
  <c r="I435" i="4"/>
  <c r="I434" i="4"/>
  <c r="I433" i="4"/>
  <c r="I432" i="4"/>
  <c r="I431" i="4"/>
  <c r="I430" i="4"/>
  <c r="I429" i="4"/>
  <c r="I428" i="4"/>
  <c r="I427" i="4"/>
  <c r="I426" i="4"/>
  <c r="I425" i="4"/>
  <c r="I424" i="4"/>
  <c r="I423" i="4"/>
  <c r="I422" i="4"/>
  <c r="I421" i="4"/>
  <c r="I420" i="4"/>
  <c r="I419" i="4"/>
  <c r="I418" i="4"/>
  <c r="I417" i="4"/>
  <c r="I416" i="4"/>
  <c r="I415" i="4"/>
  <c r="I414" i="4"/>
  <c r="I413" i="4"/>
  <c r="I412" i="4"/>
  <c r="I411" i="4"/>
  <c r="I410" i="4"/>
  <c r="I409" i="4"/>
  <c r="I408" i="4"/>
  <c r="I407" i="4"/>
  <c r="I406" i="4"/>
  <c r="I405" i="4"/>
  <c r="I404" i="4"/>
  <c r="I403" i="4"/>
  <c r="I402" i="4"/>
  <c r="I401" i="4"/>
  <c r="I400" i="4"/>
  <c r="I399" i="4"/>
  <c r="I398" i="4"/>
  <c r="I397" i="4"/>
  <c r="I396" i="4"/>
  <c r="I395" i="4"/>
  <c r="I394" i="4"/>
  <c r="I393" i="4"/>
  <c r="I392" i="4"/>
  <c r="I391" i="4"/>
  <c r="I390" i="4"/>
  <c r="I389" i="4"/>
  <c r="I388" i="4"/>
  <c r="I387" i="4"/>
  <c r="I386" i="4"/>
  <c r="I385" i="4"/>
  <c r="I384" i="4"/>
  <c r="I383" i="4"/>
  <c r="I382" i="4"/>
  <c r="I381" i="4"/>
  <c r="I380" i="4"/>
  <c r="I379" i="4"/>
  <c r="I378" i="4"/>
  <c r="I377" i="4"/>
  <c r="I376" i="4"/>
  <c r="I375" i="4"/>
  <c r="I374" i="4"/>
  <c r="I373" i="4"/>
  <c r="I372" i="4"/>
  <c r="I371" i="4"/>
  <c r="I370" i="4"/>
  <c r="I369" i="4"/>
  <c r="I368" i="4"/>
  <c r="I367" i="4"/>
  <c r="I366" i="4"/>
  <c r="I365" i="4"/>
  <c r="I364" i="4"/>
  <c r="I363" i="4"/>
  <c r="I362" i="4"/>
  <c r="I361" i="4"/>
  <c r="I360" i="4"/>
  <c r="I359" i="4"/>
  <c r="I358" i="4"/>
  <c r="I357" i="4"/>
  <c r="I356" i="4"/>
  <c r="I355" i="4"/>
  <c r="I354" i="4"/>
  <c r="I353" i="4"/>
  <c r="I352" i="4"/>
  <c r="I351" i="4"/>
  <c r="I350" i="4"/>
  <c r="I349" i="4"/>
  <c r="I348" i="4"/>
  <c r="I347" i="4"/>
  <c r="I346" i="4"/>
  <c r="I345" i="4"/>
  <c r="I344" i="4"/>
  <c r="I343" i="4"/>
  <c r="I342" i="4"/>
  <c r="I341" i="4"/>
  <c r="I340" i="4"/>
  <c r="I339" i="4"/>
  <c r="I338" i="4"/>
  <c r="I337" i="4"/>
  <c r="I336" i="4"/>
  <c r="I335" i="4"/>
  <c r="I334" i="4"/>
  <c r="I333" i="4"/>
  <c r="I332" i="4"/>
  <c r="I331" i="4"/>
  <c r="I330" i="4"/>
  <c r="I329" i="4"/>
  <c r="I328" i="4"/>
  <c r="I327" i="4"/>
  <c r="I326" i="4"/>
  <c r="I325" i="4"/>
  <c r="I324" i="4"/>
  <c r="I323" i="4"/>
  <c r="I322" i="4"/>
  <c r="I321" i="4"/>
  <c r="I320" i="4"/>
  <c r="I319" i="4"/>
  <c r="I318" i="4"/>
  <c r="I317" i="4"/>
  <c r="I316" i="4"/>
  <c r="I315" i="4"/>
  <c r="I314" i="4"/>
  <c r="I313" i="4"/>
  <c r="I312" i="4"/>
  <c r="I311" i="4"/>
  <c r="I310" i="4"/>
  <c r="I309" i="4"/>
  <c r="I308" i="4"/>
  <c r="I307" i="4"/>
  <c r="I306" i="4"/>
  <c r="I305" i="4"/>
  <c r="I304" i="4"/>
  <c r="I303" i="4"/>
  <c r="I302" i="4"/>
  <c r="I301" i="4"/>
  <c r="I300" i="4"/>
  <c r="I299" i="4"/>
  <c r="I298" i="4"/>
  <c r="I297" i="4"/>
  <c r="I296" i="4"/>
  <c r="I295" i="4"/>
  <c r="I294" i="4"/>
  <c r="I293" i="4"/>
  <c r="I292" i="4"/>
  <c r="I291" i="4"/>
  <c r="I290" i="4"/>
  <c r="I289" i="4"/>
  <c r="I288" i="4"/>
  <c r="I287" i="4"/>
  <c r="I286" i="4"/>
  <c r="I285" i="4"/>
  <c r="I284" i="4"/>
  <c r="I283" i="4"/>
  <c r="I282" i="4"/>
  <c r="I281" i="4"/>
  <c r="I280" i="4"/>
  <c r="I279" i="4"/>
  <c r="I278" i="4"/>
  <c r="I277" i="4"/>
  <c r="I276" i="4"/>
  <c r="I275" i="4"/>
  <c r="I274" i="4"/>
  <c r="I273" i="4"/>
  <c r="I272" i="4"/>
  <c r="I271" i="4"/>
  <c r="I270" i="4"/>
  <c r="I269" i="4"/>
  <c r="I268" i="4"/>
  <c r="I267" i="4"/>
  <c r="I266" i="4"/>
  <c r="I265" i="4"/>
  <c r="I264" i="4"/>
  <c r="I263" i="4"/>
  <c r="I262" i="4"/>
  <c r="I261" i="4"/>
  <c r="I260" i="4"/>
  <c r="I259" i="4"/>
  <c r="I258" i="4"/>
  <c r="I257" i="4"/>
  <c r="I256" i="4"/>
  <c r="I255" i="4"/>
  <c r="I254" i="4"/>
  <c r="I253" i="4"/>
  <c r="I252" i="4"/>
  <c r="I251" i="4"/>
  <c r="I250" i="4"/>
  <c r="I249" i="4"/>
  <c r="I248" i="4"/>
  <c r="I247" i="4"/>
  <c r="I246" i="4"/>
  <c r="I245" i="4"/>
  <c r="I244" i="4"/>
  <c r="I243" i="4"/>
  <c r="I242" i="4"/>
  <c r="I241" i="4"/>
  <c r="I240" i="4"/>
  <c r="I239" i="4"/>
  <c r="I238" i="4"/>
  <c r="I237" i="4"/>
  <c r="I236" i="4"/>
  <c r="I235" i="4"/>
  <c r="I234" i="4"/>
  <c r="I233" i="4"/>
  <c r="I232" i="4"/>
  <c r="I231" i="4"/>
  <c r="I230" i="4"/>
  <c r="I229" i="4"/>
  <c r="I228" i="4"/>
  <c r="I227" i="4"/>
  <c r="I226" i="4"/>
  <c r="I225" i="4"/>
  <c r="I224" i="4"/>
  <c r="I223" i="4"/>
  <c r="I222" i="4"/>
  <c r="I221" i="4"/>
  <c r="I220" i="4"/>
  <c r="I219" i="4"/>
  <c r="I218" i="4"/>
  <c r="I217" i="4"/>
  <c r="I216" i="4"/>
  <c r="I215" i="4"/>
  <c r="I214" i="4"/>
  <c r="I213" i="4"/>
  <c r="I212" i="4"/>
  <c r="I211" i="4"/>
  <c r="I210" i="4"/>
  <c r="I209" i="4"/>
  <c r="I208" i="4"/>
  <c r="I207" i="4"/>
  <c r="I206" i="4"/>
  <c r="I205" i="4"/>
  <c r="I204" i="4"/>
  <c r="I203" i="4"/>
  <c r="I202" i="4"/>
  <c r="I201" i="4"/>
  <c r="I200" i="4"/>
  <c r="I199" i="4"/>
  <c r="I198" i="4"/>
  <c r="I197" i="4"/>
  <c r="I196" i="4"/>
  <c r="I195" i="4"/>
  <c r="I194" i="4"/>
  <c r="I193" i="4"/>
  <c r="I192" i="4"/>
  <c r="I191" i="4"/>
  <c r="I190" i="4"/>
  <c r="I189" i="4"/>
  <c r="I188" i="4"/>
  <c r="I187" i="4"/>
  <c r="I186" i="4"/>
  <c r="I185" i="4"/>
  <c r="I184" i="4"/>
  <c r="I183" i="4"/>
  <c r="I182" i="4"/>
  <c r="I181" i="4"/>
  <c r="I180" i="4"/>
  <c r="I179" i="4"/>
  <c r="I178" i="4"/>
  <c r="I177" i="4"/>
  <c r="I176" i="4"/>
  <c r="I175" i="4"/>
  <c r="I174" i="4"/>
  <c r="I173" i="4"/>
  <c r="I172" i="4"/>
  <c r="I171" i="4"/>
  <c r="I170" i="4"/>
  <c r="I169" i="4"/>
  <c r="I168" i="4"/>
  <c r="I167" i="4"/>
  <c r="I166" i="4"/>
  <c r="I165" i="4"/>
  <c r="I164" i="4"/>
  <c r="I163" i="4"/>
  <c r="I162" i="4"/>
  <c r="I161" i="4"/>
  <c r="I160" i="4"/>
  <c r="I159" i="4"/>
  <c r="I158" i="4"/>
  <c r="I157" i="4"/>
  <c r="I156" i="4"/>
  <c r="I155" i="4"/>
  <c r="I154" i="4"/>
  <c r="I153" i="4"/>
  <c r="I152" i="4"/>
  <c r="I151" i="4"/>
  <c r="I150" i="4"/>
  <c r="I149" i="4"/>
  <c r="I148" i="4"/>
  <c r="I147" i="4"/>
  <c r="I146" i="4"/>
  <c r="I145" i="4"/>
  <c r="I144" i="4"/>
  <c r="I143" i="4"/>
  <c r="I142" i="4"/>
  <c r="I141" i="4"/>
  <c r="I140" i="4"/>
  <c r="I139" i="4"/>
  <c r="I138" i="4"/>
  <c r="I137" i="4"/>
  <c r="I136" i="4"/>
  <c r="I135" i="4"/>
  <c r="I134" i="4"/>
  <c r="I133" i="4"/>
  <c r="I132" i="4"/>
  <c r="I131" i="4"/>
  <c r="I130" i="4"/>
  <c r="I129" i="4"/>
  <c r="I128" i="4"/>
  <c r="I127" i="4"/>
  <c r="I126" i="4"/>
  <c r="I125" i="4"/>
  <c r="I124" i="4"/>
  <c r="I123" i="4"/>
  <c r="I122" i="4"/>
  <c r="I121" i="4"/>
  <c r="I120" i="4"/>
  <c r="I119" i="4"/>
  <c r="I118" i="4"/>
  <c r="I117" i="4"/>
  <c r="I116" i="4"/>
  <c r="I115" i="4"/>
  <c r="I114" i="4"/>
  <c r="I113" i="4"/>
  <c r="I112" i="4"/>
  <c r="I111" i="4"/>
  <c r="I110" i="4"/>
  <c r="I109" i="4"/>
  <c r="I108" i="4"/>
  <c r="I107" i="4"/>
  <c r="I106" i="4"/>
  <c r="I105" i="4"/>
  <c r="I104" i="4"/>
  <c r="I103" i="4"/>
  <c r="I102" i="4"/>
  <c r="I101" i="4"/>
  <c r="I100" i="4"/>
  <c r="I99" i="4"/>
  <c r="I98" i="4"/>
  <c r="I97" i="4"/>
  <c r="I96" i="4"/>
  <c r="I95" i="4"/>
  <c r="I94" i="4"/>
  <c r="I93" i="4"/>
  <c r="I92" i="4"/>
  <c r="I91" i="4"/>
  <c r="I90" i="4"/>
  <c r="I89" i="4"/>
  <c r="I88" i="4"/>
  <c r="I87" i="4"/>
  <c r="I86" i="4"/>
  <c r="I85" i="4"/>
  <c r="I84" i="4"/>
  <c r="I83" i="4"/>
  <c r="I82" i="4"/>
  <c r="I81" i="4"/>
  <c r="I80" i="4"/>
  <c r="I79" i="4"/>
  <c r="I78" i="4"/>
  <c r="I77" i="4"/>
  <c r="I76" i="4"/>
  <c r="I75" i="4"/>
  <c r="I74" i="4"/>
  <c r="I73" i="4"/>
  <c r="I72" i="4"/>
  <c r="I71" i="4"/>
  <c r="I70" i="4"/>
  <c r="I69" i="4"/>
  <c r="I68" i="4"/>
  <c r="I67" i="4"/>
  <c r="I66" i="4"/>
  <c r="I65" i="4"/>
  <c r="I64" i="4"/>
  <c r="I63" i="4"/>
  <c r="I62" i="4"/>
  <c r="I61" i="4"/>
  <c r="I60" i="4"/>
  <c r="I59" i="4"/>
  <c r="I58" i="4"/>
  <c r="I57" i="4"/>
  <c r="I56" i="4"/>
  <c r="I55" i="4"/>
  <c r="I54" i="4"/>
  <c r="I53" i="4"/>
  <c r="I52" i="4"/>
  <c r="I51" i="4"/>
  <c r="I50" i="4"/>
  <c r="I49" i="4"/>
  <c r="I48" i="4"/>
  <c r="I47" i="4"/>
  <c r="I46" i="4"/>
  <c r="I45" i="4"/>
  <c r="I44" i="4"/>
  <c r="I43" i="4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I3" i="4"/>
  <c r="I2" i="4"/>
  <c r="O1" i="1"/>
  <c r="A24" i="1" s="1"/>
  <c r="A19" i="1" l="1"/>
  <c r="A25" i="1"/>
  <c r="B25" i="1"/>
  <c r="A14" i="1"/>
  <c r="A20" i="1"/>
  <c r="A26" i="1"/>
  <c r="B18" i="1"/>
  <c r="B13" i="1"/>
  <c r="B14" i="1"/>
  <c r="B20" i="1"/>
  <c r="B26" i="1"/>
  <c r="A13" i="1"/>
  <c r="A27" i="1"/>
  <c r="C9" i="1"/>
  <c r="B19" i="1"/>
  <c r="A15" i="1"/>
  <c r="B15" i="1"/>
  <c r="B21" i="1"/>
  <c r="B27" i="1"/>
  <c r="B24" i="1"/>
  <c r="A21" i="1"/>
  <c r="A16" i="1"/>
  <c r="A22" i="1"/>
  <c r="B16" i="1"/>
  <c r="B22" i="1"/>
  <c r="C6" i="1"/>
  <c r="A17" i="1"/>
  <c r="A23" i="1"/>
  <c r="C7" i="1"/>
  <c r="B17" i="1"/>
  <c r="B23" i="1"/>
  <c r="C8" i="1"/>
  <c r="A18" i="1"/>
</calcChain>
</file>

<file path=xl/sharedStrings.xml><?xml version="1.0" encoding="utf-8"?>
<sst xmlns="http://schemas.openxmlformats.org/spreadsheetml/2006/main" count="18057" uniqueCount="2703">
  <si>
    <r>
      <rPr>
        <b/>
        <sz val="14"/>
        <color rgb="FF1F4E78"/>
        <rFont val="Arial"/>
        <family val="2"/>
      </rPr>
      <t xml:space="preserve">INNO NanoLab — ICP </t>
    </r>
    <r>
      <rPr>
        <b/>
        <sz val="14"/>
        <color rgb="FF1F4E78"/>
        <rFont val="Noto Sans CJK SC"/>
        <family val="2"/>
      </rPr>
      <t xml:space="preserve">간섭 </t>
    </r>
    <r>
      <rPr>
        <b/>
        <sz val="14"/>
        <color rgb="FF1F4E78"/>
        <rFont val="Arial"/>
        <family val="2"/>
      </rPr>
      <t xml:space="preserve">DB · </t>
    </r>
    <r>
      <rPr>
        <b/>
        <sz val="14"/>
        <color rgb="FF1F4E78"/>
        <rFont val="Noto Sans CJK SC"/>
        <family val="2"/>
      </rPr>
      <t>인터랙티브 뷰어</t>
    </r>
  </si>
  <si>
    <r>
      <rPr>
        <i/>
        <sz val="9"/>
        <color rgb="FF666666"/>
        <rFont val="Noto Sans CJK SC"/>
        <family val="2"/>
      </rPr>
      <t>아래 노란 칸에서 분석선</t>
    </r>
    <r>
      <rPr>
        <i/>
        <sz val="9"/>
        <color rgb="FF666666"/>
        <rFont val="Arial"/>
        <family val="2"/>
      </rPr>
      <t>(</t>
    </r>
    <r>
      <rPr>
        <i/>
        <sz val="9"/>
        <color rgb="FF666666"/>
        <rFont val="Noto Sans CJK SC"/>
        <family val="2"/>
      </rPr>
      <t>원소</t>
    </r>
    <r>
      <rPr>
        <i/>
        <sz val="9"/>
        <color rgb="FF666666"/>
        <rFont val="Arial"/>
        <family val="2"/>
      </rPr>
      <t>·</t>
    </r>
    <r>
      <rPr>
        <i/>
        <sz val="9"/>
        <color rgb="FF666666"/>
        <rFont val="Noto Sans CJK SC"/>
        <family val="2"/>
      </rPr>
      <t>파장</t>
    </r>
    <r>
      <rPr>
        <i/>
        <sz val="9"/>
        <color rgb="FF666666"/>
        <rFont val="Arial"/>
        <family val="2"/>
      </rPr>
      <t>)</t>
    </r>
    <r>
      <rPr>
        <i/>
        <sz val="9"/>
        <color rgb="FF666666"/>
        <rFont val="Noto Sans CJK SC"/>
        <family val="2"/>
      </rPr>
      <t>을 고르면 → 그 피크의 주요 간섭선이 오른쪽 막대그래프로 갱신됩니다</t>
    </r>
    <r>
      <rPr>
        <i/>
        <sz val="9"/>
        <color rgb="FF666666"/>
        <rFont val="Arial"/>
        <family val="2"/>
      </rPr>
      <t>.</t>
    </r>
  </si>
  <si>
    <t>분석선 선택 ▶</t>
  </si>
  <si>
    <t>Sc 361.383</t>
  </si>
  <si>
    <r>
      <rPr>
        <b/>
        <sz val="10"/>
        <rFont val="Noto Sans CJK SC"/>
        <family val="2"/>
      </rPr>
      <t xml:space="preserve">기준강도 </t>
    </r>
    <r>
      <rPr>
        <b/>
        <sz val="10"/>
        <rFont val="Arial"/>
        <family val="2"/>
      </rPr>
      <t>I(ref)</t>
    </r>
  </si>
  <si>
    <r>
      <rPr>
        <b/>
        <sz val="10"/>
        <rFont val="Noto Sans CJK SC"/>
        <family val="2"/>
      </rPr>
      <t xml:space="preserve">최악 </t>
    </r>
    <r>
      <rPr>
        <b/>
        <sz val="10"/>
        <rFont val="Arial"/>
        <family val="2"/>
      </rPr>
      <t xml:space="preserve">REE </t>
    </r>
    <r>
      <rPr>
        <b/>
        <sz val="10"/>
        <rFont val="Noto Sans CJK SC"/>
        <family val="2"/>
      </rPr>
      <t>간섭비</t>
    </r>
  </si>
  <si>
    <r>
      <rPr>
        <b/>
        <sz val="10"/>
        <rFont val="Noto Sans CJK SC"/>
        <family val="2"/>
      </rPr>
      <t xml:space="preserve">판정 </t>
    </r>
    <r>
      <rPr>
        <b/>
        <sz val="10"/>
        <rFont val="Arial"/>
        <family val="2"/>
      </rPr>
      <t xml:space="preserve">(REE </t>
    </r>
    <r>
      <rPr>
        <b/>
        <sz val="10"/>
        <rFont val="Noto Sans CJK SC"/>
        <family val="2"/>
      </rPr>
      <t>매트릭스</t>
    </r>
    <r>
      <rPr>
        <b/>
        <sz val="10"/>
        <rFont val="Arial"/>
        <family val="2"/>
      </rPr>
      <t>)</t>
    </r>
  </si>
  <si>
    <r>
      <rPr>
        <b/>
        <sz val="10"/>
        <rFont val="Noto Sans CJK SC"/>
        <family val="2"/>
      </rPr>
      <t xml:space="preserve">간섭선 수 </t>
    </r>
    <r>
      <rPr>
        <b/>
        <sz val="10"/>
        <rFont val="Arial"/>
        <family val="2"/>
      </rPr>
      <t>(±~2nm)</t>
    </r>
  </si>
  <si>
    <r>
      <rPr>
        <b/>
        <sz val="11"/>
        <rFont val="Noto Sans CJK SC"/>
        <family val="2"/>
      </rPr>
      <t xml:space="preserve">주요 간섭선 </t>
    </r>
    <r>
      <rPr>
        <b/>
        <sz val="11"/>
        <rFont val="Arial"/>
        <family val="2"/>
      </rPr>
      <t>(</t>
    </r>
    <r>
      <rPr>
        <b/>
        <sz val="11"/>
        <rFont val="Noto Sans CJK SC"/>
        <family val="2"/>
      </rPr>
      <t xml:space="preserve">강도비 큰 순 </t>
    </r>
    <r>
      <rPr>
        <b/>
        <sz val="11"/>
        <rFont val="Arial"/>
        <family val="2"/>
      </rPr>
      <t xml:space="preserve">· </t>
    </r>
    <r>
      <rPr>
        <b/>
        <sz val="11"/>
        <rFont val="Noto Sans CJK SC"/>
        <family val="2"/>
      </rPr>
      <t xml:space="preserve">상위 </t>
    </r>
    <r>
      <rPr>
        <b/>
        <sz val="11"/>
        <rFont val="Arial"/>
        <family val="2"/>
      </rPr>
      <t>15)</t>
    </r>
  </si>
  <si>
    <r>
      <rPr>
        <b/>
        <sz val="10"/>
        <color rgb="FFFFFFFF"/>
        <rFont val="Noto Sans CJK SC"/>
        <family val="2"/>
      </rPr>
      <t>간섭원소</t>
    </r>
    <r>
      <rPr>
        <b/>
        <sz val="10"/>
        <color rgb="FFFFFFFF"/>
        <rFont val="Arial"/>
        <family val="2"/>
      </rPr>
      <t>·</t>
    </r>
    <r>
      <rPr>
        <b/>
        <sz val="10"/>
        <color rgb="FFFFFFFF"/>
        <rFont val="Noto Sans CJK SC"/>
        <family val="2"/>
      </rPr>
      <t>파장</t>
    </r>
  </si>
  <si>
    <t>강도비</t>
  </si>
  <si>
    <r>
      <rPr>
        <b/>
        <sz val="13"/>
        <color rgb="FF1F4E78"/>
        <rFont val="Arial"/>
        <family val="2"/>
      </rPr>
      <t xml:space="preserve">ICP </t>
    </r>
    <r>
      <rPr>
        <b/>
        <sz val="13"/>
        <color rgb="FF1F4E78"/>
        <rFont val="Noto Sans CJK SC"/>
        <family val="2"/>
      </rPr>
      <t xml:space="preserve">간섭 </t>
    </r>
    <r>
      <rPr>
        <b/>
        <sz val="13"/>
        <color rgb="FF1F4E78"/>
        <rFont val="Arial"/>
        <family val="2"/>
      </rPr>
      <t xml:space="preserve">DB — </t>
    </r>
    <r>
      <rPr>
        <b/>
        <sz val="13"/>
        <color rgb="FF1F4E78"/>
        <rFont val="Noto Sans CJK SC"/>
        <family val="2"/>
      </rPr>
      <t xml:space="preserve">전체 피크 요약 </t>
    </r>
    <r>
      <rPr>
        <b/>
        <sz val="13"/>
        <color rgb="FF1F4E78"/>
        <rFont val="Arial"/>
        <family val="2"/>
      </rPr>
      <t>(166</t>
    </r>
    <r>
      <rPr>
        <b/>
        <sz val="13"/>
        <color rgb="FF1F4E78"/>
        <rFont val="Noto Sans CJK SC"/>
        <family val="2"/>
      </rPr>
      <t>개</t>
    </r>
    <r>
      <rPr>
        <b/>
        <sz val="13"/>
        <color rgb="FF1F4E78"/>
        <rFont val="Arial"/>
        <family val="2"/>
      </rPr>
      <t xml:space="preserve">, </t>
    </r>
    <r>
      <rPr>
        <b/>
        <sz val="13"/>
        <color rgb="FF1F4E78"/>
        <rFont val="Noto Sans CJK SC"/>
        <family val="2"/>
      </rPr>
      <t xml:space="preserve">기준원소 </t>
    </r>
    <r>
      <rPr>
        <b/>
        <sz val="13"/>
        <color rgb="FF1F4E78"/>
        <rFont val="Arial"/>
        <family val="2"/>
      </rPr>
      <t>18</t>
    </r>
    <r>
      <rPr>
        <b/>
        <sz val="13"/>
        <color rgb="FF1F4E78"/>
        <rFont val="Noto Sans CJK SC"/>
        <family val="2"/>
      </rPr>
      <t>종</t>
    </r>
    <r>
      <rPr>
        <b/>
        <sz val="13"/>
        <color rgb="FF1F4E78"/>
        <rFont val="Arial"/>
        <family val="2"/>
      </rPr>
      <t>)</t>
    </r>
  </si>
  <si>
    <r>
      <rPr>
        <i/>
        <sz val="9"/>
        <color rgb="FF666666"/>
        <rFont val="Noto Sans CJK SC"/>
        <family val="2"/>
      </rPr>
      <t xml:space="preserve">판정 기준 매트릭스 </t>
    </r>
    <r>
      <rPr>
        <i/>
        <sz val="9"/>
        <color rgb="FF666666"/>
        <rFont val="Arial"/>
        <family val="2"/>
      </rPr>
      <t xml:space="preserve">= Y·Lu·Tm·Ho·Yb·Nd·Er·Gd·Dy·Ce · </t>
    </r>
    <r>
      <rPr>
        <i/>
        <sz val="9"/>
        <color rgb="FF666666"/>
        <rFont val="Noto Sans CJK SC"/>
        <family val="2"/>
      </rPr>
      <t xml:space="preserve">강도비 </t>
    </r>
    <r>
      <rPr>
        <i/>
        <sz val="9"/>
        <color rgb="FF666666"/>
        <rFont val="Arial"/>
        <family val="2"/>
      </rPr>
      <t xml:space="preserve">= </t>
    </r>
    <r>
      <rPr>
        <i/>
        <sz val="9"/>
        <color rgb="FF666666"/>
        <rFont val="Noto Sans CJK SC"/>
        <family val="2"/>
      </rPr>
      <t>간섭강도</t>
    </r>
    <r>
      <rPr>
        <i/>
        <sz val="9"/>
        <color rgb="FF666666"/>
        <rFont val="Arial"/>
        <family val="2"/>
      </rPr>
      <t>/</t>
    </r>
    <r>
      <rPr>
        <i/>
        <sz val="9"/>
        <color rgb="FF666666"/>
        <rFont val="Noto Sans CJK SC"/>
        <family val="2"/>
      </rPr>
      <t>기준강도</t>
    </r>
  </si>
  <si>
    <t>분석원소</t>
  </si>
  <si>
    <r>
      <rPr>
        <b/>
        <sz val="10"/>
        <color rgb="FFFFFFFF"/>
        <rFont val="Noto Sans CJK SC"/>
        <family val="2"/>
      </rPr>
      <t xml:space="preserve">파장 </t>
    </r>
    <r>
      <rPr>
        <b/>
        <sz val="10"/>
        <color rgb="FFFFFFFF"/>
        <rFont val="Arial"/>
        <family val="2"/>
      </rPr>
      <t>(nm)</t>
    </r>
  </si>
  <si>
    <t>이온</t>
  </si>
  <si>
    <r>
      <rPr>
        <b/>
        <sz val="10"/>
        <color rgb="FFFFFFFF"/>
        <rFont val="Noto Sans CJK SC"/>
        <family val="2"/>
      </rPr>
      <t xml:space="preserve">기준강도 </t>
    </r>
    <r>
      <rPr>
        <b/>
        <sz val="10"/>
        <color rgb="FFFFFFFF"/>
        <rFont val="Arial"/>
        <family val="2"/>
      </rPr>
      <t>I(ref)</t>
    </r>
  </si>
  <si>
    <t>간섭선 수</t>
  </si>
  <si>
    <r>
      <rPr>
        <b/>
        <sz val="10"/>
        <color rgb="FFFFFFFF"/>
        <rFont val="Noto Sans CJK SC"/>
        <family val="2"/>
      </rPr>
      <t xml:space="preserve">최악 </t>
    </r>
    <r>
      <rPr>
        <b/>
        <sz val="10"/>
        <color rgb="FFFFFFFF"/>
        <rFont val="Arial"/>
        <family val="2"/>
      </rPr>
      <t xml:space="preserve">REE </t>
    </r>
    <r>
      <rPr>
        <b/>
        <sz val="10"/>
        <color rgb="FFFFFFFF"/>
        <rFont val="Noto Sans CJK SC"/>
        <family val="2"/>
      </rPr>
      <t>간섭</t>
    </r>
  </si>
  <si>
    <r>
      <rPr>
        <b/>
        <sz val="10"/>
        <color rgb="FFFFFFFF"/>
        <rFont val="Arial"/>
        <family val="2"/>
      </rPr>
      <t xml:space="preserve">REE </t>
    </r>
    <r>
      <rPr>
        <b/>
        <sz val="10"/>
        <color rgb="FFFFFFFF"/>
        <rFont val="Noto Sans CJK SC"/>
        <family val="2"/>
      </rPr>
      <t>파장</t>
    </r>
    <r>
      <rPr>
        <b/>
        <sz val="10"/>
        <color rgb="FFFFFFFF"/>
        <rFont val="Arial"/>
        <family val="2"/>
      </rPr>
      <t>(nm)</t>
    </r>
  </si>
  <si>
    <r>
      <rPr>
        <b/>
        <sz val="10"/>
        <color rgb="FFFFFFFF"/>
        <rFont val="Arial"/>
        <family val="2"/>
      </rPr>
      <t xml:space="preserve">REE </t>
    </r>
    <r>
      <rPr>
        <b/>
        <sz val="10"/>
        <color rgb="FFFFFFFF"/>
        <rFont val="Noto Sans CJK SC"/>
        <family val="2"/>
      </rPr>
      <t>간섭비</t>
    </r>
  </si>
  <si>
    <r>
      <rPr>
        <b/>
        <sz val="10"/>
        <color rgb="FFFFFFFF"/>
        <rFont val="Noto Sans CJK SC"/>
        <family val="2"/>
      </rPr>
      <t>판정</t>
    </r>
    <r>
      <rPr>
        <b/>
        <sz val="10"/>
        <color rgb="FFFFFFFF"/>
        <rFont val="Arial"/>
        <family val="2"/>
      </rPr>
      <t>(REE)</t>
    </r>
  </si>
  <si>
    <t>최악 전체 간섭</t>
  </si>
  <si>
    <t>원소</t>
  </si>
  <si>
    <r>
      <rPr>
        <b/>
        <sz val="9"/>
        <color rgb="FF888888"/>
        <rFont val="Noto Sans CJK SC"/>
        <family val="2"/>
      </rPr>
      <t xml:space="preserve">최소 달성 </t>
    </r>
    <r>
      <rPr>
        <b/>
        <sz val="9"/>
        <color rgb="FF888888"/>
        <rFont val="Arial"/>
        <family val="2"/>
      </rPr>
      <t>REE</t>
    </r>
    <r>
      <rPr>
        <b/>
        <sz val="9"/>
        <color rgb="FF888888"/>
        <rFont val="Noto Sans CJK SC"/>
        <family val="2"/>
      </rPr>
      <t>간섭비</t>
    </r>
  </si>
  <si>
    <t>Ce</t>
  </si>
  <si>
    <t>II</t>
  </si>
  <si>
    <t>Nd</t>
  </si>
  <si>
    <t>High risk</t>
  </si>
  <si>
    <t>Pr @380.030 (45.8%)</t>
  </si>
  <si>
    <t>Co 231.16</t>
  </si>
  <si>
    <t>Al @394.401 (108.4%)</t>
  </si>
  <si>
    <t>Fe 239.56</t>
  </si>
  <si>
    <t>Dy</t>
  </si>
  <si>
    <t>Dy @400.045 (309.7%)</t>
  </si>
  <si>
    <t>Lu 219.56</t>
  </si>
  <si>
    <t>Gd</t>
  </si>
  <si>
    <t>Gd @407.375 (79.4%)</t>
  </si>
  <si>
    <t>Ni 216.56</t>
  </si>
  <si>
    <t>La @407.734 (564.9%)</t>
  </si>
  <si>
    <t>Ta 226.14</t>
  </si>
  <si>
    <t>Caution</t>
  </si>
  <si>
    <t>Pr @408.185 (63.0%)</t>
  </si>
  <si>
    <t>Yb 211.67</t>
  </si>
  <si>
    <t>Gd @413.226 (49.2%)</t>
  </si>
  <si>
    <t>Dy 353.17</t>
  </si>
  <si>
    <t>Gd @413.710 (20.5%)</t>
  </si>
  <si>
    <t>Sc 361.38</t>
  </si>
  <si>
    <t>Gd @418.426 (746.1%)</t>
  </si>
  <si>
    <t>Y 371.03</t>
  </si>
  <si>
    <t>Pr @422.293 (203.7%)</t>
  </si>
  <si>
    <t>La 379.48</t>
  </si>
  <si>
    <t>Sm @445.851 (58.6%)</t>
  </si>
  <si>
    <t>Er 369.26</t>
  </si>
  <si>
    <t>Co</t>
  </si>
  <si>
    <t>Excellent</t>
  </si>
  <si>
    <t>Ni @228.708 (9.0%)</t>
  </si>
  <si>
    <t>Tm 313.12</t>
  </si>
  <si>
    <t>Mo @230.699 (3.9%)</t>
  </si>
  <si>
    <t>Tb 350.91</t>
  </si>
  <si>
    <t>-</t>
  </si>
  <si>
    <t>Ni @231.096 (36.8%)</t>
  </si>
  <si>
    <t>Ho 341.64</t>
  </si>
  <si>
    <t>Yb</t>
  </si>
  <si>
    <t>Good</t>
  </si>
  <si>
    <t>Fe @236.483 (38.8%)</t>
  </si>
  <si>
    <t>Pr 422.53</t>
  </si>
  <si>
    <t>Fe @237.928 (9.7%)</t>
  </si>
  <si>
    <t>Gd 376.84</t>
  </si>
  <si>
    <t>Fe @238.325 (12.6%)</t>
  </si>
  <si>
    <t>Ce 422.26</t>
  </si>
  <si>
    <t>Fe @238.863 (3.1%)</t>
  </si>
  <si>
    <t>Nd 430.36</t>
  </si>
  <si>
    <t>Gd @340.756 (18.2%)</t>
  </si>
  <si>
    <t>Ni @352.453 (52.8%)</t>
  </si>
  <si>
    <t>V @353.076 (4.3%)</t>
  </si>
  <si>
    <t>Sc @353.571 (194.3%)</t>
  </si>
  <si>
    <t>Sc @357.634 (1618.3%)</t>
  </si>
  <si>
    <t>Sc @364.531 (217.0%)</t>
  </si>
  <si>
    <t>La @387.164 (213.8%)</t>
  </si>
  <si>
    <t>Tb @389.919 (60.3%)</t>
  </si>
  <si>
    <t>Al @394.401 (36.8%)</t>
  </si>
  <si>
    <t>Zr @399.895 (39.4%)</t>
  </si>
  <si>
    <t>Sr @407.771 (13431.9%)</t>
  </si>
  <si>
    <t>Er</t>
  </si>
  <si>
    <t>Lu</t>
  </si>
  <si>
    <t>Lu @291.139 (439.9%)</t>
  </si>
  <si>
    <t>Ta @296.515 (41.8%)</t>
  </si>
  <si>
    <t>V @300.120 (51.7%)</t>
  </si>
  <si>
    <t>Ti @322.920 (62.6%)</t>
  </si>
  <si>
    <t>La @326.567 (38.0%)</t>
  </si>
  <si>
    <t>Sc @337.215 (2350.5%)</t>
  </si>
  <si>
    <t>Ru @349.894 (12.7%)</t>
  </si>
  <si>
    <t>Rh @369.236 (18.4%)</t>
  </si>
  <si>
    <t>Ho</t>
  </si>
  <si>
    <t>Sm @389.697 (23.1%)</t>
  </si>
  <si>
    <t>Pr @390.843 (422.3%)</t>
  </si>
  <si>
    <t>Fe</t>
  </si>
  <si>
    <t>Co @234.427 (16.3%)</t>
  </si>
  <si>
    <t>Ta @238.115 (3.4%)</t>
  </si>
  <si>
    <t>Hf @239.384 (40.4%)</t>
  </si>
  <si>
    <t>Hf @240.543 (34.8%)</t>
  </si>
  <si>
    <t>Co @258.722 (22.0%)</t>
  </si>
  <si>
    <t>Mn @259.889 (8.8%)</t>
  </si>
  <si>
    <t>Hf @260.703 (60.1%)</t>
  </si>
  <si>
    <t>Lu @261.340 (62.9%)</t>
  </si>
  <si>
    <t>Lu @261.340 (116.1%)</t>
  </si>
  <si>
    <t>Yb @300.939 (6.8%)</t>
  </si>
  <si>
    <t>Nb @303.276 (35.6%)</t>
  </si>
  <si>
    <t>Tm</t>
  </si>
  <si>
    <t>V @310.229 (263.0%)</t>
  </si>
  <si>
    <t>Ti @334.941 (625.6%)</t>
  </si>
  <si>
    <t>Sc @335.968 (141.9%)</t>
  </si>
  <si>
    <t>Ti @336.122 (482.3%)</t>
  </si>
  <si>
    <t>Ho @342.163 (12.7%)</t>
  </si>
  <si>
    <t>Tb @344.037 (19.3%)</t>
  </si>
  <si>
    <t>Y</t>
  </si>
  <si>
    <t>Y @358.452 (201.3%)</t>
  </si>
  <si>
    <t>Sc @364.531 (268.0%)</t>
  </si>
  <si>
    <t>Sm @376.736 (8.1%)</t>
  </si>
  <si>
    <t>Tm @379.576 (248.2%)</t>
  </si>
  <si>
    <t>Hf @339.979 (61.3%)</t>
  </si>
  <si>
    <t>Ni @341.476 (31.8%)</t>
  </si>
  <si>
    <t>Co @345.351 (38.9%)</t>
  </si>
  <si>
    <t>Dy @345.432 (11.0%)</t>
  </si>
  <si>
    <t>Lu @347.246 (109.0%)</t>
  </si>
  <si>
    <t>Zr @348.353 (17.3%)</t>
  </si>
  <si>
    <t>Zr @349.619 (662.6%)</t>
  </si>
  <si>
    <t>Th @351.453 (35.6%)</t>
  </si>
  <si>
    <t>Mo @379.825 (42.7%)</t>
  </si>
  <si>
    <t>Nd @381.048 (6.7%)</t>
  </si>
  <si>
    <t>Ba @389.178 (32.6%)</t>
  </si>
  <si>
    <t>Ar @404.442 (252.8%)</t>
  </si>
  <si>
    <t>La</t>
  </si>
  <si>
    <t>Ho @333.723 (4.6%)</t>
  </si>
  <si>
    <t>Ti @375.930 (136.2%)</t>
  </si>
  <si>
    <t>Er @379.183 (47.5%)</t>
  </si>
  <si>
    <t>Sm @379.398 (5.9%)</t>
  </si>
  <si>
    <t>Dy @387.211 (46.8%)</t>
  </si>
  <si>
    <t>Y @395.035 (43.0%)</t>
  </si>
  <si>
    <t>Tb @398.799 (26.8%)</t>
  </si>
  <si>
    <t>Nd @399.467 (16.0%)</t>
  </si>
  <si>
    <t>Sr @407.771 (5924.8%)</t>
  </si>
  <si>
    <t>Th @408.504 (5.2%)</t>
  </si>
  <si>
    <t>Ce @412.387 (8.3%)</t>
  </si>
  <si>
    <t>Th @491.982 (14.3%)</t>
  </si>
  <si>
    <t>Cu @219.227 (42.6%)</t>
  </si>
  <si>
    <t>Pb @261.417 (0.5%)</t>
  </si>
  <si>
    <t>Mo @289.445 (14.6%)</t>
  </si>
  <si>
    <t>Nb @289.923 (20.7%)</t>
  </si>
  <si>
    <t>V @291.001 (24.2%)</t>
  </si>
  <si>
    <t>Ti @307.866 (96.9%)</t>
  </si>
  <si>
    <t>Er @339.827 (26.1%)</t>
  </si>
  <si>
    <t>Zr @350.568 (39.8%)</t>
  </si>
  <si>
    <t>V @547.339 (3.5%)</t>
  </si>
  <si>
    <t>Dy @378.618 (94.0%)</t>
  </si>
  <si>
    <t>Gd @380.552 (27.5%)</t>
  </si>
  <si>
    <t>Mo @386.410 (80.1%)</t>
  </si>
  <si>
    <t>La @394.910 (1149.9%)</t>
  </si>
  <si>
    <t>Sm @396.302 (40.9%)</t>
  </si>
  <si>
    <t>La @399.575 (626.7%)</t>
  </si>
  <si>
    <t>Ce @401.239 (28.7%)</t>
  </si>
  <si>
    <t>Pr @406.281 (67.4%)</t>
  </si>
  <si>
    <t>Th @410.842 (23.2%)</t>
  </si>
  <si>
    <t>Sr @430.544 (71.9%)</t>
  </si>
  <si>
    <t>Ni</t>
  </si>
  <si>
    <t>Sr @216.596 (175.8%)</t>
  </si>
  <si>
    <t>Sb @217.582 (50.1%)</t>
  </si>
  <si>
    <t>Cu @221.811 (16.8%)</t>
  </si>
  <si>
    <t>Yb @222.447 (308.0%)</t>
  </si>
  <si>
    <t>Sc @227.311 (53.8%)</t>
  </si>
  <si>
    <t>Ba @230.424 (477.3%)</t>
  </si>
  <si>
    <t>Co @231.497 (41.6%)</t>
  </si>
  <si>
    <t>Pr</t>
  </si>
  <si>
    <t>Eu @390.711 (650.7%)</t>
  </si>
  <si>
    <t>Er @400.796 (23.5%)</t>
  </si>
  <si>
    <t>Nd @406.108 (148.5%)</t>
  </si>
  <si>
    <t>Dy @410.331 (45.6%)</t>
  </si>
  <si>
    <t>Sm @411.855 (67.3%)</t>
  </si>
  <si>
    <t>Y @417.753 (415.9%)</t>
  </si>
  <si>
    <t>Ar @419.103 (398.0%)</t>
  </si>
  <si>
    <t>Eu @420.504 (18576.2%)</t>
  </si>
  <si>
    <t>Ce @422.260 (491.0%)</t>
  </si>
  <si>
    <t>Ca @422.673 (464.3%)</t>
  </si>
  <si>
    <t>Sc</t>
  </si>
  <si>
    <t>Hf @255.139 (5.2%)</t>
  </si>
  <si>
    <t>Hf @335.205 (1.8%)</t>
  </si>
  <si>
    <t>Zr @357.247 (15.2%)</t>
  </si>
  <si>
    <t>Zr @357.684 (11.7%)</t>
  </si>
  <si>
    <t>Zr @361.477 (2.7%)</t>
  </si>
  <si>
    <t>Dy @363.024 (2.4%)</t>
  </si>
  <si>
    <t>Hf @364.435 (3.0%)</t>
  </si>
  <si>
    <t>Nd @424.736 (2.3%)</t>
  </si>
  <si>
    <t>Ta</t>
  </si>
  <si>
    <t>Cu @226.308 (121.8%)</t>
  </si>
  <si>
    <t>Cu @226.308 (120.8%)</t>
  </si>
  <si>
    <t>Fe @233.280 (209.0%)</t>
  </si>
  <si>
    <t>Fe @238.863 (160.1%)</t>
  </si>
  <si>
    <t>Fe @239.924 (106.1%)</t>
  </si>
  <si>
    <t>Mo @263.667 (17.8%)</t>
  </si>
  <si>
    <t>Th @268.429 (34.5%)</t>
  </si>
  <si>
    <t>Tb</t>
  </si>
  <si>
    <t>Ti @321.826 (78.7%)</t>
  </si>
  <si>
    <t>Er @322.073 (77.8%)</t>
  </si>
  <si>
    <t>Ti @332.294 (2245.8%)</t>
  </si>
  <si>
    <t>Co @351.041 (10.8%)</t>
  </si>
  <si>
    <t>Hf @356.166 (72.8%)</t>
  </si>
  <si>
    <t>Sc @356.770 (442.6%)</t>
  </si>
  <si>
    <t>Y @360.074 (2644.0%)</t>
  </si>
  <si>
    <t>Dy @367.659 (26.6%)</t>
  </si>
  <si>
    <t>Tm @370.136 (167.4%)</t>
  </si>
  <si>
    <t>La @384.901 (174.9%)</t>
  </si>
  <si>
    <t>Dy @387.399 (18.6%)</t>
  </si>
  <si>
    <t>Dy @389.853 (165.9%)</t>
  </si>
  <si>
    <t>Be @313.042 (1805.6%)</t>
  </si>
  <si>
    <t>Hf @313.472 (40.1%)</t>
  </si>
  <si>
    <t>Th @329.174 (14.4%)</t>
  </si>
  <si>
    <t>Sc @336.193 (79.3%)</t>
  </si>
  <si>
    <t>Ho @342.534 (19.3%)</t>
  </si>
  <si>
    <t>Dy @346.097 (17.3%)</t>
  </si>
  <si>
    <t>Ti @321.706 (18.6%)</t>
  </si>
  <si>
    <t>Ti @324.199 (29.1%)</t>
  </si>
  <si>
    <t>Tb @360.044 (3.8%)</t>
  </si>
  <si>
    <t>Zr @361.189 (4.2%)</t>
  </si>
  <si>
    <t>Zr @370.927 (2.4%)</t>
  </si>
  <si>
    <t>Nd @377.550 (1.8%)</t>
  </si>
  <si>
    <t>Dy @378.844 (3.7%)</t>
  </si>
  <si>
    <t>W @211.888 (9.2%)</t>
  </si>
  <si>
    <t>Ir @212.681 (45.6%)</t>
  </si>
  <si>
    <t>Ni @222.486 (32.5%)</t>
  </si>
  <si>
    <t>V @289.164 (19.6%)</t>
  </si>
  <si>
    <t>Zr @328.880 (0.3%)</t>
  </si>
  <si>
    <t>Dy @369.481 (2.9%)</t>
  </si>
  <si>
    <r>
      <rPr>
        <b/>
        <sz val="12"/>
        <color rgb="FF1F4E78"/>
        <rFont val="Noto Sans CJK SC"/>
        <family val="2"/>
      </rPr>
      <t xml:space="preserve">원소 간섭 히트맵 — 각 분석원소의 </t>
    </r>
    <r>
      <rPr>
        <b/>
        <sz val="12"/>
        <color rgb="FF1F4E78"/>
        <rFont val="Arial"/>
        <family val="2"/>
      </rPr>
      <t>'</t>
    </r>
    <r>
      <rPr>
        <b/>
        <sz val="12"/>
        <color rgb="FF1F4E78"/>
        <rFont val="Noto Sans CJK SC"/>
        <family val="2"/>
      </rPr>
      <t>가장 깨끗한 선</t>
    </r>
    <r>
      <rPr>
        <b/>
        <sz val="12"/>
        <color rgb="FF1F4E78"/>
        <rFont val="Arial"/>
        <family val="2"/>
      </rPr>
      <t>'</t>
    </r>
    <r>
      <rPr>
        <b/>
        <sz val="12"/>
        <color rgb="FF1F4E78"/>
        <rFont val="Noto Sans CJK SC"/>
        <family val="2"/>
      </rPr>
      <t>에서 간섭원소별 강도비</t>
    </r>
    <r>
      <rPr>
        <b/>
        <sz val="12"/>
        <color rgb="FF1F4E78"/>
        <rFont val="Arial"/>
        <family val="2"/>
      </rPr>
      <t>(%)</t>
    </r>
  </si>
  <si>
    <r>
      <rPr>
        <i/>
        <sz val="9"/>
        <color rgb="FF666666"/>
        <rFont val="Noto Sans CJK SC"/>
        <family val="2"/>
      </rPr>
      <t>행</t>
    </r>
    <r>
      <rPr>
        <i/>
        <sz val="9"/>
        <color rgb="FF666666"/>
        <rFont val="Arial"/>
        <family val="2"/>
      </rPr>
      <t>=</t>
    </r>
    <r>
      <rPr>
        <i/>
        <sz val="9"/>
        <color rgb="FF666666"/>
        <rFont val="Noto Sans CJK SC"/>
        <family val="2"/>
      </rPr>
      <t>분석원소</t>
    </r>
    <r>
      <rPr>
        <i/>
        <sz val="9"/>
        <color rgb="FF666666"/>
        <rFont val="Arial"/>
        <family val="2"/>
      </rPr>
      <t>(</t>
    </r>
    <r>
      <rPr>
        <i/>
        <sz val="9"/>
        <color rgb="FF666666"/>
        <rFont val="Noto Sans CJK SC"/>
        <family val="2"/>
      </rPr>
      <t>권장선</t>
    </r>
    <r>
      <rPr>
        <i/>
        <sz val="9"/>
        <color rgb="FF666666"/>
        <rFont val="Arial"/>
        <family val="2"/>
      </rPr>
      <t xml:space="preserve">). </t>
    </r>
    <r>
      <rPr>
        <i/>
        <sz val="9"/>
        <color rgb="FF666666"/>
        <rFont val="Noto Sans CJK SC"/>
        <family val="2"/>
      </rPr>
      <t>열</t>
    </r>
    <r>
      <rPr>
        <i/>
        <sz val="9"/>
        <color rgb="FF666666"/>
        <rFont val="Arial"/>
        <family val="2"/>
      </rPr>
      <t>=</t>
    </r>
    <r>
      <rPr>
        <i/>
        <sz val="9"/>
        <color rgb="FF666666"/>
        <rFont val="Noto Sans CJK SC"/>
        <family val="2"/>
      </rPr>
      <t>간섭원소</t>
    </r>
    <r>
      <rPr>
        <i/>
        <sz val="9"/>
        <color rgb="FF666666"/>
        <rFont val="Arial"/>
        <family val="2"/>
      </rPr>
      <t xml:space="preserve">. </t>
    </r>
    <r>
      <rPr>
        <i/>
        <sz val="9"/>
        <color rgb="FF666666"/>
        <rFont val="Noto Sans CJK SC"/>
        <family val="2"/>
      </rPr>
      <t>색 진할수록 간섭 큼</t>
    </r>
    <r>
      <rPr>
        <i/>
        <sz val="9"/>
        <color rgb="FF666666"/>
        <rFont val="Arial"/>
        <family val="2"/>
      </rPr>
      <t>. 0=</t>
    </r>
    <r>
      <rPr>
        <i/>
        <sz val="9"/>
        <color rgb="FF666666"/>
        <rFont val="Noto Sans CJK SC"/>
        <family val="2"/>
      </rPr>
      <t>흰색</t>
    </r>
    <r>
      <rPr>
        <i/>
        <sz val="9"/>
        <color rgb="FF666666"/>
        <rFont val="Arial"/>
        <family val="2"/>
      </rPr>
      <t>·5%=</t>
    </r>
    <r>
      <rPr>
        <i/>
        <sz val="9"/>
        <color rgb="FF666666"/>
        <rFont val="Noto Sans CJK SC"/>
        <family val="2"/>
      </rPr>
      <t>주황</t>
    </r>
    <r>
      <rPr>
        <i/>
        <sz val="9"/>
        <color rgb="FF666666"/>
        <rFont val="Arial"/>
        <family val="2"/>
      </rPr>
      <t>·≥20%=</t>
    </r>
    <r>
      <rPr>
        <i/>
        <sz val="9"/>
        <color rgb="FF666666"/>
        <rFont val="Noto Sans CJK SC"/>
        <family val="2"/>
      </rPr>
      <t>빨강</t>
    </r>
    <r>
      <rPr>
        <i/>
        <sz val="9"/>
        <color rgb="FF666666"/>
        <rFont val="Arial"/>
        <family val="2"/>
      </rPr>
      <t>.</t>
    </r>
  </si>
  <si>
    <r>
      <rPr>
        <b/>
        <sz val="10"/>
        <color rgb="FFFFFFFF"/>
        <rFont val="Noto Sans CJK SC"/>
        <family val="2"/>
      </rPr>
      <t xml:space="preserve">분석원소 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Noto Sans CJK SC"/>
        <family val="2"/>
      </rPr>
      <t xml:space="preserve">권장선 </t>
    </r>
    <r>
      <rPr>
        <b/>
        <sz val="10"/>
        <color rgb="FFFFFFFF"/>
        <rFont val="Arial"/>
        <family val="2"/>
      </rPr>
      <t>nm)</t>
    </r>
  </si>
  <si>
    <t>Zr</t>
  </si>
  <si>
    <t>Ti</t>
  </si>
  <si>
    <t>Ca</t>
  </si>
  <si>
    <t>Cr</t>
  </si>
  <si>
    <t>Mn</t>
  </si>
  <si>
    <t>Ce  413.765</t>
  </si>
  <si>
    <t>—</t>
  </si>
  <si>
    <t>Co  238.892</t>
  </si>
  <si>
    <t>Dy  353.171</t>
  </si>
  <si>
    <t>Er  349.910</t>
  </si>
  <si>
    <t>Fe  238.204</t>
  </si>
  <si>
    <t>Gd  301.013</t>
  </si>
  <si>
    <t>Ho  381.074</t>
  </si>
  <si>
    <t>La  333.749</t>
  </si>
  <si>
    <t>Lu  261.541</t>
  </si>
  <si>
    <t>Nd  410.945</t>
  </si>
  <si>
    <t>Ni  221.648</t>
  </si>
  <si>
    <t>Pr  400.869</t>
  </si>
  <si>
    <t>Sc  335.372</t>
  </si>
  <si>
    <t>Ta  263.558</t>
  </si>
  <si>
    <t>Tb  350.914</t>
  </si>
  <si>
    <t>Tm  329.100</t>
  </si>
  <si>
    <t>Y  377.433</t>
  </si>
  <si>
    <t>Yb  328.937</t>
  </si>
  <si>
    <r>
      <rPr>
        <b/>
        <sz val="10"/>
        <color rgb="FFFFFFFF"/>
        <rFont val="Noto Sans CJK SC"/>
        <family val="2"/>
      </rPr>
      <t>분석파장</t>
    </r>
    <r>
      <rPr>
        <b/>
        <sz val="10"/>
        <color rgb="FFFFFFFF"/>
        <rFont val="Arial"/>
        <family val="2"/>
      </rPr>
      <t>(nm)</t>
    </r>
  </si>
  <si>
    <t>간섭원소</t>
  </si>
  <si>
    <r>
      <rPr>
        <b/>
        <sz val="10"/>
        <color rgb="FFFFFFFF"/>
        <rFont val="Noto Sans CJK SC"/>
        <family val="2"/>
      </rPr>
      <t>간섭파장</t>
    </r>
    <r>
      <rPr>
        <b/>
        <sz val="10"/>
        <color rgb="FFFFFFFF"/>
        <rFont val="Arial"/>
        <family val="2"/>
      </rPr>
      <t>(nm)</t>
    </r>
  </si>
  <si>
    <t>Δλ(nm)</t>
  </si>
  <si>
    <t>|Δλ|(nm)</t>
  </si>
  <si>
    <r>
      <rPr>
        <b/>
        <sz val="10"/>
        <color rgb="FFFFFFFF"/>
        <rFont val="Noto Sans CJK SC"/>
        <family val="2"/>
      </rPr>
      <t xml:space="preserve">간섭강도 </t>
    </r>
    <r>
      <rPr>
        <b/>
        <sz val="10"/>
        <color rgb="FFFFFFFF"/>
        <rFont val="Arial"/>
        <family val="2"/>
      </rPr>
      <t>I</t>
    </r>
  </si>
  <si>
    <r>
      <rPr>
        <b/>
        <sz val="10"/>
        <color rgb="FFFFFFFF"/>
        <rFont val="Noto Sans CJK SC"/>
        <family val="2"/>
      </rPr>
      <t>강도비</t>
    </r>
    <r>
      <rPr>
        <b/>
        <sz val="10"/>
        <color rgb="FFFFFFFF"/>
        <rFont val="Arial"/>
        <family val="2"/>
      </rPr>
      <t>(=</t>
    </r>
    <r>
      <rPr>
        <b/>
        <sz val="10"/>
        <color rgb="FFFFFFFF"/>
        <rFont val="Noto Sans CJK SC"/>
        <family val="2"/>
      </rPr>
      <t>간섭</t>
    </r>
    <r>
      <rPr>
        <b/>
        <sz val="10"/>
        <color rgb="FFFFFFFF"/>
        <rFont val="Arial"/>
        <family val="2"/>
      </rPr>
      <t>/</t>
    </r>
    <r>
      <rPr>
        <b/>
        <sz val="10"/>
        <color rgb="FFFFFFFF"/>
        <rFont val="Noto Sans CJK SC"/>
        <family val="2"/>
      </rPr>
      <t>기준</t>
    </r>
    <r>
      <rPr>
        <b/>
        <sz val="10"/>
        <color rgb="FFFFFFFF"/>
        <rFont val="Arial"/>
        <family val="2"/>
      </rPr>
      <t>)</t>
    </r>
  </si>
  <si>
    <r>
      <rPr>
        <b/>
        <sz val="10"/>
        <color rgb="FFFFFFFF"/>
        <rFont val="Arial"/>
        <family val="2"/>
      </rPr>
      <t>REE</t>
    </r>
    <r>
      <rPr>
        <b/>
        <sz val="10"/>
        <color rgb="FFFFFFFF"/>
        <rFont val="Noto Sans CJK SC"/>
        <family val="2"/>
      </rPr>
      <t>여부</t>
    </r>
  </si>
  <si>
    <t>Ru</t>
  </si>
  <si>
    <t>Hf</t>
  </si>
  <si>
    <t>Sm</t>
  </si>
  <si>
    <t>Th</t>
  </si>
  <si>
    <t>Sn</t>
  </si>
  <si>
    <t>Nb</t>
  </si>
  <si>
    <t>W</t>
  </si>
  <si>
    <t>Mo</t>
  </si>
  <si>
    <t>Au</t>
  </si>
  <si>
    <t>U</t>
  </si>
  <si>
    <t>V</t>
  </si>
  <si>
    <t>Re</t>
  </si>
  <si>
    <t>Eu</t>
  </si>
  <si>
    <t>Mg</t>
  </si>
  <si>
    <t>Rh</t>
  </si>
  <si>
    <t>Al</t>
  </si>
  <si>
    <t>Os</t>
  </si>
  <si>
    <t>Pd</t>
  </si>
  <si>
    <t>Cu</t>
  </si>
  <si>
    <t>Ar</t>
  </si>
  <si>
    <t>Ba</t>
  </si>
  <si>
    <t>Li</t>
  </si>
  <si>
    <t>Ir</t>
  </si>
  <si>
    <t>Sb</t>
  </si>
  <si>
    <t>Cd</t>
  </si>
  <si>
    <t>Si</t>
  </si>
  <si>
    <t>Pt</t>
  </si>
  <si>
    <t>Ag</t>
  </si>
  <si>
    <t>Hg</t>
  </si>
  <si>
    <t>Ge</t>
  </si>
  <si>
    <t>Tl</t>
  </si>
  <si>
    <t>Te</t>
  </si>
  <si>
    <t>Pb</t>
  </si>
  <si>
    <t>In</t>
  </si>
  <si>
    <t>Sr</t>
  </si>
  <si>
    <t>Bi</t>
  </si>
  <si>
    <t>I</t>
  </si>
  <si>
    <t>As</t>
  </si>
  <si>
    <t>Zn</t>
  </si>
  <si>
    <t>OH</t>
  </si>
  <si>
    <t>Be</t>
  </si>
  <si>
    <t>K</t>
  </si>
  <si>
    <t>Ga</t>
  </si>
  <si>
    <t>Na</t>
  </si>
  <si>
    <t>Se</t>
  </si>
  <si>
    <t>P</t>
  </si>
  <si>
    <t>key</t>
  </si>
  <si>
    <t>Ce 380.153</t>
  </si>
  <si>
    <t>Pr 380.030</t>
  </si>
  <si>
    <t>Sm 380.089</t>
  </si>
  <si>
    <t>Nd 380.347</t>
  </si>
  <si>
    <t>Nd 380.111</t>
  </si>
  <si>
    <t>Tb 380.180</t>
  </si>
  <si>
    <t>Nd 380.229</t>
  </si>
  <si>
    <t>Nb 380.129</t>
  </si>
  <si>
    <t>Sm 380.037</t>
  </si>
  <si>
    <t>Nb 380.292</t>
  </si>
  <si>
    <t>Dy 380.193</t>
  </si>
  <si>
    <t>Nb 380.387</t>
  </si>
  <si>
    <t>Hf 380.037</t>
  </si>
  <si>
    <t>Y 380.087</t>
  </si>
  <si>
    <t>Th 380.037</t>
  </si>
  <si>
    <t>Zr 380.074</t>
  </si>
  <si>
    <t>Ce 394.274</t>
  </si>
  <si>
    <t>Al 394.401</t>
  </si>
  <si>
    <t>Nd 394.151</t>
  </si>
  <si>
    <t>Sm 394.188</t>
  </si>
  <si>
    <t>Sm 394.324</t>
  </si>
  <si>
    <t>Eu 394.307</t>
  </si>
  <si>
    <t>Dy 394.253</t>
  </si>
  <si>
    <t>Nd 394.262</t>
  </si>
  <si>
    <t>Th 394.339</t>
  </si>
  <si>
    <t>Er 394.318</t>
  </si>
  <si>
    <t>Th 394.369</t>
  </si>
  <si>
    <t>Eu 394.156</t>
  </si>
  <si>
    <t>Er 394.442</t>
  </si>
  <si>
    <t>U 394.413</t>
  </si>
  <si>
    <t>Mo 394.149</t>
  </si>
  <si>
    <t>Gd 394.264</t>
  </si>
  <si>
    <t>Ce 399.924</t>
  </si>
  <si>
    <t>Dy 400.045</t>
  </si>
  <si>
    <t>Zr 399.895</t>
  </si>
  <si>
    <t>Ti 399.864</t>
  </si>
  <si>
    <t>Pr 400.017</t>
  </si>
  <si>
    <t>Nd 399.792</t>
  </si>
  <si>
    <t>Nd 400.049</t>
  </si>
  <si>
    <t>Gd 400.125</t>
  </si>
  <si>
    <t>Pr 399.912</t>
  </si>
  <si>
    <t>Tb 399.940</t>
  </si>
  <si>
    <t>Gd 399.777</t>
  </si>
  <si>
    <t>Pr 399.796</t>
  </si>
  <si>
    <t>Th 399.787</t>
  </si>
  <si>
    <t>Tb 400.000</t>
  </si>
  <si>
    <t>V 399.920</t>
  </si>
  <si>
    <t>Er 399.907</t>
  </si>
  <si>
    <t>Ce 407.347</t>
  </si>
  <si>
    <t>Gd 407.375</t>
  </si>
  <si>
    <t>Dy 407.312</t>
  </si>
  <si>
    <t>Sm 407.583</t>
  </si>
  <si>
    <t>Nd 407.511</t>
  </si>
  <si>
    <t>Er 407.400</t>
  </si>
  <si>
    <t>Gd 407.319</t>
  </si>
  <si>
    <t>W 407.436</t>
  </si>
  <si>
    <t>Pr 407.251</t>
  </si>
  <si>
    <t>Fe 407.174</t>
  </si>
  <si>
    <t>Zr 407.270</t>
  </si>
  <si>
    <t>Nd 407.148</t>
  </si>
  <si>
    <t>Nd 407.441</t>
  </si>
  <si>
    <t>Tb 407.522</t>
  </si>
  <si>
    <t>Dy 407.261</t>
  </si>
  <si>
    <t>Dy 407.399</t>
  </si>
  <si>
    <t>Ce 407.570</t>
  </si>
  <si>
    <t>La 407.734</t>
  </si>
  <si>
    <t>Y 407.736</t>
  </si>
  <si>
    <t>Zr 407.704</t>
  </si>
  <si>
    <t>La 407.670</t>
  </si>
  <si>
    <t>Sm 407.662</t>
  </si>
  <si>
    <t>U 407.668</t>
  </si>
  <si>
    <t>Ce 408.322</t>
  </si>
  <si>
    <t>Pr 408.185</t>
  </si>
  <si>
    <t>Pr 408.334</t>
  </si>
  <si>
    <t>Sm 408.259</t>
  </si>
  <si>
    <t>Sc 408.239</t>
  </si>
  <si>
    <t>Sm 408.358</t>
  </si>
  <si>
    <t>Sm 408.437</t>
  </si>
  <si>
    <t>Nd 408.252</t>
  </si>
  <si>
    <t>Ar 408.405</t>
  </si>
  <si>
    <t>Sm 408.195</t>
  </si>
  <si>
    <t>Mn 408.363</t>
  </si>
  <si>
    <t>Th 408.226</t>
  </si>
  <si>
    <t>Gd 408.466</t>
  </si>
  <si>
    <t>Mn 408.294</t>
  </si>
  <si>
    <t>Eu 408.226</t>
  </si>
  <si>
    <t>U 408.493</t>
  </si>
  <si>
    <t>Ce 413.380</t>
  </si>
  <si>
    <t>Gd 413.226</t>
  </si>
  <si>
    <t>Nd 413.532</t>
  </si>
  <si>
    <t>Nd 413.335</t>
  </si>
  <si>
    <t>Th 413.275</t>
  </si>
  <si>
    <t>Pr 413.361</t>
  </si>
  <si>
    <t>Sm 413.514</t>
  </si>
  <si>
    <t>V 413.448</t>
  </si>
  <si>
    <t>Th 413.411</t>
  </si>
  <si>
    <t>Nd 413.255</t>
  </si>
  <si>
    <t>Dy 413.335</t>
  </si>
  <si>
    <t>Sm 413.317</t>
  </si>
  <si>
    <t>Yb 413.509</t>
  </si>
  <si>
    <t>Nd 413.471</t>
  </si>
  <si>
    <t>Rh 413.527</t>
  </si>
  <si>
    <t>Sc 413.298</t>
  </si>
  <si>
    <t>Ce 413.765</t>
  </si>
  <si>
    <t>Gd 413.710</t>
  </si>
  <si>
    <t>Ca 415.822</t>
  </si>
  <si>
    <t>Th 414.023</t>
  </si>
  <si>
    <t>Nd 413.675</t>
  </si>
  <si>
    <t>Nb 413.709</t>
  </si>
  <si>
    <t>Nb 413.970</t>
  </si>
  <si>
    <t>Th 413.629</t>
  </si>
  <si>
    <t>Sm 413.892</t>
  </si>
  <si>
    <t>Eu 413.659</t>
  </si>
  <si>
    <t>Sc 414.027</t>
  </si>
  <si>
    <t>Ho 413.622</t>
  </si>
  <si>
    <t>U 413.914</t>
  </si>
  <si>
    <t>U 413.576</t>
  </si>
  <si>
    <t>U 413.681</t>
  </si>
  <si>
    <t>La 415.820</t>
  </si>
  <si>
    <t>Ce 418.659</t>
  </si>
  <si>
    <t>Gd 418.426</t>
  </si>
  <si>
    <t>Sm 418.813</t>
  </si>
  <si>
    <t>Dy 418.682</t>
  </si>
  <si>
    <t>Nd 418.497</t>
  </si>
  <si>
    <t>Zr 418.667</t>
  </si>
  <si>
    <t>Nd 418.603</t>
  </si>
  <si>
    <t>Pr 418.512</t>
  </si>
  <si>
    <t>Nd 418.823</t>
  </si>
  <si>
    <t>Mo 418.832</t>
  </si>
  <si>
    <t>U 418.806</t>
  </si>
  <si>
    <t>Tb 418.621</t>
  </si>
  <si>
    <t>Zr 418.751</t>
  </si>
  <si>
    <t>La 418.730</t>
  </si>
  <si>
    <t>Th 418.471</t>
  </si>
  <si>
    <t>Hf 418.767</t>
  </si>
  <si>
    <t>Ce 422.260</t>
  </si>
  <si>
    <t>Pr 422.293</t>
  </si>
  <si>
    <t>Sm 422.066</t>
  </si>
  <si>
    <t>Sm 422.371</t>
  </si>
  <si>
    <t>Nd 422.113</t>
  </si>
  <si>
    <t>Dy 422.111</t>
  </si>
  <si>
    <t>Nd 422.320</t>
  </si>
  <si>
    <t>Zr 422.430</t>
  </si>
  <si>
    <t>Gd 422.000</t>
  </si>
  <si>
    <t>Zr 422.238</t>
  </si>
  <si>
    <t>Sm 422.186</t>
  </si>
  <si>
    <t>Dy 422.221</t>
  </si>
  <si>
    <t>Eu 422.388</t>
  </si>
  <si>
    <t>U 422.180</t>
  </si>
  <si>
    <t>Eu 422.108</t>
  </si>
  <si>
    <t>Y 422.063</t>
  </si>
  <si>
    <t>Ce 446.021</t>
  </si>
  <si>
    <t>Sm 445.851</t>
  </si>
  <si>
    <t>Nd 446.298</t>
  </si>
  <si>
    <t>V 446.238</t>
  </si>
  <si>
    <t>V 446.029</t>
  </si>
  <si>
    <t>Zr 446.125</t>
  </si>
  <si>
    <t>Pr 445.830</t>
  </si>
  <si>
    <t>Mn 446.203</t>
  </si>
  <si>
    <t>Th 446.106</t>
  </si>
  <si>
    <t>Gd 446.324</t>
  </si>
  <si>
    <t>U 446.297</t>
  </si>
  <si>
    <t>Ru 446.003</t>
  </si>
  <si>
    <t>Mn 445.825</t>
  </si>
  <si>
    <t>Th 446.170</t>
  </si>
  <si>
    <t>Fe 445.912</t>
  </si>
  <si>
    <t>Mn 446.108</t>
  </si>
  <si>
    <t>Co 228.615</t>
  </si>
  <si>
    <t>Ni 228.708</t>
  </si>
  <si>
    <t>Ta 228.528</t>
  </si>
  <si>
    <t>Re 228.751</t>
  </si>
  <si>
    <t>Ni 228.764</t>
  </si>
  <si>
    <t>Ta 228.727</t>
  </si>
  <si>
    <t>Ta 228.502</t>
  </si>
  <si>
    <t>Nb 228.522</t>
  </si>
  <si>
    <t>Hf 228.460</t>
  </si>
  <si>
    <t>Ir 228.461</t>
  </si>
  <si>
    <t>Ru 228.768</t>
  </si>
  <si>
    <t>Ta 228.660</t>
  </si>
  <si>
    <t>Ti 228.617</t>
  </si>
  <si>
    <t>Re 228.661</t>
  </si>
  <si>
    <t>W 228.444</t>
  </si>
  <si>
    <t>W 228.462</t>
  </si>
  <si>
    <t>Co 230.786</t>
  </si>
  <si>
    <t>Mo 230.699</t>
  </si>
  <si>
    <t>Cr 230.719</t>
  </si>
  <si>
    <t>Re 230.845</t>
  </si>
  <si>
    <t>Ta 230.851</t>
  </si>
  <si>
    <t>W 230.692</t>
  </si>
  <si>
    <t>Mo 230.798</t>
  </si>
  <si>
    <t>Pt 230.804</t>
  </si>
  <si>
    <t>Ta 230.686</t>
  </si>
  <si>
    <t>Ni 230.852</t>
  </si>
  <si>
    <t>Cd 230.662</t>
  </si>
  <si>
    <t>Re 230.653</t>
  </si>
  <si>
    <t>Ni 230.778</t>
  </si>
  <si>
    <t>Ni 230.817</t>
  </si>
  <si>
    <t>W 230.766</t>
  </si>
  <si>
    <t>W 230.660</t>
  </si>
  <si>
    <t>Co 231.160</t>
  </si>
  <si>
    <t>Ni 231.096</t>
  </si>
  <si>
    <t>Ni 231.234</t>
  </si>
  <si>
    <t>Sb 231.146</t>
  </si>
  <si>
    <t>Nb 230.923</t>
  </si>
  <si>
    <t>Ni 231.366</t>
  </si>
  <si>
    <t>Ta 231.261</t>
  </si>
  <si>
    <t>Pt 231.095</t>
  </si>
  <si>
    <t>Ni 231.292</t>
  </si>
  <si>
    <t>Ni 230.949</t>
  </si>
  <si>
    <t>Cd 231.275</t>
  </si>
  <si>
    <t>Nb 231.352</t>
  </si>
  <si>
    <t>W 230.902</t>
  </si>
  <si>
    <t>Ni 231.002</t>
  </si>
  <si>
    <t>W 230.985</t>
  </si>
  <si>
    <t>Ru 231.337</t>
  </si>
  <si>
    <t>Co 236.379</t>
  </si>
  <si>
    <t>Fe 236.483</t>
  </si>
  <si>
    <t>Ta 236.426</t>
  </si>
  <si>
    <t>Fe 236.202</t>
  </si>
  <si>
    <t>Yb 236.209</t>
  </si>
  <si>
    <t>Tb 236.289</t>
  </si>
  <si>
    <t>W 236.422</t>
  </si>
  <si>
    <t>Nb 236.522</t>
  </si>
  <si>
    <t>Hf 236.599</t>
  </si>
  <si>
    <t>Pd 236.232</t>
  </si>
  <si>
    <t>Rh 236.192</t>
  </si>
  <si>
    <t>Th 236.604</t>
  </si>
  <si>
    <t>Re 236.591</t>
  </si>
  <si>
    <t>Mo 236.611</t>
  </si>
  <si>
    <t>Ir 236.305</t>
  </si>
  <si>
    <t>W 236.307</t>
  </si>
  <si>
    <t>Co 237.863</t>
  </si>
  <si>
    <t>Fe 237.928</t>
  </si>
  <si>
    <t>Th 237.784</t>
  </si>
  <si>
    <t>Os 237.704</t>
  </si>
  <si>
    <t>Ta 237.833</t>
  </si>
  <si>
    <t>Pt 237.728</t>
  </si>
  <si>
    <t>Tl 237.958</t>
  </si>
  <si>
    <t>Ta 237.717</t>
  </si>
  <si>
    <t>V 237.916</t>
  </si>
  <si>
    <t>Al 237.839</t>
  </si>
  <si>
    <t>W 237.860</t>
  </si>
  <si>
    <t>Re 237.910</t>
  </si>
  <si>
    <t>Ge 237.914</t>
  </si>
  <si>
    <t>Ru 237.984</t>
  </si>
  <si>
    <t>W 237.717</t>
  </si>
  <si>
    <t>Eu 237.965</t>
  </si>
  <si>
    <t>Co 238.345</t>
  </si>
  <si>
    <t>Fe 238.325</t>
  </si>
  <si>
    <t>Fe 238.439</t>
  </si>
  <si>
    <t>Ta 238.430</t>
  </si>
  <si>
    <t>Fe 238.306</t>
  </si>
  <si>
    <t>Ta 238.374</t>
  </si>
  <si>
    <t>Te 238.328</t>
  </si>
  <si>
    <t>V 238.400</t>
  </si>
  <si>
    <t>Rh 238.289</t>
  </si>
  <si>
    <t>W 238.482</t>
  </si>
  <si>
    <t>Th 238.436</t>
  </si>
  <si>
    <t>Rh 238.340</t>
  </si>
  <si>
    <t>Fe 238.236</t>
  </si>
  <si>
    <t>Ir 238.481</t>
  </si>
  <si>
    <t>Pt 238.364</t>
  </si>
  <si>
    <t>Ru 238.344</t>
  </si>
  <si>
    <t>Co 238.892</t>
  </si>
  <si>
    <t>Fe 238.863</t>
  </si>
  <si>
    <t>Nb 238.752</t>
  </si>
  <si>
    <t>Ni 238.776</t>
  </si>
  <si>
    <t>Nb 238.827</t>
  </si>
  <si>
    <t>Ta 238.838</t>
  </si>
  <si>
    <t>Ta 238.960</t>
  </si>
  <si>
    <t>Ta 238.911</t>
  </si>
  <si>
    <t>Mo 238.924</t>
  </si>
  <si>
    <t>V 238.970</t>
  </si>
  <si>
    <t>Th 238.814</t>
  </si>
  <si>
    <t>Zr 238.953</t>
  </si>
  <si>
    <t>Ge 238.947</t>
  </si>
  <si>
    <t>Au 238.775</t>
  </si>
  <si>
    <t>Mo 238.870</t>
  </si>
  <si>
    <t>Zr 238.931</t>
  </si>
  <si>
    <t>Dy 340.780</t>
  </si>
  <si>
    <t>Gd 340.756</t>
  </si>
  <si>
    <t>Cr 340.876</t>
  </si>
  <si>
    <t>Sm 340.868</t>
  </si>
  <si>
    <t>Nb 340.867</t>
  </si>
  <si>
    <t>Zr 340.810</t>
  </si>
  <si>
    <t>Nb 340.919</t>
  </si>
  <si>
    <t>Er 340.869</t>
  </si>
  <si>
    <t>Co 340.917</t>
  </si>
  <si>
    <t>Hf 340.776</t>
  </si>
  <si>
    <t>Th 340.927</t>
  </si>
  <si>
    <t>Ti 340.721</t>
  </si>
  <si>
    <t>Ta 340.667</t>
  </si>
  <si>
    <t>Th 340.864</t>
  </si>
  <si>
    <t>Er 340.636</t>
  </si>
  <si>
    <t>Ce 340.725</t>
  </si>
  <si>
    <t>Dy 352.398</t>
  </si>
  <si>
    <t>Ni 352.453</t>
  </si>
  <si>
    <t>Tb 352.366</t>
  </si>
  <si>
    <t>Gd 352.419</t>
  </si>
  <si>
    <t>Er 352.491</t>
  </si>
  <si>
    <t>Tb 352.514</t>
  </si>
  <si>
    <t>Th 352.192</t>
  </si>
  <si>
    <t>Ce 352.188</t>
  </si>
  <si>
    <t>V 352.471</t>
  </si>
  <si>
    <t>Co 352.343</t>
  </si>
  <si>
    <t>Co 352.157</t>
  </si>
  <si>
    <t>Mo 352.465</t>
  </si>
  <si>
    <t>Ce 352.407</t>
  </si>
  <si>
    <t>Nd 352.204</t>
  </si>
  <si>
    <t>Gd 352.245</t>
  </si>
  <si>
    <t>V 352.184</t>
  </si>
  <si>
    <t>Dy 353.171</t>
  </si>
  <si>
    <t>V 353.076</t>
  </si>
  <si>
    <t>Zr 353.086</t>
  </si>
  <si>
    <t>Sm 353.060</t>
  </si>
  <si>
    <t>Eu 353.113</t>
  </si>
  <si>
    <t>Mn 353.211</t>
  </si>
  <si>
    <t>Sm 353.252</t>
  </si>
  <si>
    <t>U 353.357</t>
  </si>
  <si>
    <t>U 353.111</t>
  </si>
  <si>
    <t>Nd 353.359</t>
  </si>
  <si>
    <t>Co 353.335</t>
  </si>
  <si>
    <t>Ce 353.261</t>
  </si>
  <si>
    <t>Th 353.193</t>
  </si>
  <si>
    <t>Ce 353.095</t>
  </si>
  <si>
    <t>Ce 353.287</t>
  </si>
  <si>
    <t>Ce 353.356</t>
  </si>
  <si>
    <t>Dy 353.602</t>
  </si>
  <si>
    <t>Sc 353.571</t>
  </si>
  <si>
    <t>Hf 353.555</t>
  </si>
  <si>
    <t>Nb 353.528</t>
  </si>
  <si>
    <t>Ti 353.541</t>
  </si>
  <si>
    <t>Tb 353.632</t>
  </si>
  <si>
    <t>Nb 353.748</t>
  </si>
  <si>
    <t>Sm 353.563</t>
  </si>
  <si>
    <t>Zr 353.694</t>
  </si>
  <si>
    <t>Th 353.716</t>
  </si>
  <si>
    <t>Ce 353.670</t>
  </si>
  <si>
    <t>Ce 353.557</t>
  </si>
  <si>
    <t>Ce 353.744</t>
  </si>
  <si>
    <t>Gd 353.715</t>
  </si>
  <si>
    <t>Hf 353.663</t>
  </si>
  <si>
    <t>U 353.746</t>
  </si>
  <si>
    <t>Dy 357.625</t>
  </si>
  <si>
    <t>Sc 357.634</t>
  </si>
  <si>
    <t>Zr 357.684</t>
  </si>
  <si>
    <t>Ce 357.746</t>
  </si>
  <si>
    <t>Th 357.532</t>
  </si>
  <si>
    <t>Sm 357.778</t>
  </si>
  <si>
    <t>Co 357.535</t>
  </si>
  <si>
    <t>Ce 357.623</t>
  </si>
  <si>
    <t>Mn 357.787</t>
  </si>
  <si>
    <t>Zr 357.578</t>
  </si>
  <si>
    <t>Nb 357.585</t>
  </si>
  <si>
    <t>Co 357.497</t>
  </si>
  <si>
    <t>U 357.622</t>
  </si>
  <si>
    <t>Nd 357.615</t>
  </si>
  <si>
    <t>Ce 357.529</t>
  </si>
  <si>
    <t>Th 357.816</t>
  </si>
  <si>
    <t>Dy 364.540</t>
  </si>
  <si>
    <t>Sc 364.531</t>
  </si>
  <si>
    <t>Gd 364.620</t>
  </si>
  <si>
    <t>La 364.541</t>
  </si>
  <si>
    <t>Hf 364.435</t>
  </si>
  <si>
    <t>Er 364.594</t>
  </si>
  <si>
    <t>Sm 364.539</t>
  </si>
  <si>
    <t>Gd 364.562</t>
  </si>
  <si>
    <t>Pr 364.555</t>
  </si>
  <si>
    <t>Pr 364.630</t>
  </si>
  <si>
    <t>Sm 364.590</t>
  </si>
  <si>
    <t>Nd 364.565</t>
  </si>
  <si>
    <t>Ce 364.546</t>
  </si>
  <si>
    <t>U 364.503</t>
  </si>
  <si>
    <t>Er 364.676</t>
  </si>
  <si>
    <t>Ca 364.441</t>
  </si>
  <si>
    <t>Dy 387.211</t>
  </si>
  <si>
    <t>La 387.164</t>
  </si>
  <si>
    <t>Sm 387.178</t>
  </si>
  <si>
    <t>Th 387.272</t>
  </si>
  <si>
    <t>Pr 387.072</t>
  </si>
  <si>
    <t>Co 387.302</t>
  </si>
  <si>
    <t>Hf 387.255</t>
  </si>
  <si>
    <t>U 387.103</t>
  </si>
  <si>
    <t>Sm 387.321</t>
  </si>
  <si>
    <t>Ce 387.087</t>
  </si>
  <si>
    <t>Ce 387.325</t>
  </si>
  <si>
    <t>Ce 387.180</t>
  </si>
  <si>
    <t>V 387.361</t>
  </si>
  <si>
    <t>Pr 387.270</t>
  </si>
  <si>
    <t>Sm 387.359</t>
  </si>
  <si>
    <t>Fe 387.250</t>
  </si>
  <si>
    <t>Dy 389.853</t>
  </si>
  <si>
    <t>Tb 389.919</t>
  </si>
  <si>
    <t>Sm 389.697</t>
  </si>
  <si>
    <t>Ce 389.826</t>
  </si>
  <si>
    <t>Ar 389.988</t>
  </si>
  <si>
    <t>Pr 389.725</t>
  </si>
  <si>
    <t>Pr 389.884</t>
  </si>
  <si>
    <t>Nd 389.763</t>
  </si>
  <si>
    <t>V 389.914</t>
  </si>
  <si>
    <t>Ce 389.894</t>
  </si>
  <si>
    <t>Nb 389.828</t>
  </si>
  <si>
    <t>Tb 389.789</t>
  </si>
  <si>
    <t>Pr 389.955</t>
  </si>
  <si>
    <t>U 389.973</t>
  </si>
  <si>
    <t>Fe 389.971</t>
  </si>
  <si>
    <t>Ce 390.020</t>
  </si>
  <si>
    <t>Dy 394.468</t>
  </si>
  <si>
    <t>Ce 394.388</t>
  </si>
  <si>
    <t>Sm 394.651</t>
  </si>
  <si>
    <t>Th 394.615</t>
  </si>
  <si>
    <t>Th 394.551</t>
  </si>
  <si>
    <t>Ce 394.483</t>
  </si>
  <si>
    <t>Er 394.319</t>
  </si>
  <si>
    <t>Ce 394.313</t>
  </si>
  <si>
    <t>Ce 394.670</t>
  </si>
  <si>
    <t>Tb 400.257</t>
  </si>
  <si>
    <t>Ce 400.156</t>
  </si>
  <si>
    <t>Ce 400.282</t>
  </si>
  <si>
    <t>Tb 400.219</t>
  </si>
  <si>
    <t>Ce 400.105</t>
  </si>
  <si>
    <t>Ho 400.259</t>
  </si>
  <si>
    <t>Dy 407.797</t>
  </si>
  <si>
    <t>Sr 407.771</t>
  </si>
  <si>
    <t>Ca 407.865</t>
  </si>
  <si>
    <t>Gd 407.000</t>
  </si>
  <si>
    <t>Ce 407.832</t>
  </si>
  <si>
    <t>Ce 407.747</t>
  </si>
  <si>
    <t>Nb 407.972</t>
  </si>
  <si>
    <t>Ce 408.044</t>
  </si>
  <si>
    <t>Nd 407.761</t>
  </si>
  <si>
    <t>Nd 408.022</t>
  </si>
  <si>
    <t>Ce 407.967</t>
  </si>
  <si>
    <t>Gd 407.870</t>
  </si>
  <si>
    <t>Mn 407.922</t>
  </si>
  <si>
    <t>Ti 407.847</t>
  </si>
  <si>
    <t>Ho 408.023</t>
  </si>
  <si>
    <t>U 407.778</t>
  </si>
  <si>
    <t>Er 291.036</t>
  </si>
  <si>
    <t>Lu 291.139</t>
  </si>
  <si>
    <t>V 291.001</t>
  </si>
  <si>
    <t>V 291.037</t>
  </si>
  <si>
    <t>V 291.105</t>
  </si>
  <si>
    <t>Nb 291.058</t>
  </si>
  <si>
    <t>Nb 291.174</t>
  </si>
  <si>
    <t>Mo 291.191</t>
  </si>
  <si>
    <t>Mo 290.911</t>
  </si>
  <si>
    <t>Ho 290.941</t>
  </si>
  <si>
    <t>Th 291.059</t>
  </si>
  <si>
    <t>Hf 290.992</t>
  </si>
  <si>
    <t>Zr 291.024</t>
  </si>
  <si>
    <t>Gd 291.052</t>
  </si>
  <si>
    <t>Rh 291.014</t>
  </si>
  <si>
    <t>Yb 291.153</t>
  </si>
  <si>
    <t>Er 296.452</t>
  </si>
  <si>
    <t>Ta 296.515</t>
  </si>
  <si>
    <t>Mo 296.378</t>
  </si>
  <si>
    <t>Yb 296.475</t>
  </si>
  <si>
    <t>Mo 296.528</t>
  </si>
  <si>
    <t>Th 296.492</t>
  </si>
  <si>
    <t>Hf 296.488</t>
  </si>
  <si>
    <t>Lu 296.332</t>
  </si>
  <si>
    <t>Th 296.400</t>
  </si>
  <si>
    <t>Yb 296.346</t>
  </si>
  <si>
    <t>U 296.503</t>
  </si>
  <si>
    <t>U 296.425</t>
  </si>
  <si>
    <t>Zr 296.456</t>
  </si>
  <si>
    <t>Ru 296.517</t>
  </si>
  <si>
    <t>Ce 296.480</t>
  </si>
  <si>
    <t>Ce 296.527</t>
  </si>
  <si>
    <t>Er 300.241</t>
  </si>
  <si>
    <t>V 300.120</t>
  </si>
  <si>
    <t>Ni 300.248</t>
  </si>
  <si>
    <t>Gd 300.256</t>
  </si>
  <si>
    <t>Th 300.240</t>
  </si>
  <si>
    <t>Th 300.127</t>
  </si>
  <si>
    <t>V 300.346</t>
  </si>
  <si>
    <t>Nb 300.220</t>
  </si>
  <si>
    <t>V 300.175</t>
  </si>
  <si>
    <t>U 300.332</t>
  </si>
  <si>
    <t>Ce 300.274</t>
  </si>
  <si>
    <t>Dy 300.239</t>
  </si>
  <si>
    <t>Ce 300.214</t>
  </si>
  <si>
    <t>Yb 300.261</t>
  </si>
  <si>
    <t>U 300.307</t>
  </si>
  <si>
    <t>Ta 300.299</t>
  </si>
  <si>
    <t>Er 323.058</t>
  </si>
  <si>
    <t>Ti 322.920</t>
  </si>
  <si>
    <t>Zr 323.169</t>
  </si>
  <si>
    <t>Sm 323.055</t>
  </si>
  <si>
    <t>Nb 322.956</t>
  </si>
  <si>
    <t>Ce 323.124</t>
  </si>
  <si>
    <t>Ti 323.132</t>
  </si>
  <si>
    <t>Sm 323.152</t>
  </si>
  <si>
    <t>Ce 322.936</t>
  </si>
  <si>
    <t>Tb 323.003</t>
  </si>
  <si>
    <t>Tb 323.106</t>
  </si>
  <si>
    <t>Th 323.087</t>
  </si>
  <si>
    <t>Sm 323.194</t>
  </si>
  <si>
    <t>U 322.950</t>
  </si>
  <si>
    <t>Dy 322.936</t>
  </si>
  <si>
    <t>V 323.195</t>
  </si>
  <si>
    <t>Er 326.478</t>
  </si>
  <si>
    <t>La 326.567</t>
  </si>
  <si>
    <t>Nb 326.336</t>
  </si>
  <si>
    <t>Tb 326.387</t>
  </si>
  <si>
    <t>Sm 326.494</t>
  </si>
  <si>
    <t>V 326.588</t>
  </si>
  <si>
    <t>Tb 326.490</t>
  </si>
  <si>
    <t>Ti 326.368</t>
  </si>
  <si>
    <t>Nd 326.512</t>
  </si>
  <si>
    <t>Zr 326.481</t>
  </si>
  <si>
    <t>Ce 326.388</t>
  </si>
  <si>
    <t>Ce 326.345</t>
  </si>
  <si>
    <t>U 326.579</t>
  </si>
  <si>
    <t>V 326.332</t>
  </si>
  <si>
    <t>Th 326.558</t>
  </si>
  <si>
    <t>Th 326.443</t>
  </si>
  <si>
    <t>Er 337.275</t>
  </si>
  <si>
    <t>Sc 337.215</t>
  </si>
  <si>
    <t>Ti 337.280</t>
  </si>
  <si>
    <t>Ar 337.348</t>
  </si>
  <si>
    <t>Zr 337.344</t>
  </si>
  <si>
    <t>Ti 337.145</t>
  </si>
  <si>
    <t>Tb 337.236</t>
  </si>
  <si>
    <t>Ti 337.221</t>
  </si>
  <si>
    <t>Tb 337.272</t>
  </si>
  <si>
    <t>Tb 337.150</t>
  </si>
  <si>
    <t>Pd 337.300</t>
  </si>
  <si>
    <t>Th 337.180</t>
  </si>
  <si>
    <t>Dy 337.169</t>
  </si>
  <si>
    <t>Nb 337.257</t>
  </si>
  <si>
    <t>Ce 337.373</t>
  </si>
  <si>
    <t>Ce 337.345</t>
  </si>
  <si>
    <t>Er 349.910</t>
  </si>
  <si>
    <t>Ru 349.894</t>
  </si>
  <si>
    <t>Tb 350.084</t>
  </si>
  <si>
    <t>Dy 349.871</t>
  </si>
  <si>
    <t>Zr 349.956</t>
  </si>
  <si>
    <t>Sm 349.983</t>
  </si>
  <si>
    <t>Dy 349.894</t>
  </si>
  <si>
    <t>Sm 350.050</t>
  </si>
  <si>
    <t>Th 349.999</t>
  </si>
  <si>
    <t>Tb 350.028</t>
  </si>
  <si>
    <t>Dy 349.986</t>
  </si>
  <si>
    <t>Ti 350.034</t>
  </si>
  <si>
    <t>Th 349.801</t>
  </si>
  <si>
    <t>Ni 350.085</t>
  </si>
  <si>
    <t>Zr 350.015</t>
  </si>
  <si>
    <t>Ho 349.896</t>
  </si>
  <si>
    <t>Er 369.265</t>
  </si>
  <si>
    <t>Rh 369.236</t>
  </si>
  <si>
    <t>Sm 369.399</t>
  </si>
  <si>
    <t>Ar 369.090</t>
  </si>
  <si>
    <t>Tb 369.115</t>
  </si>
  <si>
    <t>Gd 369.295</t>
  </si>
  <si>
    <t>Mo 369.264</t>
  </si>
  <si>
    <t>Th 369.390</t>
  </si>
  <si>
    <t>Sm 369.222</t>
  </si>
  <si>
    <t>V 369.222</t>
  </si>
  <si>
    <t>Gd 369.404</t>
  </si>
  <si>
    <t>Sm 369.278</t>
  </si>
  <si>
    <t>U 369.192</t>
  </si>
  <si>
    <t>Ce 369.344</t>
  </si>
  <si>
    <t>Th 369.208</t>
  </si>
  <si>
    <t>Y 369.079</t>
  </si>
  <si>
    <t>Er 389.623</t>
  </si>
  <si>
    <t>Ho 389.676</t>
  </si>
  <si>
    <t>Ce 389.511</t>
  </si>
  <si>
    <t>Ce 389.680</t>
  </si>
  <si>
    <t>Tb 389.658</t>
  </si>
  <si>
    <t>Tb 389.599</t>
  </si>
  <si>
    <t>Nd 389.614</t>
  </si>
  <si>
    <t>Dy 389.537</t>
  </si>
  <si>
    <t>Nd 389.537</t>
  </si>
  <si>
    <t>U 389.677</t>
  </si>
  <si>
    <t>V 389.615</t>
  </si>
  <si>
    <t>U 389.527</t>
  </si>
  <si>
    <t>Er 390.631</t>
  </si>
  <si>
    <t>Pr 390.843</t>
  </si>
  <si>
    <t>Eu 390.711</t>
  </si>
  <si>
    <t>Sc 390.749</t>
  </si>
  <si>
    <t>Nd 390.587</t>
  </si>
  <si>
    <t>Ho 390.563</t>
  </si>
  <si>
    <t>Ce 390.729</t>
  </si>
  <si>
    <t>Ce 390.840</t>
  </si>
  <si>
    <t>Nd 390.784</t>
  </si>
  <si>
    <t>Ce 390.434</t>
  </si>
  <si>
    <t>Th 390.519</t>
  </si>
  <si>
    <t>Ti 390.479</t>
  </si>
  <si>
    <t>Fe 390.648</t>
  </si>
  <si>
    <t>Ce 390.692</t>
  </si>
  <si>
    <t>Si 390.552</t>
  </si>
  <si>
    <t>Pr 390.487</t>
  </si>
  <si>
    <t>Fe 234.350</t>
  </si>
  <si>
    <t>Co 234.427</t>
  </si>
  <si>
    <t>Hf 234.333</t>
  </si>
  <si>
    <t>Ru 234.287</t>
  </si>
  <si>
    <t>Mo 234.375</t>
  </si>
  <si>
    <t>Co 234.462</t>
  </si>
  <si>
    <t>Ir 234.318</t>
  </si>
  <si>
    <t>Ni 234.349</t>
  </si>
  <si>
    <t>Ta 234.349</t>
  </si>
  <si>
    <t>W 234.347</t>
  </si>
  <si>
    <t>Mo 234.465</t>
  </si>
  <si>
    <t>U 234.357</t>
  </si>
  <si>
    <t>Nb 234.328</t>
  </si>
  <si>
    <t>Re 234.332</t>
  </si>
  <si>
    <t>Nb 234.370</t>
  </si>
  <si>
    <t>Ir 234.360</t>
  </si>
  <si>
    <t>Fe 238.204</t>
  </si>
  <si>
    <t>Ta 238.115</t>
  </si>
  <si>
    <t>Co 238.176</t>
  </si>
  <si>
    <t>Ru 238.201</t>
  </si>
  <si>
    <t>Hf 238.100</t>
  </si>
  <si>
    <t>Ta 238.152</t>
  </si>
  <si>
    <t>Ir 238.182</t>
  </si>
  <si>
    <t>Dy 238.198</t>
  </si>
  <si>
    <t>V 238.091</t>
  </si>
  <si>
    <t>Cr 238.147</t>
  </si>
  <si>
    <t>Co 238.232</t>
  </si>
  <si>
    <t>Ru 238.172</t>
  </si>
  <si>
    <t>Mo 238.147</t>
  </si>
  <si>
    <t>Fe 239.563</t>
  </si>
  <si>
    <t>Hf 239.384</t>
  </si>
  <si>
    <t>Ni 239.452</t>
  </si>
  <si>
    <t>W 239.708</t>
  </si>
  <si>
    <t>Co 239.390</t>
  </si>
  <si>
    <t>Ru 239.672</t>
  </si>
  <si>
    <t>Pb 239.379</t>
  </si>
  <si>
    <t>Nb 239.532</t>
  </si>
  <si>
    <t>Rh 239.655</t>
  </si>
  <si>
    <t>Ni 239.484</t>
  </si>
  <si>
    <t>Cr 239.398</t>
  </si>
  <si>
    <t>W 239.510</t>
  </si>
  <si>
    <t>W 239.416</t>
  </si>
  <si>
    <t>Co 239.551</t>
  </si>
  <si>
    <t>Ta 239.504</t>
  </si>
  <si>
    <t>W 239.573</t>
  </si>
  <si>
    <t>Fe 240.489</t>
  </si>
  <si>
    <t>Hf 240.543</t>
  </si>
  <si>
    <t>Co 240.417</t>
  </si>
  <si>
    <t>Hf 240.645</t>
  </si>
  <si>
    <t>Hf 240.361</t>
  </si>
  <si>
    <t>Rh 240.521</t>
  </si>
  <si>
    <t>Th 240.417</t>
  </si>
  <si>
    <t>Hf 240.457</t>
  </si>
  <si>
    <t>Th 240.450</t>
  </si>
  <si>
    <t>Nb 240.585</t>
  </si>
  <si>
    <t>Ta 240.367</t>
  </si>
  <si>
    <t>W 240.558</t>
  </si>
  <si>
    <t>Co 240.452</t>
  </si>
  <si>
    <t>Nb 240.534</t>
  </si>
  <si>
    <t>Mo 240.359</t>
  </si>
  <si>
    <t>Mo 240.467</t>
  </si>
  <si>
    <t>Fe 258.588</t>
  </si>
  <si>
    <t>Co 258.722</t>
  </si>
  <si>
    <t>Mn 258.431</t>
  </si>
  <si>
    <t>Ta 258.449</t>
  </si>
  <si>
    <t>Tb 258.461</t>
  </si>
  <si>
    <t>Ir 258.606</t>
  </si>
  <si>
    <t>Mo 258.595</t>
  </si>
  <si>
    <t>U 258.442</t>
  </si>
  <si>
    <t>V 258.496</t>
  </si>
  <si>
    <t>Mn 258.589</t>
  </si>
  <si>
    <t>U 258.490</t>
  </si>
  <si>
    <t>W 258.439</t>
  </si>
  <si>
    <t>W 258.593</t>
  </si>
  <si>
    <t>Mn 258.544</t>
  </si>
  <si>
    <t>Rh 258.726</t>
  </si>
  <si>
    <t>Th 258.615</t>
  </si>
  <si>
    <t>Fe 259.940</t>
  </si>
  <si>
    <t>Mn 259.889</t>
  </si>
  <si>
    <t>Sb 259.804</t>
  </si>
  <si>
    <t>Th 260.088</t>
  </si>
  <si>
    <t>Ta 260.073</t>
  </si>
  <si>
    <t>W 259.874</t>
  </si>
  <si>
    <t>Ta 259.821</t>
  </si>
  <si>
    <t>Hf 259.920</t>
  </si>
  <si>
    <t>Dy 260.016</t>
  </si>
  <si>
    <t>Ti 259.991</t>
  </si>
  <si>
    <t>Dy 260.076</t>
  </si>
  <si>
    <t>W 259.842</t>
  </si>
  <si>
    <t>W 260.074</t>
  </si>
  <si>
    <t>Nb 260.015</t>
  </si>
  <si>
    <t>Ta 259.874</t>
  </si>
  <si>
    <t>Ta 259.775</t>
  </si>
  <si>
    <t>Fe 260.709</t>
  </si>
  <si>
    <t>Hf 260.703</t>
  </si>
  <si>
    <t>Hf 260.638</t>
  </si>
  <si>
    <t>Th 260.748</t>
  </si>
  <si>
    <t>Re 260.850</t>
  </si>
  <si>
    <t>Ta 260.784</t>
  </si>
  <si>
    <t>Ta 260.863</t>
  </si>
  <si>
    <t>Ta 260.641</t>
  </si>
  <si>
    <t>Tb 260.857</t>
  </si>
  <si>
    <t>U 260.652</t>
  </si>
  <si>
    <t>U 260.673</t>
  </si>
  <si>
    <t>Cr 260.790</t>
  </si>
  <si>
    <t>W 260.639</t>
  </si>
  <si>
    <t>U 260.820</t>
  </si>
  <si>
    <t>Mo 260.591</t>
  </si>
  <si>
    <t>Fe 261.187</t>
  </si>
  <si>
    <t>Lu 261.340</t>
  </si>
  <si>
    <t>La 261.035</t>
  </si>
  <si>
    <t>Hf 261.362</t>
  </si>
  <si>
    <t>Ta 261.261</t>
  </si>
  <si>
    <t>Co 261.349</t>
  </si>
  <si>
    <t>Sc 261.119</t>
  </si>
  <si>
    <t>Ru 261.206</t>
  </si>
  <si>
    <t>Ti 261.129</t>
  </si>
  <si>
    <t>Ho 261.051</t>
  </si>
  <si>
    <t>Ir 261.129</t>
  </si>
  <si>
    <t>W 261.308</t>
  </si>
  <si>
    <t>Th 261.163</t>
  </si>
  <si>
    <t>Mo 261.308</t>
  </si>
  <si>
    <t>V 261.145</t>
  </si>
  <si>
    <t>U 261.246</t>
  </si>
  <si>
    <t>Fe 261.382</t>
  </si>
  <si>
    <t>Pb 261.417</t>
  </si>
  <si>
    <t>Co 261.436</t>
  </si>
  <si>
    <t>Ce 261.389</t>
  </si>
  <si>
    <t>Ho 261.399</t>
  </si>
  <si>
    <t>Nb 261.383</t>
  </si>
  <si>
    <t>U 261.395</t>
  </si>
  <si>
    <t>Yb 261.525</t>
  </si>
  <si>
    <t>Hf 261.429</t>
  </si>
  <si>
    <t>W 261.381</t>
  </si>
  <si>
    <t>Nb 261.431</t>
  </si>
  <si>
    <t>Gd 301.013</t>
  </si>
  <si>
    <t>Yb 300.939</t>
  </si>
  <si>
    <t>Tb 301.059</t>
  </si>
  <si>
    <t>Er 301.116</t>
  </si>
  <si>
    <t>Th 300.977</t>
  </si>
  <si>
    <t>Tm 300.891</t>
  </si>
  <si>
    <t>Yb 301.063</t>
  </si>
  <si>
    <t>Tb 300.930</t>
  </si>
  <si>
    <t>Sn 300.913</t>
  </si>
  <si>
    <t>Ta 301.077</t>
  </si>
  <si>
    <t>U 300.942</t>
  </si>
  <si>
    <t>Er 301.031</t>
  </si>
  <si>
    <t>U 301.075</t>
  </si>
  <si>
    <t>U 301.037</t>
  </si>
  <si>
    <t>Dy 300.881</t>
  </si>
  <si>
    <t>Nb 301.068</t>
  </si>
  <si>
    <t>Gd 303.284</t>
  </si>
  <si>
    <t>Nb 303.276</t>
  </si>
  <si>
    <t>V 303.382</t>
  </si>
  <si>
    <t>V 303.344</t>
  </si>
  <si>
    <t>Er 303.131</t>
  </si>
  <si>
    <t>Th 303.407</t>
  </si>
  <si>
    <t>Tb 303.160</t>
  </si>
  <si>
    <t>Sn 303.411</t>
  </si>
  <si>
    <t>U 303.318</t>
  </si>
  <si>
    <t>U 303.199</t>
  </si>
  <si>
    <t>Tm 303.167</t>
  </si>
  <si>
    <t>Th 303.195</t>
  </si>
  <si>
    <t>Cr 303.292</t>
  </si>
  <si>
    <t>Dy 303.319</t>
  </si>
  <si>
    <t>Tm 303.408</t>
  </si>
  <si>
    <t>Th 303.129</t>
  </si>
  <si>
    <t>Gd 310.050</t>
  </si>
  <si>
    <t>V 310.229</t>
  </si>
  <si>
    <t>OH 309.941</t>
  </si>
  <si>
    <t>Tm 309.860</t>
  </si>
  <si>
    <t>OH 310.236</t>
  </si>
  <si>
    <t>Zr 309.923</t>
  </si>
  <si>
    <t>Hf 310.139</t>
  </si>
  <si>
    <t>Ni 310.155</t>
  </si>
  <si>
    <t>Er 309.919</t>
  </si>
  <si>
    <t>V 310.093</t>
  </si>
  <si>
    <t>Nb 309.918</t>
  </si>
  <si>
    <t>Th 310.094</t>
  </si>
  <si>
    <t>Ni 310.187</t>
  </si>
  <si>
    <t>Dy 310.193</t>
  </si>
  <si>
    <t>Tm 309.960</t>
  </si>
  <si>
    <t>Ta 310.103</t>
  </si>
  <si>
    <t>Gd 335.048</t>
  </si>
  <si>
    <t>Ti 334.941</t>
  </si>
  <si>
    <t>Th 335.123</t>
  </si>
  <si>
    <t>Tb 334.942</t>
  </si>
  <si>
    <t>Er 335.006</t>
  </si>
  <si>
    <t>Er 335.026</t>
  </si>
  <si>
    <t>Ho 335.049</t>
  </si>
  <si>
    <t>Sm 335.089</t>
  </si>
  <si>
    <t>Nb 334.951</t>
  </si>
  <si>
    <t>Ce 334.996</t>
  </si>
  <si>
    <t>Eu 335.156</t>
  </si>
  <si>
    <t>Ce 335.068</t>
  </si>
  <si>
    <t>Ti 335.160</t>
  </si>
  <si>
    <t>Ti 335.053</t>
  </si>
  <si>
    <t>Ce 335.152</t>
  </si>
  <si>
    <t>U 334.943</t>
  </si>
  <si>
    <t>Gd 335.863</t>
  </si>
  <si>
    <t>Sc 335.968</t>
  </si>
  <si>
    <t>Th 335.860</t>
  </si>
  <si>
    <t>Ho 335.791</t>
  </si>
  <si>
    <t>Zr 335.995</t>
  </si>
  <si>
    <t>Lu 335.956</t>
  </si>
  <si>
    <t>Cr 335.849</t>
  </si>
  <si>
    <t>Cr 336.029</t>
  </si>
  <si>
    <t>Nb 335.842</t>
  </si>
  <si>
    <t>Er 335.815</t>
  </si>
  <si>
    <t>Dy 335.946</t>
  </si>
  <si>
    <t>Th 336.037</t>
  </si>
  <si>
    <t>Nd 335.977</t>
  </si>
  <si>
    <t>Dy 335.860</t>
  </si>
  <si>
    <t>Mo 335.812</t>
  </si>
  <si>
    <t>Dy 335.830</t>
  </si>
  <si>
    <t>Gd 336.224</t>
  </si>
  <si>
    <t>Ti 336.122</t>
  </si>
  <si>
    <t>Tm 336.261</t>
  </si>
  <si>
    <t>Sc 336.193</t>
  </si>
  <si>
    <t>Sc 336.126</t>
  </si>
  <si>
    <t>Y 336.199</t>
  </si>
  <si>
    <t>Th 336.162</t>
  </si>
  <si>
    <t>Zr 336.270</t>
  </si>
  <si>
    <t>Er 336.167</t>
  </si>
  <si>
    <t>Th 336.252</t>
  </si>
  <si>
    <t>Ce 336.176</t>
  </si>
  <si>
    <t>Sm 336.144</t>
  </si>
  <si>
    <t>Cr 336.177</t>
  </si>
  <si>
    <t>Th 336.307</t>
  </si>
  <si>
    <t>Ni 336.155</t>
  </si>
  <si>
    <t>Th 336.368</t>
  </si>
  <si>
    <t>Gd 342.246</t>
  </si>
  <si>
    <t>Ho 342.163</t>
  </si>
  <si>
    <t>Pd 342.122</t>
  </si>
  <si>
    <t>Cr 342.273</t>
  </si>
  <si>
    <t>Ce 342.271</t>
  </si>
  <si>
    <t>Ni 342.370</t>
  </si>
  <si>
    <t>Dy 342.286</t>
  </si>
  <si>
    <t>Dy 342.131</t>
  </si>
  <si>
    <t>Dy 342.260</t>
  </si>
  <si>
    <t>Eu 342.309</t>
  </si>
  <si>
    <t>Dy 342.323</t>
  </si>
  <si>
    <t>Th 342.121</t>
  </si>
  <si>
    <t>Er 342.290</t>
  </si>
  <si>
    <t>Th 342.313</t>
  </si>
  <si>
    <t>U 342.305</t>
  </si>
  <si>
    <t>U 342.169</t>
  </si>
  <si>
    <t>Gd 343.999</t>
  </si>
  <si>
    <t>Tb 344.037</t>
  </si>
  <si>
    <t>Th 343.971</t>
  </si>
  <si>
    <t>Dy 344.093</t>
  </si>
  <si>
    <t>Th 343.895</t>
  </si>
  <si>
    <t>Nb 344.058</t>
  </si>
  <si>
    <t>Fe 344.061</t>
  </si>
  <si>
    <t>Tb 343.972</t>
  </si>
  <si>
    <t>Dy 343.894</t>
  </si>
  <si>
    <t>Yb 343.885</t>
  </si>
  <si>
    <t>Sm 344.051</t>
  </si>
  <si>
    <t>Nb 343.992</t>
  </si>
  <si>
    <t>Eu 344.099</t>
  </si>
  <si>
    <t>Fe 344.099</t>
  </si>
  <si>
    <t>Th 344.104</t>
  </si>
  <si>
    <t>Dy 344.045</t>
  </si>
  <si>
    <t>Gd 358.496</t>
  </si>
  <si>
    <t>Y 358.452</t>
  </si>
  <si>
    <t>Dy 358.506</t>
  </si>
  <si>
    <t>Dy 358.578</t>
  </si>
  <si>
    <t>Tb 358.508</t>
  </si>
  <si>
    <t>Yb 358.547</t>
  </si>
  <si>
    <t>Dy 358.611</t>
  </si>
  <si>
    <t>Dy 358.442</t>
  </si>
  <si>
    <t>Sm 358.337</t>
  </si>
  <si>
    <t>Pr 358.421</t>
  </si>
  <si>
    <t>Cr 358.529</t>
  </si>
  <si>
    <t>Sm 358.425</t>
  </si>
  <si>
    <t>Zr 358.627</t>
  </si>
  <si>
    <t>Ce 358.434</t>
  </si>
  <si>
    <t>Th 358.577</t>
  </si>
  <si>
    <t>Cr 358.549</t>
  </si>
  <si>
    <t>Tb 364.775</t>
  </si>
  <si>
    <t>Tm 364.773</t>
  </si>
  <si>
    <t>Ce 364.795</t>
  </si>
  <si>
    <t>Tb 364.706</t>
  </si>
  <si>
    <t>Tm 364.723</t>
  </si>
  <si>
    <t>Ce 364.696</t>
  </si>
  <si>
    <t>Fe 364.784</t>
  </si>
  <si>
    <t>Gd 376.840</t>
  </si>
  <si>
    <t>Sm 376.736</t>
  </si>
  <si>
    <t>Sm 376.777</t>
  </si>
  <si>
    <t>Nd 376.963</t>
  </si>
  <si>
    <t>Pr 376.894</t>
  </si>
  <si>
    <t>Ce 376.877</t>
  </si>
  <si>
    <t>Th 376.790</t>
  </si>
  <si>
    <t>Hf 376.691</t>
  </si>
  <si>
    <t>Fe 376.719</t>
  </si>
  <si>
    <t>Ce 376.994</t>
  </si>
  <si>
    <t>Ce 376.905</t>
  </si>
  <si>
    <t>Pr 376.967</t>
  </si>
  <si>
    <t>Er 376.879</t>
  </si>
  <si>
    <t>Sm 376.692</t>
  </si>
  <si>
    <t>Zr 376.792</t>
  </si>
  <si>
    <t>U 376.954</t>
  </si>
  <si>
    <t>Gd 379.638</t>
  </si>
  <si>
    <t>Tm 379.576</t>
  </si>
  <si>
    <t>Ho 379.675</t>
  </si>
  <si>
    <t>Er 379.706</t>
  </si>
  <si>
    <t>Tm 379.517</t>
  </si>
  <si>
    <t>Zr 379.649</t>
  </si>
  <si>
    <t>Nd 379.545</t>
  </si>
  <si>
    <t>Sm 379.729</t>
  </si>
  <si>
    <t>Ce 379.525</t>
  </si>
  <si>
    <t>Nd 379.645</t>
  </si>
  <si>
    <t>Ce 379.668</t>
  </si>
  <si>
    <t>U 379.653</t>
  </si>
  <si>
    <t>Th 379.745</t>
  </si>
  <si>
    <t>Fe 379.500</t>
  </si>
  <si>
    <t>U 379.684</t>
  </si>
  <si>
    <t>U 379.511</t>
  </si>
  <si>
    <t>Ho 339.895</t>
  </si>
  <si>
    <t>Hf 339.979</t>
  </si>
  <si>
    <t>Er 339.927</t>
  </si>
  <si>
    <t>Zr 339.934</t>
  </si>
  <si>
    <t>Gd 339.999</t>
  </si>
  <si>
    <t>Tb 339.910</t>
  </si>
  <si>
    <t>Tb 339.835</t>
  </si>
  <si>
    <t>Th 339.854</t>
  </si>
  <si>
    <t>Sm 339.984</t>
  </si>
  <si>
    <t>Sm 339.777</t>
  </si>
  <si>
    <t>Rh 339.969</t>
  </si>
  <si>
    <t>Dy 339.936</t>
  </si>
  <si>
    <t>Ta 339.831</t>
  </si>
  <si>
    <t>Nb 339.970</t>
  </si>
  <si>
    <t>Re 339.930</t>
  </si>
  <si>
    <t>Th 339.784</t>
  </si>
  <si>
    <t>Ho 341.644</t>
  </si>
  <si>
    <t>Ni 341.476</t>
  </si>
  <si>
    <t>Tb 341.624</t>
  </si>
  <si>
    <t>Dy 341.482</t>
  </si>
  <si>
    <t>Ru 341.733</t>
  </si>
  <si>
    <t>Ce 341.745</t>
  </si>
  <si>
    <t>Dy 341.713</t>
  </si>
  <si>
    <t>Co 341.716</t>
  </si>
  <si>
    <t>Dy 341.571</t>
  </si>
  <si>
    <t>Mo 341.614</t>
  </si>
  <si>
    <t>Ce 341.686</t>
  </si>
  <si>
    <t>Ti 341.696</t>
  </si>
  <si>
    <t>Ce 341.657</t>
  </si>
  <si>
    <t>Nd 341.555</t>
  </si>
  <si>
    <t>Ta 341.527</t>
  </si>
  <si>
    <t>Ta 341.702</t>
  </si>
  <si>
    <t>Ho 345.314</t>
  </si>
  <si>
    <t>Co 345.351</t>
  </si>
  <si>
    <t>Tb 345.406</t>
  </si>
  <si>
    <t>Yb 345.407</t>
  </si>
  <si>
    <t>Gd 345.415</t>
  </si>
  <si>
    <t>La 345.316</t>
  </si>
  <si>
    <t>La 345.218</t>
  </si>
  <si>
    <t>Ni 345.288</t>
  </si>
  <si>
    <t>Th 345.268</t>
  </si>
  <si>
    <t>Ti 345.248</t>
  </si>
  <si>
    <t>Re 345.187</t>
  </si>
  <si>
    <t>Sm 345.356</t>
  </si>
  <si>
    <t>Cr 345.332</t>
  </si>
  <si>
    <t>Sm 345.277</t>
  </si>
  <si>
    <t>Nb 345.234</t>
  </si>
  <si>
    <t>U 345.357</t>
  </si>
  <si>
    <t>Ho 345.600</t>
  </si>
  <si>
    <t>Dy 345.432</t>
  </si>
  <si>
    <t>Zr 345.755</t>
  </si>
  <si>
    <t>Dy 345.656</t>
  </si>
  <si>
    <t>Ti 345.639</t>
  </si>
  <si>
    <t>Zr 345.590</t>
  </si>
  <si>
    <t>Sm 345.496</t>
  </si>
  <si>
    <t>V 345.715</t>
  </si>
  <si>
    <t>Zr 345.454</t>
  </si>
  <si>
    <t>Gd 345.491</t>
  </si>
  <si>
    <t>U 345.771</t>
  </si>
  <si>
    <t>Ce 345.677</t>
  </si>
  <si>
    <t>Gd 345.705</t>
  </si>
  <si>
    <t>Th 345.421</t>
  </si>
  <si>
    <t>Co 345.523</t>
  </si>
  <si>
    <t>U 345.574</t>
  </si>
  <si>
    <t>Ho 347.425</t>
  </si>
  <si>
    <t>Lu 347.246</t>
  </si>
  <si>
    <t>Gd 347.322</t>
  </si>
  <si>
    <t>Mn 347.404</t>
  </si>
  <si>
    <t>Yb 347.630</t>
  </si>
  <si>
    <t>Tb 347.280</t>
  </si>
  <si>
    <t>Sr 347.489</t>
  </si>
  <si>
    <t>Th 347.303</t>
  </si>
  <si>
    <t>Co 347.404</t>
  </si>
  <si>
    <t>Rh 347.477</t>
  </si>
  <si>
    <t>Dy 347.370</t>
  </si>
  <si>
    <t>Ni 347.254</t>
  </si>
  <si>
    <t>Gd 347.631</t>
  </si>
  <si>
    <t>Dy 347.427</t>
  </si>
  <si>
    <t>Sm 347.395</t>
  </si>
  <si>
    <t>U 347.256</t>
  </si>
  <si>
    <t>Ho 348.484</t>
  </si>
  <si>
    <t>Zr 348.353</t>
  </si>
  <si>
    <t>Er 348.585</t>
  </si>
  <si>
    <t>Yb 348.576</t>
  </si>
  <si>
    <t>Ce 348.505</t>
  </si>
  <si>
    <t>Nb 348.405</t>
  </si>
  <si>
    <t>Tb 348.369</t>
  </si>
  <si>
    <t>V 348.592</t>
  </si>
  <si>
    <t>Dy 348.468</t>
  </si>
  <si>
    <t>Zr 348.528</t>
  </si>
  <si>
    <t>Er 349.455</t>
  </si>
  <si>
    <t>Th 348.521</t>
  </si>
  <si>
    <t>Dy 348.592</t>
  </si>
  <si>
    <t>Ni 348.377</t>
  </si>
  <si>
    <t>Ce 348.469</t>
  </si>
  <si>
    <t>Nd 348.488</t>
  </si>
  <si>
    <t>Ho 349.476</t>
  </si>
  <si>
    <t>Zr 349.619</t>
  </si>
  <si>
    <t>V 349.608</t>
  </si>
  <si>
    <t>Dy 349.449</t>
  </si>
  <si>
    <t>Ni 349.295</t>
  </si>
  <si>
    <t>Hf 349.575</t>
  </si>
  <si>
    <t>Tb 349.421</t>
  </si>
  <si>
    <t>Tb 349.536</t>
  </si>
  <si>
    <t>Ar 349.327</t>
  </si>
  <si>
    <t>Mn 349.583</t>
  </si>
  <si>
    <t>Th 349.352</t>
  </si>
  <si>
    <t>Co 349.568</t>
  </si>
  <si>
    <t>Sm 349.360</t>
  </si>
  <si>
    <t>V 349.316</t>
  </si>
  <si>
    <t>Ce 349.594</t>
  </si>
  <si>
    <t>U 349.333</t>
  </si>
  <si>
    <t>Ho 351.559</t>
  </si>
  <si>
    <t>Th 351.453</t>
  </si>
  <si>
    <t>Ni 351.505</t>
  </si>
  <si>
    <t>Pd 351.694</t>
  </si>
  <si>
    <t>Er 351.489</t>
  </si>
  <si>
    <t>Dy 351.726</t>
  </si>
  <si>
    <t>Nb 351.543</t>
  </si>
  <si>
    <t>Ru 351.449</t>
  </si>
  <si>
    <t>Tb 351.616</t>
  </si>
  <si>
    <t>Gd 351.677</t>
  </si>
  <si>
    <t>Th 351.635</t>
  </si>
  <si>
    <t>Th 351.682</t>
  </si>
  <si>
    <t>Ce 351.564</t>
  </si>
  <si>
    <t>Zr 351.463</t>
  </si>
  <si>
    <t>Th 351.496</t>
  </si>
  <si>
    <t>U 351.523</t>
  </si>
  <si>
    <t>Mo 379.825</t>
  </si>
  <si>
    <t>Sm 379.774</t>
  </si>
  <si>
    <t>Nb 379.812</t>
  </si>
  <si>
    <t>Gd 379.840</t>
  </si>
  <si>
    <t>Hf 379.792</t>
  </si>
  <si>
    <t>Th 379.568</t>
  </si>
  <si>
    <t>Gd 379.636</t>
  </si>
  <si>
    <t>Ho 381.074</t>
  </si>
  <si>
    <t>Nd 381.048</t>
  </si>
  <si>
    <t>Sm 381.206</t>
  </si>
  <si>
    <t>Sm 381.043</t>
  </si>
  <si>
    <t>U 381.093</t>
  </si>
  <si>
    <t>Pr 381.185</t>
  </si>
  <si>
    <t>Sm 380.974</t>
  </si>
  <si>
    <t>Nd 381.107</t>
  </si>
  <si>
    <t>Ce 381.220</t>
  </si>
  <si>
    <t>Nd 381.177</t>
  </si>
  <si>
    <t>Th 380.984</t>
  </si>
  <si>
    <t>Dy 380.982</t>
  </si>
  <si>
    <t>U 380.923</t>
  </si>
  <si>
    <t>Ce 381.160</t>
  </si>
  <si>
    <t>Ce 381.090</t>
  </si>
  <si>
    <t>Ce 381.010</t>
  </si>
  <si>
    <t>Ho 389.094</t>
  </si>
  <si>
    <t>Ba 389.178</t>
  </si>
  <si>
    <t>Nd 389.094</t>
  </si>
  <si>
    <t>Nd 389.058</t>
  </si>
  <si>
    <t>Nd 388.993</t>
  </si>
  <si>
    <t>Ce 388.998</t>
  </si>
  <si>
    <t>Sm 389.008</t>
  </si>
  <si>
    <t>Nd 389.206</t>
  </si>
  <si>
    <t>Pr 388.933</t>
  </si>
  <si>
    <t>U 389.036</t>
  </si>
  <si>
    <t>Ce 389.098</t>
  </si>
  <si>
    <t>Sm 389.119</t>
  </si>
  <si>
    <t>Zr 389.032</t>
  </si>
  <si>
    <t>Ce 389.074</t>
  </si>
  <si>
    <t>Zr 389.139</t>
  </si>
  <si>
    <t>Pr 389.171</t>
  </si>
  <si>
    <t>Ho 404.547</t>
  </si>
  <si>
    <t>Ar 404.442</t>
  </si>
  <si>
    <t>Ar 404.597</t>
  </si>
  <si>
    <t>Pr 404.481</t>
  </si>
  <si>
    <t>Zr 404.564</t>
  </si>
  <si>
    <t>Ce 404.634</t>
  </si>
  <si>
    <t>Sm 404.505</t>
  </si>
  <si>
    <t>Pr 404.708</t>
  </si>
  <si>
    <t>Sm 404.616</t>
  </si>
  <si>
    <t>Dy 404.597</t>
  </si>
  <si>
    <t>Fe 404.581</t>
  </si>
  <si>
    <t>Ce 404.535</t>
  </si>
  <si>
    <t>Nd 404.360</t>
  </si>
  <si>
    <t>Pr 404.663</t>
  </si>
  <si>
    <t>Gd 404.501</t>
  </si>
  <si>
    <t>Er 404.301</t>
  </si>
  <si>
    <t>La 333.749</t>
  </si>
  <si>
    <t>Ho 333.723</t>
  </si>
  <si>
    <t>Er 333.725</t>
  </si>
  <si>
    <t>Th 333.787</t>
  </si>
  <si>
    <t>Zr 333.841</t>
  </si>
  <si>
    <t>Tb 333.803</t>
  </si>
  <si>
    <t>Tb 333.670</t>
  </si>
  <si>
    <t>U 333.778</t>
  </si>
  <si>
    <t>Eu 333.875</t>
  </si>
  <si>
    <t>Cr 333.632</t>
  </si>
  <si>
    <t>Th 333.840</t>
  </si>
  <si>
    <t>Ti 333.786</t>
  </si>
  <si>
    <t>V 333.783</t>
  </si>
  <si>
    <t>Zr 333.796</t>
  </si>
  <si>
    <t>U 333.845</t>
  </si>
  <si>
    <t>Mg 333.667</t>
  </si>
  <si>
    <t>La 375.908</t>
  </si>
  <si>
    <t>Ti 375.930</t>
  </si>
  <si>
    <t>Gd 375.932</t>
  </si>
  <si>
    <t>Nd 375.895</t>
  </si>
  <si>
    <t>Sm 375.897</t>
  </si>
  <si>
    <t>Ti 375.769</t>
  </si>
  <si>
    <t>Gd 375.901</t>
  </si>
  <si>
    <t>Tb 375.790</t>
  </si>
  <si>
    <t>Sm 376.005</t>
  </si>
  <si>
    <t>Nd 375.782</t>
  </si>
  <si>
    <t>Sm 375.846</t>
  </si>
  <si>
    <t>Fe 375.823</t>
  </si>
  <si>
    <t>Nd 375.979</t>
  </si>
  <si>
    <t>Pr 375.960</t>
  </si>
  <si>
    <t>Tb 375.935</t>
  </si>
  <si>
    <t>Pr 376.008</t>
  </si>
  <si>
    <t>La 379.082</t>
  </si>
  <si>
    <t>Er 379.183</t>
  </si>
  <si>
    <t>Gd 379.117</t>
  </si>
  <si>
    <t>Dy 379.187</t>
  </si>
  <si>
    <t>Ru 379.052</t>
  </si>
  <si>
    <t>Tb 379.220</t>
  </si>
  <si>
    <t>Sm 379.202</t>
  </si>
  <si>
    <t>Nb 379.120</t>
  </si>
  <si>
    <t>Gd 379.065</t>
  </si>
  <si>
    <t>Ce 379.168</t>
  </si>
  <si>
    <t>Gd 379.172</t>
  </si>
  <si>
    <t>Nb 379.013</t>
  </si>
  <si>
    <t>Zr 379.140</t>
  </si>
  <si>
    <t>Th 378.995</t>
  </si>
  <si>
    <t>Ce 379.088</t>
  </si>
  <si>
    <t>Eu 379.151</t>
  </si>
  <si>
    <t>La 379.477</t>
  </si>
  <si>
    <t>Sm 379.398</t>
  </si>
  <si>
    <t>Gd 379.594</t>
  </si>
  <si>
    <t>Pr 379.493</t>
  </si>
  <si>
    <t>Th 379.415</t>
  </si>
  <si>
    <t>V 379.495</t>
  </si>
  <si>
    <t>Ce 379.469</t>
  </si>
  <si>
    <t>U 379.357</t>
  </si>
  <si>
    <t>U 379.397</t>
  </si>
  <si>
    <t>Ce 379.421</t>
  </si>
  <si>
    <t>Th 379.539</t>
  </si>
  <si>
    <t>Dy 387.163</t>
  </si>
  <si>
    <t>U 387.002</t>
  </si>
  <si>
    <t>Th 386.997</t>
  </si>
  <si>
    <t>La 394.910</t>
  </si>
  <si>
    <t>Y 395.035</t>
  </si>
  <si>
    <t>Ar 394.898</t>
  </si>
  <si>
    <t>Ar 394.750</t>
  </si>
  <si>
    <t>Nd 395.114</t>
  </si>
  <si>
    <t>Pr 394.943</t>
  </si>
  <si>
    <t>Pr 394.763</t>
  </si>
  <si>
    <t>Sm 394.811</t>
  </si>
  <si>
    <t>Tb 394.688</t>
  </si>
  <si>
    <t>Dy 395.039</t>
  </si>
  <si>
    <t>Ti 394.867</t>
  </si>
  <si>
    <t>Th 394.896</t>
  </si>
  <si>
    <t>Nd 394.834</t>
  </si>
  <si>
    <t>Dy 394.693</t>
  </si>
  <si>
    <t>Ce 395.043</t>
  </si>
  <si>
    <t>Ce 394.797</t>
  </si>
  <si>
    <t>La 398.852</t>
  </si>
  <si>
    <t>Tb 398.799</t>
  </si>
  <si>
    <t>Nd 399.010</t>
  </si>
  <si>
    <t>Pr 398.968</t>
  </si>
  <si>
    <t>Sm 399.001</t>
  </si>
  <si>
    <t>Ti 398.976</t>
  </si>
  <si>
    <t>Gd 399.000</t>
  </si>
  <si>
    <t>Ce 398.944</t>
  </si>
  <si>
    <t>Sm 398.742</t>
  </si>
  <si>
    <t>Th 398.802</t>
  </si>
  <si>
    <t>Sm 398.690</t>
  </si>
  <si>
    <t>Gd 398.924</t>
  </si>
  <si>
    <t>Ce 399.010</t>
  </si>
  <si>
    <t>Nd 398.722</t>
  </si>
  <si>
    <t>Sc 398.906</t>
  </si>
  <si>
    <t>Nd 398.880</t>
  </si>
  <si>
    <t>La 399.575</t>
  </si>
  <si>
    <t>Nd 399.467</t>
  </si>
  <si>
    <t>Dy 399.669</t>
  </si>
  <si>
    <t>Gd 399.631</t>
  </si>
  <si>
    <t>Th 399.455</t>
  </si>
  <si>
    <t>Gd 399.416</t>
  </si>
  <si>
    <t>Th 399.606</t>
  </si>
  <si>
    <t>Pr 399.583</t>
  </si>
  <si>
    <t>Co 399.530</t>
  </si>
  <si>
    <t>Sc 399.660</t>
  </si>
  <si>
    <t>Nd 399.524</t>
  </si>
  <si>
    <t>Pr 399.479</t>
  </si>
  <si>
    <t>Ce 399.458</t>
  </si>
  <si>
    <t>Ru 399.598</t>
  </si>
  <si>
    <t>Ce 399.647</t>
  </si>
  <si>
    <t>Er 399.526</t>
  </si>
  <si>
    <t>Ce 407.624</t>
  </si>
  <si>
    <t>Gd 407.370</t>
  </si>
  <si>
    <t>La 408.671</t>
  </si>
  <si>
    <t>Th 408.504</t>
  </si>
  <si>
    <t>Th 408.652</t>
  </si>
  <si>
    <t>Ce 408.524</t>
  </si>
  <si>
    <t>Gd 408.556</t>
  </si>
  <si>
    <t>Ce 408.736</t>
  </si>
  <si>
    <t>Gd 408.769</t>
  </si>
  <si>
    <t>Pr 408.721</t>
  </si>
  <si>
    <t>Nd 408.581</t>
  </si>
  <si>
    <t>Eu 408.825</t>
  </si>
  <si>
    <t>Ce 408.757</t>
  </si>
  <si>
    <t>Dy 408.720</t>
  </si>
  <si>
    <t>Er 408.763</t>
  </si>
  <si>
    <t>Ce 408.643</t>
  </si>
  <si>
    <t>Nd 408.680</t>
  </si>
  <si>
    <t>Eu 408.539</t>
  </si>
  <si>
    <t>La 412.322</t>
  </si>
  <si>
    <t>Ce 412.387</t>
  </si>
  <si>
    <t>Lu 412.472</t>
  </si>
  <si>
    <t>Y 412.451</t>
  </si>
  <si>
    <t>Y 412.491</t>
  </si>
  <si>
    <t>Ce 412.479</t>
  </si>
  <si>
    <t>Sm 412.395</t>
  </si>
  <si>
    <t>Ce 412.349</t>
  </si>
  <si>
    <t>Sm 412.134</t>
  </si>
  <si>
    <t>Nd 412.388</t>
  </si>
  <si>
    <t>Lu 412.249</t>
  </si>
  <si>
    <t>Dy 412.463</t>
  </si>
  <si>
    <t>Nb 412.380</t>
  </si>
  <si>
    <t>Co 412.131</t>
  </si>
  <si>
    <t>Nd 412.193</t>
  </si>
  <si>
    <t>V 412.351</t>
  </si>
  <si>
    <t>La 492.178</t>
  </si>
  <si>
    <t>Th 491.982</t>
  </si>
  <si>
    <t>Nd 492.068</t>
  </si>
  <si>
    <t>Sm 492.039</t>
  </si>
  <si>
    <t>Th 492.161</t>
  </si>
  <si>
    <t>Sm 492.381</t>
  </si>
  <si>
    <t>Dy 492.222</t>
  </si>
  <si>
    <t>V 491.789</t>
  </si>
  <si>
    <t>Nd 492.452</t>
  </si>
  <si>
    <t>Th 492.053</t>
  </si>
  <si>
    <t>Cr 492.228</t>
  </si>
  <si>
    <t>Dy 492.317</t>
  </si>
  <si>
    <t>Fe 492.050</t>
  </si>
  <si>
    <t>Th 492.442</t>
  </si>
  <si>
    <t>Sm 491.900</t>
  </si>
  <si>
    <t>Ti 492.177</t>
  </si>
  <si>
    <t>Lu 219.556</t>
  </si>
  <si>
    <t>Cu 219.227</t>
  </si>
  <si>
    <t>Ta 219.606</t>
  </si>
  <si>
    <t>Ge 219.871</t>
  </si>
  <si>
    <t>Ta 219.389</t>
  </si>
  <si>
    <t>Ta 219.322</t>
  </si>
  <si>
    <t>W 219.453</t>
  </si>
  <si>
    <t>Ir 219.750</t>
  </si>
  <si>
    <t>W 219.868</t>
  </si>
  <si>
    <t>W 219.344</t>
  </si>
  <si>
    <t>Co 219.361</t>
  </si>
  <si>
    <t>Mo 219.814</t>
  </si>
  <si>
    <t>Ir 219.644</t>
  </si>
  <si>
    <t>Ni 219.735</t>
  </si>
  <si>
    <t>Mo 219.726</t>
  </si>
  <si>
    <t>Ca 219.779</t>
  </si>
  <si>
    <t>Lu 261.541</t>
  </si>
  <si>
    <t>Mo 261.679</t>
  </si>
  <si>
    <t>Er 261.455</t>
  </si>
  <si>
    <t>W 261.545</t>
  </si>
  <si>
    <t>Er 261.698</t>
  </si>
  <si>
    <t>Re 261.672</t>
  </si>
  <si>
    <t>V 261.625</t>
  </si>
  <si>
    <t>U 261.607</t>
  </si>
  <si>
    <t>Ta 261.546</t>
  </si>
  <si>
    <t>Tm 261.700</t>
  </si>
  <si>
    <t>Th 261.534</t>
  </si>
  <si>
    <t>Lu 289.484</t>
  </si>
  <si>
    <t>Mo 289.445</t>
  </si>
  <si>
    <t>Th 289.514</t>
  </si>
  <si>
    <t>U 289.451</t>
  </si>
  <si>
    <t>U 289.414</t>
  </si>
  <si>
    <t>Tb 289.445</t>
  </si>
  <si>
    <t>Pt 289.386</t>
  </si>
  <si>
    <t>U 289.554</t>
  </si>
  <si>
    <t>Nb 289.442</t>
  </si>
  <si>
    <t>W 289.601</t>
  </si>
  <si>
    <t>Th 289.450</t>
  </si>
  <si>
    <t>Cr 289.425</t>
  </si>
  <si>
    <t>Cr 289.500</t>
  </si>
  <si>
    <t>Ce 289.409</t>
  </si>
  <si>
    <t>Cr 289.484</t>
  </si>
  <si>
    <t>Mn 289.491</t>
  </si>
  <si>
    <t>Lu 290.030</t>
  </si>
  <si>
    <t>Nb 289.923</t>
  </si>
  <si>
    <t>Th 289.972</t>
  </si>
  <si>
    <t>Tb 289.886</t>
  </si>
  <si>
    <t>Tb 289.971</t>
  </si>
  <si>
    <t>Cr 290.100</t>
  </si>
  <si>
    <t>Zr 290.180</t>
  </si>
  <si>
    <t>Th 289.937</t>
  </si>
  <si>
    <t>Mn 290.016</t>
  </si>
  <si>
    <t>Tb 290.154</t>
  </si>
  <si>
    <t>Dy 290.082</t>
  </si>
  <si>
    <t>Cr 289.948</t>
  </si>
  <si>
    <t>Ta 290.077</t>
  </si>
  <si>
    <t>Mo 290.078</t>
  </si>
  <si>
    <t>Cr 289.914</t>
  </si>
  <si>
    <t>V 289.880</t>
  </si>
  <si>
    <t>Th 291.201</t>
  </si>
  <si>
    <t>Th 291.276</t>
  </si>
  <si>
    <t>Lu 307.760</t>
  </si>
  <si>
    <t>Ti 307.866</t>
  </si>
  <si>
    <t>Th 307.883</t>
  </si>
  <si>
    <t>Nb 307.686</t>
  </si>
  <si>
    <t>Gd 307.693</t>
  </si>
  <si>
    <t>Tb 307.886</t>
  </si>
  <si>
    <t>Os 307.844</t>
  </si>
  <si>
    <t>Os 307.703</t>
  </si>
  <si>
    <t>Er 307.389</t>
  </si>
  <si>
    <t>Os 307.807</t>
  </si>
  <si>
    <t>Dy 307.868</t>
  </si>
  <si>
    <t>Eu 307.735</t>
  </si>
  <si>
    <t>Th 307.734</t>
  </si>
  <si>
    <t>Er 307.925</t>
  </si>
  <si>
    <t>Th 307.793</t>
  </si>
  <si>
    <t>Mo 307.766</t>
  </si>
  <si>
    <t>Lu 339.707</t>
  </si>
  <si>
    <t>Er 339.827</t>
  </si>
  <si>
    <t>Dy 339.616</t>
  </si>
  <si>
    <t>Rh 339.682</t>
  </si>
  <si>
    <t>Er 339.607</t>
  </si>
  <si>
    <t>Zr 339.632</t>
  </si>
  <si>
    <t>Sm 339.619</t>
  </si>
  <si>
    <t>Er 339.684</t>
  </si>
  <si>
    <t>Eu 339.658</t>
  </si>
  <si>
    <t>Zr 339.666</t>
  </si>
  <si>
    <t>Th 339.646</t>
  </si>
  <si>
    <t>U 339.551</t>
  </si>
  <si>
    <t>Lu 350.738</t>
  </si>
  <si>
    <t>Zr 350.568</t>
  </si>
  <si>
    <t>Dy 350.681</t>
  </si>
  <si>
    <t>Ar 350.648</t>
  </si>
  <si>
    <t>Co 350.631</t>
  </si>
  <si>
    <t>Tb 350.744</t>
  </si>
  <si>
    <t>Ho 350.695</t>
  </si>
  <si>
    <t>Rh 350.731</t>
  </si>
  <si>
    <t>Zr 350.605</t>
  </si>
  <si>
    <t>V 350.902</t>
  </si>
  <si>
    <t>Ce 350.794</t>
  </si>
  <si>
    <t>Tb 350.783</t>
  </si>
  <si>
    <t>Yb 350.793</t>
  </si>
  <si>
    <t>Ce 350.870</t>
  </si>
  <si>
    <t>Zr 350.764</t>
  </si>
  <si>
    <t>U 350.884</t>
  </si>
  <si>
    <t>Lu 547.668</t>
  </si>
  <si>
    <t>V 547.339</t>
  </si>
  <si>
    <t>Ce 547.228</t>
  </si>
  <si>
    <t>Nd 547.473</t>
  </si>
  <si>
    <t>La 548.071</t>
  </si>
  <si>
    <t>Nd 547.308</t>
  </si>
  <si>
    <t>Sm 547.833</t>
  </si>
  <si>
    <t>U 547.571</t>
  </si>
  <si>
    <t>Sc 547.368</t>
  </si>
  <si>
    <t>Nd 547.784</t>
  </si>
  <si>
    <t>U 548.026</t>
  </si>
  <si>
    <t>Ni 547.690</t>
  </si>
  <si>
    <t>Tb 547.850</t>
  </si>
  <si>
    <t>Sc 547.619</t>
  </si>
  <si>
    <t>Zr 547.782</t>
  </si>
  <si>
    <t>Dy 547.191</t>
  </si>
  <si>
    <t>Nd 378.425</t>
  </si>
  <si>
    <t>Dy 378.618</t>
  </si>
  <si>
    <t>Th 378.560</t>
  </si>
  <si>
    <t>Ru 378.605</t>
  </si>
  <si>
    <t>Ce 378.358</t>
  </si>
  <si>
    <t>La 378.479</t>
  </si>
  <si>
    <t>Th 378.330</t>
  </si>
  <si>
    <t>Dy 378.541</t>
  </si>
  <si>
    <t>Sm 378.336</t>
  </si>
  <si>
    <t>Pr 378.546</t>
  </si>
  <si>
    <t>Dy 378.359</t>
  </si>
  <si>
    <t>Dy 378.394</t>
  </si>
  <si>
    <t>Tb 378.353</t>
  </si>
  <si>
    <t>Er 378.307</t>
  </si>
  <si>
    <t>Th 378.591</t>
  </si>
  <si>
    <t>U 378.384</t>
  </si>
  <si>
    <t>Nd 380.533</t>
  </si>
  <si>
    <t>Gd 380.552</t>
  </si>
  <si>
    <t>Pr 380.484</t>
  </si>
  <si>
    <t>Dy 380.627</t>
  </si>
  <si>
    <t>Sm 380.563</t>
  </si>
  <si>
    <t>Mn 380.671</t>
  </si>
  <si>
    <t>Gd 380.509</t>
  </si>
  <si>
    <t>Dy 380.414</t>
  </si>
  <si>
    <t>Hf 380.606</t>
  </si>
  <si>
    <t>Th 380.582</t>
  </si>
  <si>
    <t>Nb 380.473</t>
  </si>
  <si>
    <t>Sm 380.676</t>
  </si>
  <si>
    <t>V 380.550</t>
  </si>
  <si>
    <t>V 380.348</t>
  </si>
  <si>
    <t>Rh 380.592</t>
  </si>
  <si>
    <t>Nd 386.341</t>
  </si>
  <si>
    <t>Mo 386.410</t>
  </si>
  <si>
    <t>Ca 386.409</t>
  </si>
  <si>
    <t>Th 386.341</t>
  </si>
  <si>
    <t>Er 386.480</t>
  </si>
  <si>
    <t>La 386.449</t>
  </si>
  <si>
    <t>Sm 386.205</t>
  </si>
  <si>
    <t>Zr 386.387</t>
  </si>
  <si>
    <t>V 386.486</t>
  </si>
  <si>
    <t>Nb 386.292</t>
  </si>
  <si>
    <t>Ce 386.246</t>
  </si>
  <si>
    <t>Th 386.265</t>
  </si>
  <si>
    <t>V 386.386</t>
  </si>
  <si>
    <t>Th 386.240</t>
  </si>
  <si>
    <t>Sr 386.317</t>
  </si>
  <si>
    <t>Hf 386.475</t>
  </si>
  <si>
    <t>Ce 395.253</t>
  </si>
  <si>
    <t>V 395.197</t>
  </si>
  <si>
    <t>Th 395.152</t>
  </si>
  <si>
    <t>Y 395.159</t>
  </si>
  <si>
    <t>Gd 395.200</t>
  </si>
  <si>
    <t>Th 395.039</t>
  </si>
  <si>
    <t>Ce 394.940</t>
  </si>
  <si>
    <t>Nb 395.227</t>
  </si>
  <si>
    <t>Ce 395.162</t>
  </si>
  <si>
    <t>Gd 394.924</t>
  </si>
  <si>
    <t>Nd 396.310</t>
  </si>
  <si>
    <t>Sm 396.302</t>
  </si>
  <si>
    <t>Pr 396.426</t>
  </si>
  <si>
    <t>Pr 396.245</t>
  </si>
  <si>
    <t>Ce 396.450</t>
  </si>
  <si>
    <t>Gd 396.365</t>
  </si>
  <si>
    <t>Ce 396.418</t>
  </si>
  <si>
    <t>Ce 396.208</t>
  </si>
  <si>
    <t>Cr 396.369</t>
  </si>
  <si>
    <t>Sm 396.181</t>
  </si>
  <si>
    <t>Er 396.336</t>
  </si>
  <si>
    <t>Ce 396.337</t>
  </si>
  <si>
    <t>Sm 396.213</t>
  </si>
  <si>
    <t>Dy 396.381</t>
  </si>
  <si>
    <t>Ti 396.427</t>
  </si>
  <si>
    <t>Ti 396.285</t>
  </si>
  <si>
    <t>Ce 399.382</t>
  </si>
  <si>
    <t>Sm 399.331</t>
  </si>
  <si>
    <t>Ho 399.373</t>
  </si>
  <si>
    <t>Pr 399.316</t>
  </si>
  <si>
    <t>U 399.498</t>
  </si>
  <si>
    <t>Nd 401.224</t>
  </si>
  <si>
    <t>Ce 401.239</t>
  </si>
  <si>
    <t>Pr 401.060</t>
  </si>
  <si>
    <t>Tb 401.272</t>
  </si>
  <si>
    <t>Gd 401.379</t>
  </si>
  <si>
    <t>Eu 401.168</t>
  </si>
  <si>
    <t>Dy 401.128</t>
  </si>
  <si>
    <t>Pr 401.337</t>
  </si>
  <si>
    <t>Ti 401.238</t>
  </si>
  <si>
    <t>Eu 401.277</t>
  </si>
  <si>
    <t>Er 401.253</t>
  </si>
  <si>
    <t>Ce 401.014</t>
  </si>
  <si>
    <t>Dy 401.006</t>
  </si>
  <si>
    <t>Ce 401.156</t>
  </si>
  <si>
    <t>Th 401.174</t>
  </si>
  <si>
    <t>Sm 401.172</t>
  </si>
  <si>
    <t>Nd 406.108</t>
  </si>
  <si>
    <t>Pr 406.281</t>
  </si>
  <si>
    <t>Gd 406.259</t>
  </si>
  <si>
    <t>Ce 406.222</t>
  </si>
  <si>
    <t>Er 405.976</t>
  </si>
  <si>
    <t>Pr 406.222</t>
  </si>
  <si>
    <t>U 406.254</t>
  </si>
  <si>
    <t>Tb 406.087</t>
  </si>
  <si>
    <t>Ce 406.047</t>
  </si>
  <si>
    <t>Gd 405.936</t>
  </si>
  <si>
    <t>Pr 406.132</t>
  </si>
  <si>
    <t>Sm 406.105</t>
  </si>
  <si>
    <t>Tb 406.158</t>
  </si>
  <si>
    <t>Dy 406.057</t>
  </si>
  <si>
    <t>Ho 406.031</t>
  </si>
  <si>
    <t>Nb 406.198</t>
  </si>
  <si>
    <t>Nd 410.945</t>
  </si>
  <si>
    <t>Th 410.842</t>
  </si>
  <si>
    <t>Gd 410.839</t>
  </si>
  <si>
    <t>Sm 410.939</t>
  </si>
  <si>
    <t>Ce 411.038</t>
  </si>
  <si>
    <t>Sm 411.018</t>
  </si>
  <si>
    <t>Gd 411.060</t>
  </si>
  <si>
    <t>V 410.978</t>
  </si>
  <si>
    <t>Ce 410.779</t>
  </si>
  <si>
    <t>Th 411.051</t>
  </si>
  <si>
    <t>Ho 410.862</t>
  </si>
  <si>
    <t>Pr 410.827</t>
  </si>
  <si>
    <t>Zr 410.755</t>
  </si>
  <si>
    <t>Zr 411.006</t>
  </si>
  <si>
    <t>Ce 410.954</t>
  </si>
  <si>
    <t>Sm 410.831</t>
  </si>
  <si>
    <t>Nd 430.357</t>
  </si>
  <si>
    <t>Sr 430.544</t>
  </si>
  <si>
    <t>Sc 430.571</t>
  </si>
  <si>
    <t>Pr 430.575</t>
  </si>
  <si>
    <t>Ti 430.591</t>
  </si>
  <si>
    <t>Ce 430.514</t>
  </si>
  <si>
    <t>Ca 430.253</t>
  </si>
  <si>
    <t>Sm 430.495</t>
  </si>
  <si>
    <t>Pr 430.361</t>
  </si>
  <si>
    <t>Gd 430.459</t>
  </si>
  <si>
    <t>Ti 430.191</t>
  </si>
  <si>
    <t>Er 430.160</t>
  </si>
  <si>
    <t>Eu 430.525</t>
  </si>
  <si>
    <t>Pr 430.215</t>
  </si>
  <si>
    <t>Dy 430.271</t>
  </si>
  <si>
    <t>Zr 430.184</t>
  </si>
  <si>
    <t>Ni 216.555</t>
  </si>
  <si>
    <t>Sr 216.596</t>
  </si>
  <si>
    <t>Cu 216.510</t>
  </si>
  <si>
    <t>W 216.632</t>
  </si>
  <si>
    <t>Fe 216.677</t>
  </si>
  <si>
    <t>W 216.388</t>
  </si>
  <si>
    <t>Ta 216.501</t>
  </si>
  <si>
    <t>Pt 216.521</t>
  </si>
  <si>
    <t>Mo 216.580</t>
  </si>
  <si>
    <t>Se 216.416</t>
  </si>
  <si>
    <t>Os 216.485</t>
  </si>
  <si>
    <t>As 216.552</t>
  </si>
  <si>
    <t>W 216.526</t>
  </si>
  <si>
    <t>Re 216.542</t>
  </si>
  <si>
    <t>Mn 216.560</t>
  </si>
  <si>
    <t>Ru 216.623</t>
  </si>
  <si>
    <t>Ni 217.467</t>
  </si>
  <si>
    <t>Sb 217.582</t>
  </si>
  <si>
    <t>Be 217.510</t>
  </si>
  <si>
    <t>Pt 217.468</t>
  </si>
  <si>
    <t>Nb 217.676</t>
  </si>
  <si>
    <t>Hf 217.535</t>
  </si>
  <si>
    <t>W 217.355</t>
  </si>
  <si>
    <t>Nb 217.584</t>
  </si>
  <si>
    <t>Re 217.620</t>
  </si>
  <si>
    <t>Mo 217.292</t>
  </si>
  <si>
    <t>Co 217.459</t>
  </si>
  <si>
    <t>Ir 217.525</t>
  </si>
  <si>
    <t>Al 217.407</t>
  </si>
  <si>
    <t>Ta 217.207</t>
  </si>
  <si>
    <t>W 217.755</t>
  </si>
  <si>
    <t>Hf 217.342</t>
  </si>
  <si>
    <t>Ni 221.648</t>
  </si>
  <si>
    <t>Cu 221.811</t>
  </si>
  <si>
    <t>Si 221.667</t>
  </si>
  <si>
    <t>Cu 221.458</t>
  </si>
  <si>
    <t>Ta 221.560</t>
  </si>
  <si>
    <t>W 221.602</t>
  </si>
  <si>
    <t>Cu 221.566</t>
  </si>
  <si>
    <t>Co 221.479</t>
  </si>
  <si>
    <t>Si 221.806</t>
  </si>
  <si>
    <t>Ta 221.782</t>
  </si>
  <si>
    <t>Ta 221.941</t>
  </si>
  <si>
    <t>Ta 221.434</t>
  </si>
  <si>
    <t>Ru 221.856</t>
  </si>
  <si>
    <t>W 221.480</t>
  </si>
  <si>
    <t>W 221.534</t>
  </si>
  <si>
    <t>W 221.641</t>
  </si>
  <si>
    <t>Ni 222.486</t>
  </si>
  <si>
    <t>Yb 222.447</t>
  </si>
  <si>
    <t>W 222.590</t>
  </si>
  <si>
    <t>Cu 222.571</t>
  </si>
  <si>
    <t>Ti 222.714</t>
  </si>
  <si>
    <t>W 222.656</t>
  </si>
  <si>
    <t>Re 222.642</t>
  </si>
  <si>
    <t>Mn 222.183</t>
  </si>
  <si>
    <t>W 222.677</t>
  </si>
  <si>
    <t>Ir 222.107</t>
  </si>
  <si>
    <t>Nb 222.467</t>
  </si>
  <si>
    <t>Cr 222.627</t>
  </si>
  <si>
    <t>Pt 222.261</t>
  </si>
  <si>
    <t>Ta 222.729</t>
  </si>
  <si>
    <t>Ti 222.319</t>
  </si>
  <si>
    <t>Os 222.683</t>
  </si>
  <si>
    <t>Ni 227.021</t>
  </si>
  <si>
    <t>Sc 227.311</t>
  </si>
  <si>
    <t>Ta 227.260</t>
  </si>
  <si>
    <t>Ta 227.185</t>
  </si>
  <si>
    <t>Al 226.910</t>
  </si>
  <si>
    <t>W 227.022</t>
  </si>
  <si>
    <t>Mo 226.971</t>
  </si>
  <si>
    <t>Ti 226.908</t>
  </si>
  <si>
    <t>Nb 227.272</t>
  </si>
  <si>
    <t>Nb 226.852</t>
  </si>
  <si>
    <t>Sn 226.893</t>
  </si>
  <si>
    <t>Nb 227.018</t>
  </si>
  <si>
    <t>Ta 226.956</t>
  </si>
  <si>
    <t>Ta 226.921</t>
  </si>
  <si>
    <t>Fe 226.759</t>
  </si>
  <si>
    <t>Ta 227.090</t>
  </si>
  <si>
    <t>Ni 230.299</t>
  </si>
  <si>
    <t>Ba 230.424</t>
  </si>
  <si>
    <t>Ta 230.293</t>
  </si>
  <si>
    <t>Nb 230.209</t>
  </si>
  <si>
    <t>W 230.382</t>
  </si>
  <si>
    <t>Ta 230.349</t>
  </si>
  <si>
    <t>Ta 230.224</t>
  </si>
  <si>
    <t>Co 230.140</t>
  </si>
  <si>
    <t>Mn 230.501</t>
  </si>
  <si>
    <t>Nb 230.270</t>
  </si>
  <si>
    <t>Ta 230.147</t>
  </si>
  <si>
    <t>Ir 230.422</t>
  </si>
  <si>
    <t>Ru 230.483</t>
  </si>
  <si>
    <t>W 230.327</t>
  </si>
  <si>
    <t>W 230.164</t>
  </si>
  <si>
    <t>Mo 230.428</t>
  </si>
  <si>
    <t>Ni 231.604</t>
  </si>
  <si>
    <t>Co 231.497</t>
  </si>
  <si>
    <t>Ta 231.545</t>
  </si>
  <si>
    <t>Zr 231.725</t>
  </si>
  <si>
    <t>Co 231.707</t>
  </si>
  <si>
    <t>Ir 231.490</t>
  </si>
  <si>
    <t>Sn 231.722</t>
  </si>
  <si>
    <t>La 231.781</t>
  </si>
  <si>
    <t>Ta 231.604</t>
  </si>
  <si>
    <t>Ru 231.780</t>
  </si>
  <si>
    <t>Co 231.843</t>
  </si>
  <si>
    <t>Pt 231.830</t>
  </si>
  <si>
    <t>Os 231.545</t>
  </si>
  <si>
    <t>Pt 231.550</t>
  </si>
  <si>
    <t>Ag 231.703</t>
  </si>
  <si>
    <t>Hf 231.849</t>
  </si>
  <si>
    <t>Tb 390.955</t>
  </si>
  <si>
    <t>Ce 390.931</t>
  </si>
  <si>
    <t>Ce 390.975</t>
  </si>
  <si>
    <t>Er 390.344</t>
  </si>
  <si>
    <t>Sm 391.009</t>
  </si>
  <si>
    <t>Sm 390.680</t>
  </si>
  <si>
    <t>U 390.645</t>
  </si>
  <si>
    <t>Ce 390.644</t>
  </si>
  <si>
    <t>Pr 400.869</t>
  </si>
  <si>
    <t>Er 400.796</t>
  </si>
  <si>
    <t>Nd 400.743</t>
  </si>
  <si>
    <t>Gd 400.891</t>
  </si>
  <si>
    <t>Sm 400.748</t>
  </si>
  <si>
    <t>W 400.875</t>
  </si>
  <si>
    <t>Er 400.916</t>
  </si>
  <si>
    <t>Ce 400.759</t>
  </si>
  <si>
    <t>Nd 400.875</t>
  </si>
  <si>
    <t>Gd 400.922</t>
  </si>
  <si>
    <t>Sm 400.833</t>
  </si>
  <si>
    <t>Nd 401.045</t>
  </si>
  <si>
    <t>Ti 400.893</t>
  </si>
  <si>
    <t>Ce 400.867</t>
  </si>
  <si>
    <t>Gd 406.336</t>
  </si>
  <si>
    <t>Sm 406.455</t>
  </si>
  <si>
    <t>Sm 406.354</t>
  </si>
  <si>
    <t>Tb 406.389</t>
  </si>
  <si>
    <t>Ce 406.294</t>
  </si>
  <si>
    <t>Fe 406.359</t>
  </si>
  <si>
    <t>Ce 406.392</t>
  </si>
  <si>
    <t>Zr 406.415</t>
  </si>
  <si>
    <t>Ru 406.446</t>
  </si>
  <si>
    <t>Pr 410.072</t>
  </si>
  <si>
    <t>Dy 410.331</t>
  </si>
  <si>
    <t>La 409.954</t>
  </si>
  <si>
    <t>Gd 409.889</t>
  </si>
  <si>
    <t>In 410.176</t>
  </si>
  <si>
    <t>Ho 410.380</t>
  </si>
  <si>
    <t>Nb 410.091</t>
  </si>
  <si>
    <t>Er 410.056</t>
  </si>
  <si>
    <t>V 409.978</t>
  </si>
  <si>
    <t>Nd 410.024</t>
  </si>
  <si>
    <t>Nd 409.893</t>
  </si>
  <si>
    <t>Th 410.082</t>
  </si>
  <si>
    <t>Ce 409.899</t>
  </si>
  <si>
    <t>Th 409.893</t>
  </si>
  <si>
    <t>Nd 410.255</t>
  </si>
  <si>
    <t>Y 410.237</t>
  </si>
  <si>
    <t>Pr 411.846</t>
  </si>
  <si>
    <t>Sm 411.855</t>
  </si>
  <si>
    <t>Th 411.671</t>
  </si>
  <si>
    <t>Ce 411.814</t>
  </si>
  <si>
    <t>Ce 411.978</t>
  </si>
  <si>
    <t>Nd 411.677</t>
  </si>
  <si>
    <t>Ce 411.701</t>
  </si>
  <si>
    <t>Ce 411.901</t>
  </si>
  <si>
    <t>Ce 411.729</t>
  </si>
  <si>
    <t>U 411.610</t>
  </si>
  <si>
    <t>Ce 411.759</t>
  </si>
  <si>
    <t>Sm 411.644</t>
  </si>
  <si>
    <t>Sm 411.956</t>
  </si>
  <si>
    <t>V 411.647</t>
  </si>
  <si>
    <t>Nb 411.929</t>
  </si>
  <si>
    <t>Dy 411.931</t>
  </si>
  <si>
    <t>Pr 417.939</t>
  </si>
  <si>
    <t>Y 417.753</t>
  </si>
  <si>
    <t>Ar 418.188</t>
  </si>
  <si>
    <t>Nd 417.732</t>
  </si>
  <si>
    <t>Hf 417.750</t>
  </si>
  <si>
    <t>Th 417.806</t>
  </si>
  <si>
    <t>Sm 418.110</t>
  </si>
  <si>
    <t>Nd 417.958</t>
  </si>
  <si>
    <t>Tb 418.081</t>
  </si>
  <si>
    <t>Ce 418.108</t>
  </si>
  <si>
    <t>Sm 417.800</t>
  </si>
  <si>
    <t>Nd 417.844</t>
  </si>
  <si>
    <t>Zr 417.981</t>
  </si>
  <si>
    <t>Th 417.971</t>
  </si>
  <si>
    <t>Th 417.996</t>
  </si>
  <si>
    <t>Th 418.216</t>
  </si>
  <si>
    <t>Pr 418.948</t>
  </si>
  <si>
    <t>Ar 419.103</t>
  </si>
  <si>
    <t>Ce 418.732</t>
  </si>
  <si>
    <t>Gd 419.108</t>
  </si>
  <si>
    <t>Ce 419.062</t>
  </si>
  <si>
    <t>Zr 419.151</t>
  </si>
  <si>
    <t>U 418.927</t>
  </si>
  <si>
    <t>Ce 418.964</t>
  </si>
  <si>
    <t>Gd 419.910</t>
  </si>
  <si>
    <t>Dy 419.164</t>
  </si>
  <si>
    <t>Nb 419.088</t>
  </si>
  <si>
    <t>Pr 420.672</t>
  </si>
  <si>
    <t>Eu 420.504</t>
  </si>
  <si>
    <t>Th 420.889</t>
  </si>
  <si>
    <t>Sm 420.612</t>
  </si>
  <si>
    <t>Nd 420.558</t>
  </si>
  <si>
    <t>Sm 420.662</t>
  </si>
  <si>
    <t>Dy 420.654</t>
  </si>
  <si>
    <t>Ar 420.977</t>
  </si>
  <si>
    <t>Nd 420.525</t>
  </si>
  <si>
    <t>Hf 420.657</t>
  </si>
  <si>
    <t>V 420.509</t>
  </si>
  <si>
    <t>Ce 420.999</t>
  </si>
  <si>
    <t>Ce 420.589</t>
  </si>
  <si>
    <t>Ce 420.843</t>
  </si>
  <si>
    <t>Ru 420.601</t>
  </si>
  <si>
    <t>Nb 420.530</t>
  </si>
  <si>
    <t>Ce 422.388</t>
  </si>
  <si>
    <t>Nd 422.484</t>
  </si>
  <si>
    <t>Ce 422.117</t>
  </si>
  <si>
    <t>Ce 422.456</t>
  </si>
  <si>
    <t>Ce 422.077</t>
  </si>
  <si>
    <t>Pr 422.532</t>
  </si>
  <si>
    <t>Ca 422.673</t>
  </si>
  <si>
    <t>Sm 422.532</t>
  </si>
  <si>
    <t>Tb 422.649</t>
  </si>
  <si>
    <t>Gd 422.503</t>
  </si>
  <si>
    <t>Dy 422.516</t>
  </si>
  <si>
    <t>U 422.537</t>
  </si>
  <si>
    <t>Ge 422.656</t>
  </si>
  <si>
    <t>Ce 422.573</t>
  </si>
  <si>
    <t>Sm 422.616</t>
  </si>
  <si>
    <t>U 422.660</t>
  </si>
  <si>
    <t>Sc 255.235</t>
  </si>
  <si>
    <t>Hf 255.139</t>
  </si>
  <si>
    <t>Nb 255.139</t>
  </si>
  <si>
    <t>W 255.135</t>
  </si>
  <si>
    <t>V 255.303</t>
  </si>
  <si>
    <t>Yb 255.215</t>
  </si>
  <si>
    <t>Tm 255.277</t>
  </si>
  <si>
    <t>Ta 255.173</t>
  </si>
  <si>
    <t>Yb 255.271</t>
  </si>
  <si>
    <t>Dy 255.229</t>
  </si>
  <si>
    <t>Ta 255.318</t>
  </si>
  <si>
    <t>Ru 255.198</t>
  </si>
  <si>
    <t>Mn 255.186</t>
  </si>
  <si>
    <t>Cr 255.159</t>
  </si>
  <si>
    <t>W 255.316</t>
  </si>
  <si>
    <t>P 255.326</t>
  </si>
  <si>
    <t>Sc 335.372</t>
  </si>
  <si>
    <t>Hf 335.205</t>
  </si>
  <si>
    <t>Ti 335.463</t>
  </si>
  <si>
    <t>Th 335.418</t>
  </si>
  <si>
    <t>Ho 335.458</t>
  </si>
  <si>
    <t>Ho 335.210</t>
  </si>
  <si>
    <t>Zr 335.439</t>
  </si>
  <si>
    <t>Ho 335.355</t>
  </si>
  <si>
    <t>Dy 335.359</t>
  </si>
  <si>
    <t>Tm 335.486</t>
  </si>
  <si>
    <t>Sm 335.419</t>
  </si>
  <si>
    <t>Dy 335.269</t>
  </si>
  <si>
    <t>Nd 335.359</t>
  </si>
  <si>
    <t>Sm 335.472</t>
  </si>
  <si>
    <t>Th 335.462</t>
  </si>
  <si>
    <t>Ti 335.207</t>
  </si>
  <si>
    <t>Sc 357.253</t>
  </si>
  <si>
    <t>Zr 357.247</t>
  </si>
  <si>
    <t>Ar 357.230</t>
  </si>
  <si>
    <t>Zr 357.306</t>
  </si>
  <si>
    <t>Dy 357.383</t>
  </si>
  <si>
    <t>Gd 357.193</t>
  </si>
  <si>
    <t>Ho 357.324</t>
  </si>
  <si>
    <t>Tm 357.405</t>
  </si>
  <si>
    <t>Th 357.239</t>
  </si>
  <si>
    <t>Tb 357.207</t>
  </si>
  <si>
    <t>Ti 357.373</t>
  </si>
  <si>
    <t>Pd 357.115</t>
  </si>
  <si>
    <t>Er 357.387</t>
  </si>
  <si>
    <t>Th 357.322</t>
  </si>
  <si>
    <t>Ni 357.186</t>
  </si>
  <si>
    <t>W 357.248</t>
  </si>
  <si>
    <t>Dy 357.687</t>
  </si>
  <si>
    <t>Dy 357.798</t>
  </si>
  <si>
    <t>Zr 357.821</t>
  </si>
  <si>
    <t>Gd 357.677</t>
  </si>
  <si>
    <t>Zr 361.477</t>
  </si>
  <si>
    <t>Zr 361.310</t>
  </si>
  <si>
    <t>Gd 361.339</t>
  </si>
  <si>
    <t>Th 361.513</t>
  </si>
  <si>
    <t>Ho 361.331</t>
  </si>
  <si>
    <t>Tb 361.463</t>
  </si>
  <si>
    <t>Ce 361.369</t>
  </si>
  <si>
    <t>Dy 361.407</t>
  </si>
  <si>
    <t>Tb 361.368</t>
  </si>
  <si>
    <t>Dy 361.308</t>
  </si>
  <si>
    <t>Th 361.401</t>
  </si>
  <si>
    <t>Gd 361.421</t>
  </si>
  <si>
    <t>Tm 361.303</t>
  </si>
  <si>
    <t>Mo 361.430</t>
  </si>
  <si>
    <t>Sm 361.526</t>
  </si>
  <si>
    <t>Sc 363.074</t>
  </si>
  <si>
    <t>Dy 363.024</t>
  </si>
  <si>
    <t>Ar 363.268</t>
  </si>
  <si>
    <t>Sm 363.114</t>
  </si>
  <si>
    <t>La 362.882</t>
  </si>
  <si>
    <t>Dy 362.942</t>
  </si>
  <si>
    <t>Er 363.209</t>
  </si>
  <si>
    <t>Ho 363.176</t>
  </si>
  <si>
    <t>Zr 363.000</t>
  </si>
  <si>
    <t>Tb 362.944</t>
  </si>
  <si>
    <t>Fe 363.146</t>
  </si>
  <si>
    <t>Gd 362.951</t>
  </si>
  <si>
    <t>Sm 363.067</t>
  </si>
  <si>
    <t>Nd 363.101</t>
  </si>
  <si>
    <t>Pr 363.097</t>
  </si>
  <si>
    <t>Ce 363.120</t>
  </si>
  <si>
    <t>Sc 364.278</t>
  </si>
  <si>
    <t>Tm 364.365</t>
  </si>
  <si>
    <t>Ti 364.133</t>
  </si>
  <si>
    <t>Ti 364.267</t>
  </si>
  <si>
    <t>Tb 364.165</t>
  </si>
  <si>
    <t>Er 364.127</t>
  </si>
  <si>
    <t>Gd 364.140</t>
  </si>
  <si>
    <t>Sm 364.274</t>
  </si>
  <si>
    <t>Dy 364.393</t>
  </si>
  <si>
    <t>Nd 364.150</t>
  </si>
  <si>
    <t>La 364.166</t>
  </si>
  <si>
    <t>W 364.141</t>
  </si>
  <si>
    <t>Ce 364.173</t>
  </si>
  <si>
    <t>Sc 424.682</t>
  </si>
  <si>
    <t>Nd 424.736</t>
  </si>
  <si>
    <t>Ce 424.867</t>
  </si>
  <si>
    <t>Sm 424.470</t>
  </si>
  <si>
    <t>Pr 424.764</t>
  </si>
  <si>
    <t>Ce 424.588</t>
  </si>
  <si>
    <t>Ce 424.671</t>
  </si>
  <si>
    <t>U 424.437</t>
  </si>
  <si>
    <t>Gd 424.657</t>
  </si>
  <si>
    <t>Eu 424.783</t>
  </si>
  <si>
    <t>Th 424.799</t>
  </si>
  <si>
    <t>Sm 424.517</t>
  </si>
  <si>
    <t>Dy 424.734</t>
  </si>
  <si>
    <t>Nd 424.689</t>
  </si>
  <si>
    <t>Ce 424.809</t>
  </si>
  <si>
    <t>Dy 424.846</t>
  </si>
  <si>
    <t>Ta 226.142</t>
  </si>
  <si>
    <t>Cu 226.308</t>
  </si>
  <si>
    <t>Ti 226.120</t>
  </si>
  <si>
    <t>Ni 225.956</t>
  </si>
  <si>
    <t>Os 226.173</t>
  </si>
  <si>
    <t>Co 226.000</t>
  </si>
  <si>
    <t>Fe 226.008</t>
  </si>
  <si>
    <t>Mo 226.006</t>
  </si>
  <si>
    <t>Nb 226.213</t>
  </si>
  <si>
    <t>Nb 226.331</t>
  </si>
  <si>
    <t>Ni 226.143</t>
  </si>
  <si>
    <t>Sb 226.250</t>
  </si>
  <si>
    <t>Ir 226.065</t>
  </si>
  <si>
    <t>Cu 226.053</t>
  </si>
  <si>
    <t>Mo 226.198</t>
  </si>
  <si>
    <t>Fe 226.269</t>
  </si>
  <si>
    <t>Ta 226.230</t>
  </si>
  <si>
    <t>Al 226.346</t>
  </si>
  <si>
    <t>Re 226.439</t>
  </si>
  <si>
    <t>W 226.353</t>
  </si>
  <si>
    <t>Rh 226.343</t>
  </si>
  <si>
    <t>Ru 226.350</t>
  </si>
  <si>
    <t>Rh 226.414</t>
  </si>
  <si>
    <t>Th 226.341</t>
  </si>
  <si>
    <t>Pd 226.428</t>
  </si>
  <si>
    <t>Ta 233.198</t>
  </si>
  <si>
    <t>Fe 233.280</t>
  </si>
  <si>
    <t>Co 233.036</t>
  </si>
  <si>
    <t>Fe 233.131</t>
  </si>
  <si>
    <t>Hf 233.297</t>
  </si>
  <si>
    <t>W 233.377</t>
  </si>
  <si>
    <t>Ni 232.997</t>
  </si>
  <si>
    <t>Zr 233.036</t>
  </si>
  <si>
    <t>Ag 233.137</t>
  </si>
  <si>
    <t>Mo 232.969</t>
  </si>
  <si>
    <t>Cr 233.346</t>
  </si>
  <si>
    <t>W 233.315</t>
  </si>
  <si>
    <t>Co 233.285</t>
  </si>
  <si>
    <t>Co 233.308</t>
  </si>
  <si>
    <t>Hf 233.245</t>
  </si>
  <si>
    <t>Ru 233.356</t>
  </si>
  <si>
    <t>Ta 238.706</t>
  </si>
  <si>
    <t>Co 238.636</t>
  </si>
  <si>
    <t>Te 238.579</t>
  </si>
  <si>
    <t>Co 238.672</t>
  </si>
  <si>
    <t>Zr 238.718</t>
  </si>
  <si>
    <t>Nb 238.710</t>
  </si>
  <si>
    <t>Dy 238.736</t>
  </si>
  <si>
    <t>Re 238.690</t>
  </si>
  <si>
    <t>Rh 238.614</t>
  </si>
  <si>
    <t>Ir 238.690</t>
  </si>
  <si>
    <t>Ni 238.659</t>
  </si>
  <si>
    <t>Ta 240.063</t>
  </si>
  <si>
    <t>Fe 239.924</t>
  </si>
  <si>
    <t>Hf 240.082</t>
  </si>
  <si>
    <t>Nb 239.849</t>
  </si>
  <si>
    <t>Dy 240.229</t>
  </si>
  <si>
    <t>Lu 239.914</t>
  </si>
  <si>
    <t>Co 240.206</t>
  </si>
  <si>
    <t>Co 239.839</t>
  </si>
  <si>
    <t>Ni 240.193</t>
  </si>
  <si>
    <t>Mo 240.193</t>
  </si>
  <si>
    <t>Ir 239.875</t>
  </si>
  <si>
    <t>Cu 240.012</t>
  </si>
  <si>
    <t>Ca 239.856</t>
  </si>
  <si>
    <t>Fe 240.034</t>
  </si>
  <si>
    <t>Pb 240.194</t>
  </si>
  <si>
    <t>W 240.245</t>
  </si>
  <si>
    <t>Ta 263.558</t>
  </si>
  <si>
    <t>Mo 263.667</t>
  </si>
  <si>
    <t>Dy 263.480</t>
  </si>
  <si>
    <t>U 263.553</t>
  </si>
  <si>
    <t>Ba 263.478</t>
  </si>
  <si>
    <t>W 263.538</t>
  </si>
  <si>
    <t>Hf 263.578</t>
  </si>
  <si>
    <t>Re 263.583</t>
  </si>
  <si>
    <t>Ce 263.515</t>
  </si>
  <si>
    <t>Yb 263.431</t>
  </si>
  <si>
    <t>Ru 263.586</t>
  </si>
  <si>
    <t>Ru 263.654</t>
  </si>
  <si>
    <t>Eu 263.550</t>
  </si>
  <si>
    <t>Rh 263.532</t>
  </si>
  <si>
    <t>U 263.625</t>
  </si>
  <si>
    <t>Pd 263.594</t>
  </si>
  <si>
    <t>Ta 268.517</t>
  </si>
  <si>
    <t>Th 268.429</t>
  </si>
  <si>
    <t>Eu 268.566</t>
  </si>
  <si>
    <t>V 268.569</t>
  </si>
  <si>
    <t>Nb 268.639</t>
  </si>
  <si>
    <t>Tb 268.474</t>
  </si>
  <si>
    <t>Yb 269.474</t>
  </si>
  <si>
    <t>Hf 268.521</t>
  </si>
  <si>
    <t>U 268.598</t>
  </si>
  <si>
    <t>Mo 268.659</t>
  </si>
  <si>
    <t>Mn 268.454</t>
  </si>
  <si>
    <t>Mn 268.588</t>
  </si>
  <si>
    <t>V 268.513</t>
  </si>
  <si>
    <t>Fe 268.475</t>
  </si>
  <si>
    <t>Rh 268.421</t>
  </si>
  <si>
    <t>Lu 269.509</t>
  </si>
  <si>
    <t>Tb 321.893</t>
  </si>
  <si>
    <t>Ti 321.826</t>
  </si>
  <si>
    <t>Sm 321.860</t>
  </si>
  <si>
    <t>Ce 321.894</t>
  </si>
  <si>
    <t>Cr 321.739</t>
  </si>
  <si>
    <t>Hf 321.729</t>
  </si>
  <si>
    <t>Os 322.042</t>
  </si>
  <si>
    <t>Sm 321.943</t>
  </si>
  <si>
    <t>Pr 321.948</t>
  </si>
  <si>
    <t>Th 322.035</t>
  </si>
  <si>
    <t>Th 321.746</t>
  </si>
  <si>
    <t>Yb 321.717</t>
  </si>
  <si>
    <t>Ce 321.838</t>
  </si>
  <si>
    <t>Dy 322.046</t>
  </si>
  <si>
    <t>Os 321.806</t>
  </si>
  <si>
    <t>Yb 321.932</t>
  </si>
  <si>
    <t>Tb 321.998</t>
  </si>
  <si>
    <t>Er 322.073</t>
  </si>
  <si>
    <t>Th 322.129</t>
  </si>
  <si>
    <t>Ce 322.117</t>
  </si>
  <si>
    <t>Hf 322.065</t>
  </si>
  <si>
    <t>Ir 322.078</t>
  </si>
  <si>
    <t>Dy 322.149</t>
  </si>
  <si>
    <t>Ho 322.142</t>
  </si>
  <si>
    <t>Os 322.155</t>
  </si>
  <si>
    <t>Tb 332.440</t>
  </si>
  <si>
    <t>Ti 332.294</t>
  </si>
  <si>
    <t>Th 332.512</t>
  </si>
  <si>
    <t>Er 332.319</t>
  </si>
  <si>
    <t>Rh 332.309</t>
  </si>
  <si>
    <t>Zr 332.297</t>
  </si>
  <si>
    <t>Th 332.475</t>
  </si>
  <si>
    <t>Ar 332.550</t>
  </si>
  <si>
    <t>Sm 332.526</t>
  </si>
  <si>
    <t>Sm 332.379</t>
  </si>
  <si>
    <t>Sm 332.551</t>
  </si>
  <si>
    <t>Tm 332.321</t>
  </si>
  <si>
    <t>Dy 332.619</t>
  </si>
  <si>
    <t>Ce 332.533</t>
  </si>
  <si>
    <t>Nd 332.589</t>
  </si>
  <si>
    <t>Cr 332.413</t>
  </si>
  <si>
    <t>Tb 350.914</t>
  </si>
  <si>
    <t>Co 351.041</t>
  </si>
  <si>
    <t>Zr 351.045</t>
  </si>
  <si>
    <t>Ni 351.033</t>
  </si>
  <si>
    <t>Nb 351.027</t>
  </si>
  <si>
    <t>Ho 350.937</t>
  </si>
  <si>
    <t>Co 350.984</t>
  </si>
  <si>
    <t>La 350.999</t>
  </si>
  <si>
    <t>Zr 350.932</t>
  </si>
  <si>
    <t>U 350.967</t>
  </si>
  <si>
    <t>Ti 350.984</t>
  </si>
  <si>
    <t>Tb 356.170</t>
  </si>
  <si>
    <t>Hf 356.166</t>
  </si>
  <si>
    <t>Dy 356.315</t>
  </si>
  <si>
    <t>Ar 356.329</t>
  </si>
  <si>
    <t>Ce 356.080</t>
  </si>
  <si>
    <t>Dy 356.369</t>
  </si>
  <si>
    <t>Co 356.089</t>
  </si>
  <si>
    <t>Ho 356.015</t>
  </si>
  <si>
    <t>Yb 356.070</t>
  </si>
  <si>
    <t>Nd 356.072</t>
  </si>
  <si>
    <t>Dy 356.013</t>
  </si>
  <si>
    <t>Sm 356.157</t>
  </si>
  <si>
    <t>V 356.059</t>
  </si>
  <si>
    <t>Nb 356.362</t>
  </si>
  <si>
    <t>Sm 356.028</t>
  </si>
  <si>
    <t>U 356.180</t>
  </si>
  <si>
    <t>Tb 356.851</t>
  </si>
  <si>
    <t>Sc 356.770</t>
  </si>
  <si>
    <t>Sm 356.827</t>
  </si>
  <si>
    <t>Ar 356.766</t>
  </si>
  <si>
    <t>Hf 356.903</t>
  </si>
  <si>
    <t>Ce 356.931</t>
  </si>
  <si>
    <t>Co 356.937</t>
  </si>
  <si>
    <t>Fe 357.010</t>
  </si>
  <si>
    <t>Mn 356.949</t>
  </si>
  <si>
    <t>Nd 356.887</t>
  </si>
  <si>
    <t>Sm 356.681</t>
  </si>
  <si>
    <t>Zr 356.814</t>
  </si>
  <si>
    <t>Mn 356.980</t>
  </si>
  <si>
    <t>Gd 356.712</t>
  </si>
  <si>
    <t>Rh 357.018</t>
  </si>
  <si>
    <t>Nb 356.849</t>
  </si>
  <si>
    <t>Tb 360.044</t>
  </si>
  <si>
    <t>Y 360.074</t>
  </si>
  <si>
    <t>Y 360.192</t>
  </si>
  <si>
    <t>Er 359.902</t>
  </si>
  <si>
    <t>Er 359.950</t>
  </si>
  <si>
    <t>Ho 360.095</t>
  </si>
  <si>
    <t>Dy 360.037</t>
  </si>
  <si>
    <t>Gd 360.096</t>
  </si>
  <si>
    <t>Th 360.103</t>
  </si>
  <si>
    <t>Zr 360.117</t>
  </si>
  <si>
    <t>Sm 360.169</t>
  </si>
  <si>
    <t>Zr 359.988</t>
  </si>
  <si>
    <t>Ar 359.971</t>
  </si>
  <si>
    <t>Nd 360.090</t>
  </si>
  <si>
    <t>La 360.105</t>
  </si>
  <si>
    <t>Ce 360.058</t>
  </si>
  <si>
    <t>Tb 367.636</t>
  </si>
  <si>
    <t>Dy 367.659</t>
  </si>
  <si>
    <t>Th 367.557</t>
  </si>
  <si>
    <t>Ar 367.524</t>
  </si>
  <si>
    <t>Th 367.805</t>
  </si>
  <si>
    <t>Sm 367.773</t>
  </si>
  <si>
    <t>Er 367.651</t>
  </si>
  <si>
    <t>Nd 367.818</t>
  </si>
  <si>
    <t>Yb 367.508</t>
  </si>
  <si>
    <t>Sc 367.526</t>
  </si>
  <si>
    <t>Cr 367.785</t>
  </si>
  <si>
    <t>Ce 367.615</t>
  </si>
  <si>
    <t>Dy 367.602</t>
  </si>
  <si>
    <t>U 367.767</t>
  </si>
  <si>
    <t>U 367.656</t>
  </si>
  <si>
    <t>Sc 367.663</t>
  </si>
  <si>
    <t>Tb 370.285</t>
  </si>
  <si>
    <t>Tm 370.136</t>
  </si>
  <si>
    <t>Ho 370.235</t>
  </si>
  <si>
    <t>Dy 370.162</t>
  </si>
  <si>
    <t>V 370.357</t>
  </si>
  <si>
    <t>Er 370.150</t>
  </si>
  <si>
    <t>U 370.152</t>
  </si>
  <si>
    <t>Th 370.391</t>
  </si>
  <si>
    <t>V 370.471</t>
  </si>
  <si>
    <t>Sc 370.431</t>
  </si>
  <si>
    <t>Mo 370.254</t>
  </si>
  <si>
    <t>La 370.181</t>
  </si>
  <si>
    <t>Sm 370.155</t>
  </si>
  <si>
    <t>Ce 370.278</t>
  </si>
  <si>
    <t>Er 370.251</t>
  </si>
  <si>
    <t>Gd 370.351</t>
  </si>
  <si>
    <t>Tb 384.873</t>
  </si>
  <si>
    <t>La 384.901</t>
  </si>
  <si>
    <t>Nd 384.851</t>
  </si>
  <si>
    <t>Ce 384.859</t>
  </si>
  <si>
    <t>Sm 384.752</t>
  </si>
  <si>
    <t>Sm 384.876</t>
  </si>
  <si>
    <t>Hf 384.950</t>
  </si>
  <si>
    <t>Nd 384.677</t>
  </si>
  <si>
    <t>Ce 384.810</t>
  </si>
  <si>
    <t>Ce 384.967</t>
  </si>
  <si>
    <t>Dy 384.939</t>
  </si>
  <si>
    <t>Ce 385.009</t>
  </si>
  <si>
    <t>Th 385.013</t>
  </si>
  <si>
    <t>V 384.734</t>
  </si>
  <si>
    <t>U 384.985</t>
  </si>
  <si>
    <t>Ce 384.678</t>
  </si>
  <si>
    <t>Tb 387.417</t>
  </si>
  <si>
    <t>Dy 387.399</t>
  </si>
  <si>
    <t>Sm 387.554</t>
  </si>
  <si>
    <t>Sm 387.518</t>
  </si>
  <si>
    <t>Ce 387.506</t>
  </si>
  <si>
    <t>V 387.508</t>
  </si>
  <si>
    <t>Ce 387.468</t>
  </si>
  <si>
    <t>Co 387.396</t>
  </si>
  <si>
    <t>U 387.404</t>
  </si>
  <si>
    <t>Th 387.382</t>
  </si>
  <si>
    <t>Ti 390.055</t>
  </si>
  <si>
    <t>Nd 390.022</t>
  </si>
  <si>
    <t>Eu 390.051</t>
  </si>
  <si>
    <t>U 389.947</t>
  </si>
  <si>
    <t>Tm 313.125</t>
  </si>
  <si>
    <t>Be 313.042</t>
  </si>
  <si>
    <t>Be 313.107</t>
  </si>
  <si>
    <t>Nb 313.078</t>
  </si>
  <si>
    <t>Cr 313.205</t>
  </si>
  <si>
    <t>V 313.026</t>
  </si>
  <si>
    <t>Mo 313.259</t>
  </si>
  <si>
    <t>Ti 313.081</t>
  </si>
  <si>
    <t>OH 313.028</t>
  </si>
  <si>
    <t>OH 313.057</t>
  </si>
  <si>
    <t>Er 313.252</t>
  </si>
  <si>
    <t>Ho 313.099</t>
  </si>
  <si>
    <t>Ce 313.087</t>
  </si>
  <si>
    <t>Gd 313.081</t>
  </si>
  <si>
    <t>Th 313.107</t>
  </si>
  <si>
    <t>OH 313.142</t>
  </si>
  <si>
    <t>Tm 313.389</t>
  </si>
  <si>
    <t>Hf 313.472</t>
  </si>
  <si>
    <t>V 313.333</t>
  </si>
  <si>
    <t>Er 313.277</t>
  </si>
  <si>
    <t>Gd 313.386</t>
  </si>
  <si>
    <t>V 313.493</t>
  </si>
  <si>
    <t>OH 313.434</t>
  </si>
  <si>
    <t>OH 313.322</t>
  </si>
  <si>
    <t>Ni 313.410</t>
  </si>
  <si>
    <t>Y 313.518</t>
  </si>
  <si>
    <t>Ho 313.439</t>
  </si>
  <si>
    <t>Nd 313.360</t>
  </si>
  <si>
    <t>Tb 313.426</t>
  </si>
  <si>
    <t>Th 313.443</t>
  </si>
  <si>
    <t>Gd 313.504</t>
  </si>
  <si>
    <t>Tm 329.100</t>
  </si>
  <si>
    <t>Th 329.174</t>
  </si>
  <si>
    <t>Th 329.252</t>
  </si>
  <si>
    <t>Gd 329.222</t>
  </si>
  <si>
    <t>Mo 329.232</t>
  </si>
  <si>
    <t>Sm 329.039</t>
  </si>
  <si>
    <t>Tb 329.156</t>
  </si>
  <si>
    <t>Ho 329.096</t>
  </si>
  <si>
    <t>Nb 329.202</t>
  </si>
  <si>
    <t>U 329.134</t>
  </si>
  <si>
    <t>Sm 329.065</t>
  </si>
  <si>
    <t>Er 329.127</t>
  </si>
  <si>
    <t>Th 329.013</t>
  </si>
  <si>
    <t>Nb 329.105</t>
  </si>
  <si>
    <t>Mo 329.082</t>
  </si>
  <si>
    <t>Nd 329.065</t>
  </si>
  <si>
    <t>Zr 336.381</t>
  </si>
  <si>
    <t>U 336.172</t>
  </si>
  <si>
    <t>Mo 336.378</t>
  </si>
  <si>
    <t>Tm 342.508</t>
  </si>
  <si>
    <t>Ho 342.534</t>
  </si>
  <si>
    <t>Gd 342.389</t>
  </si>
  <si>
    <t>Gd 342.460</t>
  </si>
  <si>
    <t>Nb 342.542</t>
  </si>
  <si>
    <t>Gd 342.593</t>
  </si>
  <si>
    <t>Zr 342.481</t>
  </si>
  <si>
    <t>Er 342.509</t>
  </si>
  <si>
    <t>Dy 342.505</t>
  </si>
  <si>
    <t>Ce 342.621</t>
  </si>
  <si>
    <t>Eu 342.500</t>
  </si>
  <si>
    <t>Gd 342.634</t>
  </si>
  <si>
    <t>Sm 342.621</t>
  </si>
  <si>
    <t>Re 342.461</t>
  </si>
  <si>
    <t>U 342.456</t>
  </si>
  <si>
    <t>Sm 342.478</t>
  </si>
  <si>
    <t>Tm 346.220</t>
  </si>
  <si>
    <t>Dy 346.097</t>
  </si>
  <si>
    <t>Gd 346.399</t>
  </si>
  <si>
    <t>Ti 346.149</t>
  </si>
  <si>
    <t>Ho 346.197</t>
  </si>
  <si>
    <t>Zr 346.302</t>
  </si>
  <si>
    <t>Ar 346.108</t>
  </si>
  <si>
    <t>Ni 346.165</t>
  </si>
  <si>
    <t>Re 346.045</t>
  </si>
  <si>
    <t>Pd 346.074</t>
  </si>
  <si>
    <t>Rh 346.204</t>
  </si>
  <si>
    <t>Th 346.285</t>
  </si>
  <si>
    <t>Co 346.280</t>
  </si>
  <si>
    <t>Sm 346.111</t>
  </si>
  <si>
    <t>Gd 346.300</t>
  </si>
  <si>
    <t>Gd 346.196</t>
  </si>
  <si>
    <t>Y 321.668</t>
  </si>
  <si>
    <t>Ti 321.706</t>
  </si>
  <si>
    <t>Nb 321.559</t>
  </si>
  <si>
    <t>Dy 321.663</t>
  </si>
  <si>
    <t>V 321.711</t>
  </si>
  <si>
    <t>Sm 321.684</t>
  </si>
  <si>
    <t>Dy 321.519</t>
  </si>
  <si>
    <t>Sm 321.525</t>
  </si>
  <si>
    <t>Tm 321.611</t>
  </si>
  <si>
    <t>OH 321.806</t>
  </si>
  <si>
    <t>W 321.556</t>
  </si>
  <si>
    <t>Nd 321.712</t>
  </si>
  <si>
    <t>Y 324.228</t>
  </si>
  <si>
    <t>Ti 324.199</t>
  </si>
  <si>
    <t>Tm 324.153</t>
  </si>
  <si>
    <t>Zr 324.104</t>
  </si>
  <si>
    <t>Pd 324.270</t>
  </si>
  <si>
    <t>Sm 324.115</t>
  </si>
  <si>
    <t>Ce 324.337</t>
  </si>
  <si>
    <t>Th 324.111</t>
  </si>
  <si>
    <t>Sm 324.204</t>
  </si>
  <si>
    <t>Ta 324.094</t>
  </si>
  <si>
    <t>U 324.417</t>
  </si>
  <si>
    <t>Dy 324.086</t>
  </si>
  <si>
    <t>Mo 324.073</t>
  </si>
  <si>
    <t>Zr 324.215</t>
  </si>
  <si>
    <t>Ni 324.305</t>
  </si>
  <si>
    <t>Dy 324.372</t>
  </si>
  <si>
    <t>Er 359.982</t>
  </si>
  <si>
    <t>Ru 359.976</t>
  </si>
  <si>
    <t>Y 361.104</t>
  </si>
  <si>
    <t>Zr 361.189</t>
  </si>
  <si>
    <t>Gd 361.076</t>
  </si>
  <si>
    <t>Tb 361.133</t>
  </si>
  <si>
    <t>Cd 361.051</t>
  </si>
  <si>
    <t>La 361.234</t>
  </si>
  <si>
    <t>Rh 361.247</t>
  </si>
  <si>
    <t>Ni 361.046</t>
  </si>
  <si>
    <t>Pr 361.194</t>
  </si>
  <si>
    <t>Th 361.004</t>
  </si>
  <si>
    <t>Ce 361.091</t>
  </si>
  <si>
    <t>Ce 361.134</t>
  </si>
  <si>
    <t>Th 361.040</t>
  </si>
  <si>
    <t>Th 361.079</t>
  </si>
  <si>
    <t>Tm 361.239</t>
  </si>
  <si>
    <t>U 361.048</t>
  </si>
  <si>
    <t>Y 371.029</t>
  </si>
  <si>
    <t>Zr 370.927</t>
  </si>
  <si>
    <t>Sm 370.866</t>
  </si>
  <si>
    <t>Ce 370.993</t>
  </si>
  <si>
    <t>Tb 371.176</t>
  </si>
  <si>
    <t>Ce 370.929</t>
  </si>
  <si>
    <t>Sm 371.154</t>
  </si>
  <si>
    <t>Tb 370.930</t>
  </si>
  <si>
    <t>Th 371.130</t>
  </si>
  <si>
    <t>Dy 371.007</t>
  </si>
  <si>
    <t>Dy 371.166</t>
  </si>
  <si>
    <t>Pr 371.110</t>
  </si>
  <si>
    <t>Sm 371.087</t>
  </si>
  <si>
    <t>Er 371.182</t>
  </si>
  <si>
    <t>Nb 370.929</t>
  </si>
  <si>
    <t>Gd 370.913</t>
  </si>
  <si>
    <t>Y 377.433</t>
  </si>
  <si>
    <t>Nd 377.550</t>
  </si>
  <si>
    <t>Er 377.566</t>
  </si>
  <si>
    <t>La 377.312</t>
  </si>
  <si>
    <t>Sm 377.430</t>
  </si>
  <si>
    <t>Gd 377.429</t>
  </si>
  <si>
    <t>Pr 377.406</t>
  </si>
  <si>
    <t>Th 377.376</t>
  </si>
  <si>
    <t>Nd 377.317</t>
  </si>
  <si>
    <t>Dy 377.331</t>
  </si>
  <si>
    <t>Sm 377.470</t>
  </si>
  <si>
    <t>Tb 377.527</t>
  </si>
  <si>
    <t>Ar 377.544</t>
  </si>
  <si>
    <t>Sm 377.334</t>
  </si>
  <si>
    <t>Nd 377.492</t>
  </si>
  <si>
    <t>Th 377.420</t>
  </si>
  <si>
    <t>Y 378.869</t>
  </si>
  <si>
    <t>Dy 378.844</t>
  </si>
  <si>
    <t>Sm 378.812</t>
  </si>
  <si>
    <t>Gd 378.757</t>
  </si>
  <si>
    <t>Er 378.786</t>
  </si>
  <si>
    <t>Ce 378.875</t>
  </si>
  <si>
    <t>Ho 378.808</t>
  </si>
  <si>
    <t>Th 378.912</t>
  </si>
  <si>
    <t>Tb 378.723</t>
  </si>
  <si>
    <t>Ce 378.790</t>
  </si>
  <si>
    <t>Ce 378.746</t>
  </si>
  <si>
    <t>Dy 378.726</t>
  </si>
  <si>
    <t>V 378.724</t>
  </si>
  <si>
    <t>Yb 378.895</t>
  </si>
  <si>
    <t>Eu 378.876</t>
  </si>
  <si>
    <t>Yb 211.667</t>
  </si>
  <si>
    <t>W 211.888</t>
  </si>
  <si>
    <t>Ta 211.369</t>
  </si>
  <si>
    <t>Nb 211.887</t>
  </si>
  <si>
    <t>Mo 211.511</t>
  </si>
  <si>
    <t>Ag 211.383</t>
  </si>
  <si>
    <t>Ru 211.389</t>
  </si>
  <si>
    <t>Ta 211.834</t>
  </si>
  <si>
    <t>Mo 211.430</t>
  </si>
  <si>
    <t>Ta 211.991</t>
  </si>
  <si>
    <t>W 211.694</t>
  </si>
  <si>
    <t>Sn 211.394</t>
  </si>
  <si>
    <t>Mo 211.678</t>
  </si>
  <si>
    <t>Pt 211.558</t>
  </si>
  <si>
    <t>Ru 211.719</t>
  </si>
  <si>
    <t>Hf 211.502</t>
  </si>
  <si>
    <t>Yb 212.674</t>
  </si>
  <si>
    <t>Ir 212.681</t>
  </si>
  <si>
    <t>Nb 212.655</t>
  </si>
  <si>
    <t>Nb 212.522</t>
  </si>
  <si>
    <t>Cu 212.604</t>
  </si>
  <si>
    <t>Pt 212.863</t>
  </si>
  <si>
    <t>Ni 212.858</t>
  </si>
  <si>
    <t>Ta 212.482</t>
  </si>
  <si>
    <t>Hf 212.909</t>
  </si>
  <si>
    <t>Ta 212.922</t>
  </si>
  <si>
    <t>V 212.947</t>
  </si>
  <si>
    <t>Mo 212.591</t>
  </si>
  <si>
    <t>Au 212.664</t>
  </si>
  <si>
    <t>V 212.693</t>
  </si>
  <si>
    <t>Mo 212.726</t>
  </si>
  <si>
    <t>Ta 212.668</t>
  </si>
  <si>
    <t>Ni 222.295</t>
  </si>
  <si>
    <t>Ni 222.633</t>
  </si>
  <si>
    <t>Mo 222.097</t>
  </si>
  <si>
    <t>Ni 222.436</t>
  </si>
  <si>
    <t>W 222.094</t>
  </si>
  <si>
    <t>Yb 289.138</t>
  </si>
  <si>
    <t>V 289.164</t>
  </si>
  <si>
    <t>Mo 289.099</t>
  </si>
  <si>
    <t>Tm 289.093</t>
  </si>
  <si>
    <t>Th 289.125</t>
  </si>
  <si>
    <t>Ti 289.107</t>
  </si>
  <si>
    <t>Th 289.173</t>
  </si>
  <si>
    <t>Mo 289.127</t>
  </si>
  <si>
    <t>OH 289.056</t>
  </si>
  <si>
    <t>Mn 289.238</t>
  </si>
  <si>
    <t>Dy 289.074</t>
  </si>
  <si>
    <t>OH 289.129</t>
  </si>
  <si>
    <t>Ta 289.029</t>
  </si>
  <si>
    <t>Th 289.217</t>
  </si>
  <si>
    <t>Cr 289.102</t>
  </si>
  <si>
    <t>U 289.180</t>
  </si>
  <si>
    <t>Yb 328.937</t>
  </si>
  <si>
    <t>Zr 328.880</t>
  </si>
  <si>
    <t>Ho 328.846</t>
  </si>
  <si>
    <t>V 328.938</t>
  </si>
  <si>
    <t>Ti 328.858</t>
  </si>
  <si>
    <t>U 328.821</t>
  </si>
  <si>
    <t>Dy 328.862</t>
  </si>
  <si>
    <t>V 329.024</t>
  </si>
  <si>
    <t>Ce 329.034</t>
  </si>
  <si>
    <t>Mo 328.901</t>
  </si>
  <si>
    <t>Yb 369.419</t>
  </si>
  <si>
    <t>Dy 369.481</t>
  </si>
  <si>
    <t>Tm 369.473</t>
  </si>
  <si>
    <t>Tb 369.295</t>
  </si>
  <si>
    <t>Nd 369.481</t>
  </si>
  <si>
    <t>Sm 369.431</t>
  </si>
  <si>
    <t>Ce 369.491</t>
  </si>
  <si>
    <t>Nb 369.589</t>
  </si>
  <si>
    <t>Dy 369.441</t>
  </si>
  <si>
    <t>V 369.587</t>
  </si>
  <si>
    <t>Rh 369.552</t>
  </si>
  <si>
    <r>
      <rPr>
        <b/>
        <sz val="13"/>
        <color rgb="FF1F4E78"/>
        <rFont val="Arial"/>
        <family val="2"/>
      </rPr>
      <t xml:space="preserve">INNO NanoLab — ICP </t>
    </r>
    <r>
      <rPr>
        <b/>
        <sz val="13"/>
        <color rgb="FF1F4E78"/>
        <rFont val="Noto Sans CJK SC"/>
        <family val="2"/>
      </rPr>
      <t xml:space="preserve">간섭 </t>
    </r>
    <r>
      <rPr>
        <b/>
        <sz val="13"/>
        <color rgb="FF1F4E78"/>
        <rFont val="Arial"/>
        <family val="2"/>
      </rPr>
      <t xml:space="preserve">DB </t>
    </r>
    <r>
      <rPr>
        <b/>
        <sz val="13"/>
        <color rgb="FF1F4E78"/>
        <rFont val="Noto Sans CJK SC"/>
        <family val="2"/>
      </rPr>
      <t xml:space="preserve">전체 내보내기 </t>
    </r>
    <r>
      <rPr>
        <b/>
        <sz val="13"/>
        <color rgb="FF1F4E78"/>
        <rFont val="Arial"/>
        <family val="2"/>
      </rPr>
      <t>(</t>
    </r>
    <r>
      <rPr>
        <b/>
        <sz val="13"/>
        <color rgb="FF1F4E78"/>
        <rFont val="Noto Sans CJK SC"/>
        <family val="2"/>
      </rPr>
      <t>설명</t>
    </r>
    <r>
      <rPr>
        <b/>
        <sz val="13"/>
        <color rgb="FF1F4E78"/>
        <rFont val="Arial"/>
        <family val="2"/>
      </rPr>
      <t>)</t>
    </r>
  </si>
  <si>
    <t>■ 구성</t>
  </si>
  <si>
    <r>
      <rPr>
        <sz val="10"/>
        <color rgb="FF000000"/>
        <rFont val="Arial"/>
        <family val="2"/>
      </rPr>
      <t xml:space="preserve">· </t>
    </r>
    <r>
      <rPr>
        <sz val="10"/>
        <color rgb="FF000000"/>
        <rFont val="Noto Sans CJK SC"/>
        <family val="2"/>
      </rPr>
      <t xml:space="preserve">대시보드 — 노란 칸에서 분석선을 고르면 그 피크의 상위 </t>
    </r>
    <r>
      <rPr>
        <sz val="10"/>
        <color rgb="FF000000"/>
        <rFont val="Arial"/>
        <family val="2"/>
      </rPr>
      <t>15</t>
    </r>
    <r>
      <rPr>
        <sz val="10"/>
        <color rgb="FF000000"/>
        <rFont val="Noto Sans CJK SC"/>
        <family val="2"/>
      </rPr>
      <t>개 간섭선이 막대그래프로 표시</t>
    </r>
    <r>
      <rPr>
        <sz val="10"/>
        <color rgb="FF000000"/>
        <rFont val="Arial"/>
        <family val="2"/>
      </rPr>
      <t>(</t>
    </r>
    <r>
      <rPr>
        <sz val="10"/>
        <color rgb="FF000000"/>
        <rFont val="Noto Sans CJK SC"/>
        <family val="2"/>
      </rPr>
      <t>인터랙티브</t>
    </r>
    <r>
      <rPr>
        <sz val="10"/>
        <color rgb="FF000000"/>
        <rFont val="Arial"/>
        <family val="2"/>
      </rPr>
      <t>).</t>
    </r>
  </si>
  <si>
    <r>
      <rPr>
        <sz val="10"/>
        <color rgb="FF000000"/>
        <rFont val="Arial"/>
        <family val="2"/>
      </rPr>
      <t xml:space="preserve">· </t>
    </r>
    <r>
      <rPr>
        <sz val="10"/>
        <color rgb="FF000000"/>
        <rFont val="Noto Sans CJK SC"/>
        <family val="2"/>
      </rPr>
      <t xml:space="preserve">피크 요약 — 전체 </t>
    </r>
    <r>
      <rPr>
        <sz val="10"/>
        <color rgb="FF000000"/>
        <rFont val="Arial"/>
        <family val="2"/>
      </rPr>
      <t>166</t>
    </r>
    <r>
      <rPr>
        <sz val="10"/>
        <color rgb="FF000000"/>
        <rFont val="Noto Sans CJK SC"/>
        <family val="2"/>
      </rPr>
      <t>개 피크의 기준강도</t>
    </r>
    <r>
      <rPr>
        <sz val="10"/>
        <color rgb="FF000000"/>
        <rFont val="Arial"/>
        <family val="2"/>
      </rPr>
      <t>·</t>
    </r>
    <r>
      <rPr>
        <sz val="10"/>
        <color rgb="FF000000"/>
        <rFont val="Noto Sans CJK SC"/>
        <family val="2"/>
      </rPr>
      <t>최악 간섭</t>
    </r>
    <r>
      <rPr>
        <sz val="10"/>
        <color rgb="FF000000"/>
        <rFont val="Arial"/>
        <family val="2"/>
      </rPr>
      <t>·</t>
    </r>
    <r>
      <rPr>
        <sz val="10"/>
        <color rgb="FF000000"/>
        <rFont val="Noto Sans CJK SC"/>
        <family val="2"/>
      </rPr>
      <t>판정</t>
    </r>
    <r>
      <rPr>
        <sz val="10"/>
        <color rgb="FF000000"/>
        <rFont val="Arial"/>
        <family val="2"/>
      </rPr>
      <t xml:space="preserve">. </t>
    </r>
    <r>
      <rPr>
        <sz val="10"/>
        <color rgb="FF000000"/>
        <rFont val="Noto Sans CJK SC"/>
        <family val="2"/>
      </rPr>
      <t>우측 그래프</t>
    </r>
    <r>
      <rPr>
        <sz val="10"/>
        <color rgb="FF000000"/>
        <rFont val="Arial"/>
        <family val="2"/>
      </rPr>
      <t>=</t>
    </r>
    <r>
      <rPr>
        <sz val="10"/>
        <color rgb="FF000000"/>
        <rFont val="Noto Sans CJK SC"/>
        <family val="2"/>
      </rPr>
      <t xml:space="preserve">원소별 가장 깨끗한 선의 </t>
    </r>
    <r>
      <rPr>
        <sz val="10"/>
        <color rgb="FF000000"/>
        <rFont val="Arial"/>
        <family val="2"/>
      </rPr>
      <t xml:space="preserve">REE </t>
    </r>
    <r>
      <rPr>
        <sz val="10"/>
        <color rgb="FF000000"/>
        <rFont val="Noto Sans CJK SC"/>
        <family val="2"/>
      </rPr>
      <t>간섭비</t>
    </r>
    <r>
      <rPr>
        <sz val="10"/>
        <color rgb="FF000000"/>
        <rFont val="Arial"/>
        <family val="2"/>
      </rPr>
      <t>.</t>
    </r>
  </si>
  <si>
    <r>
      <rPr>
        <sz val="10"/>
        <color rgb="FF000000"/>
        <rFont val="Arial"/>
        <family val="2"/>
      </rPr>
      <t xml:space="preserve">· </t>
    </r>
    <r>
      <rPr>
        <sz val="10"/>
        <color rgb="FF000000"/>
        <rFont val="Noto Sans CJK SC"/>
        <family val="2"/>
      </rPr>
      <t>원소 간섭 히트맵 — 분석원소</t>
    </r>
    <r>
      <rPr>
        <sz val="10"/>
        <color rgb="FF000000"/>
        <rFont val="Arial"/>
        <family val="2"/>
      </rPr>
      <t>(</t>
    </r>
    <r>
      <rPr>
        <sz val="10"/>
        <color rgb="FF000000"/>
        <rFont val="Noto Sans CJK SC"/>
        <family val="2"/>
      </rPr>
      <t>권장선</t>
    </r>
    <r>
      <rPr>
        <sz val="10"/>
        <color rgb="FF000000"/>
        <rFont val="Arial"/>
        <family val="2"/>
      </rPr>
      <t>)×</t>
    </r>
    <r>
      <rPr>
        <sz val="10"/>
        <color rgb="FF000000"/>
        <rFont val="Noto Sans CJK SC"/>
        <family val="2"/>
      </rPr>
      <t>간섭원소 강도비 색지도</t>
    </r>
    <r>
      <rPr>
        <sz val="10"/>
        <color rgb="FF000000"/>
        <rFont val="Arial"/>
        <family val="2"/>
      </rPr>
      <t xml:space="preserve">. </t>
    </r>
    <r>
      <rPr>
        <sz val="10"/>
        <color rgb="FF000000"/>
        <rFont val="Noto Sans CJK SC"/>
        <family val="2"/>
      </rPr>
      <t>진할수록 위험</t>
    </r>
    <r>
      <rPr>
        <sz val="10"/>
        <color rgb="FF000000"/>
        <rFont val="Arial"/>
        <family val="2"/>
      </rPr>
      <t>.</t>
    </r>
  </si>
  <si>
    <r>
      <rPr>
        <sz val="10"/>
        <color rgb="FF000000"/>
        <rFont val="Arial"/>
        <family val="2"/>
      </rPr>
      <t xml:space="preserve">· </t>
    </r>
    <r>
      <rPr>
        <sz val="10"/>
        <color rgb="FF000000"/>
        <rFont val="Noto Sans CJK SC"/>
        <family val="2"/>
      </rPr>
      <t xml:space="preserve">전체 데이터 — </t>
    </r>
    <r>
      <rPr>
        <sz val="10"/>
        <color rgb="FF000000"/>
        <rFont val="Arial"/>
        <family val="2"/>
      </rPr>
      <t>6,449</t>
    </r>
    <r>
      <rPr>
        <sz val="10"/>
        <color rgb="FF000000"/>
        <rFont val="Noto Sans CJK SC"/>
        <family val="2"/>
      </rPr>
      <t>개 간섭선 전체</t>
    </r>
    <r>
      <rPr>
        <sz val="10"/>
        <color rgb="FF000000"/>
        <rFont val="Arial"/>
        <family val="2"/>
      </rPr>
      <t>(</t>
    </r>
    <r>
      <rPr>
        <sz val="10"/>
        <color rgb="FF000000"/>
        <rFont val="Noto Sans CJK SC"/>
        <family val="2"/>
      </rPr>
      <t>원소</t>
    </r>
    <r>
      <rPr>
        <sz val="10"/>
        <color rgb="FF000000"/>
        <rFont val="Arial"/>
        <family val="2"/>
      </rPr>
      <t>·</t>
    </r>
    <r>
      <rPr>
        <sz val="10"/>
        <color rgb="FF000000"/>
        <rFont val="Noto Sans CJK SC"/>
        <family val="2"/>
      </rPr>
      <t>파장</t>
    </r>
    <r>
      <rPr>
        <sz val="10"/>
        <color rgb="FF000000"/>
        <rFont val="Arial"/>
        <family val="2"/>
      </rPr>
      <t>·Δλ·</t>
    </r>
    <r>
      <rPr>
        <sz val="10"/>
        <color rgb="FF000000"/>
        <rFont val="Noto Sans CJK SC"/>
        <family val="2"/>
      </rPr>
      <t>강도</t>
    </r>
    <r>
      <rPr>
        <sz val="10"/>
        <color rgb="FF000000"/>
        <rFont val="Arial"/>
        <family val="2"/>
      </rPr>
      <t>·</t>
    </r>
    <r>
      <rPr>
        <sz val="10"/>
        <color rgb="FF000000"/>
        <rFont val="Noto Sans CJK SC"/>
        <family val="2"/>
      </rPr>
      <t>강도비 수식</t>
    </r>
    <r>
      <rPr>
        <sz val="10"/>
        <color rgb="FF000000"/>
        <rFont val="Arial"/>
        <family val="2"/>
      </rPr>
      <t xml:space="preserve">). </t>
    </r>
    <r>
      <rPr>
        <sz val="10"/>
        <color rgb="FF000000"/>
        <rFont val="Noto Sans CJK SC"/>
        <family val="2"/>
      </rPr>
      <t>필터 사용 가능</t>
    </r>
    <r>
      <rPr>
        <sz val="10"/>
        <color rgb="FF000000"/>
        <rFont val="Arial"/>
        <family val="2"/>
      </rPr>
      <t>.</t>
    </r>
  </si>
  <si>
    <r>
      <rPr>
        <b/>
        <sz val="11"/>
        <color rgb="FF1F4E78"/>
        <rFont val="Noto Sans CJK SC"/>
        <family val="2"/>
      </rPr>
      <t xml:space="preserve">■ 강도비 </t>
    </r>
    <r>
      <rPr>
        <b/>
        <sz val="11"/>
        <color rgb="FF1F4E78"/>
        <rFont val="Arial"/>
        <family val="2"/>
      </rPr>
      <t xml:space="preserve">/ </t>
    </r>
    <r>
      <rPr>
        <b/>
        <sz val="11"/>
        <color rgb="FF1F4E78"/>
        <rFont val="Noto Sans CJK SC"/>
        <family val="2"/>
      </rPr>
      <t>판정</t>
    </r>
  </si>
  <si>
    <r>
      <rPr>
        <sz val="10"/>
        <color rgb="FF000000"/>
        <rFont val="Noto Sans CJK SC"/>
        <family val="2"/>
      </rPr>
      <t xml:space="preserve">강도비 </t>
    </r>
    <r>
      <rPr>
        <sz val="10"/>
        <color rgb="FF000000"/>
        <rFont val="Arial"/>
        <family val="2"/>
      </rPr>
      <t xml:space="preserve">= </t>
    </r>
    <r>
      <rPr>
        <sz val="10"/>
        <color rgb="FF000000"/>
        <rFont val="Noto Sans CJK SC"/>
        <family val="2"/>
      </rPr>
      <t xml:space="preserve">간섭선 강도 </t>
    </r>
    <r>
      <rPr>
        <sz val="10"/>
        <color rgb="FF000000"/>
        <rFont val="Arial"/>
        <family val="2"/>
      </rPr>
      <t xml:space="preserve">/ </t>
    </r>
    <r>
      <rPr>
        <sz val="10"/>
        <color rgb="FF000000"/>
        <rFont val="Noto Sans CJK SC"/>
        <family val="2"/>
      </rPr>
      <t>분석선 기준강도</t>
    </r>
    <r>
      <rPr>
        <sz val="10"/>
        <color rgb="FF000000"/>
        <rFont val="Arial"/>
        <family val="2"/>
      </rPr>
      <t xml:space="preserve">. </t>
    </r>
    <r>
      <rPr>
        <sz val="10"/>
        <color rgb="FF000000"/>
        <rFont val="Noto Sans CJK SC"/>
        <family val="2"/>
      </rPr>
      <t>판정</t>
    </r>
    <r>
      <rPr>
        <sz val="10"/>
        <color rgb="FF000000"/>
        <rFont val="Arial"/>
        <family val="2"/>
      </rPr>
      <t xml:space="preserve">(REE): &lt;1% Excellent · &lt;5% Good · &lt;20% Caution · </t>
    </r>
    <r>
      <rPr>
        <sz val="10"/>
        <color rgb="FF000000"/>
        <rFont val="Noto Sans CJK SC"/>
        <family val="2"/>
      </rPr>
      <t xml:space="preserve">그 이상 </t>
    </r>
    <r>
      <rPr>
        <sz val="10"/>
        <color rgb="FF000000"/>
        <rFont val="Arial"/>
        <family val="2"/>
      </rPr>
      <t>High risk.</t>
    </r>
  </si>
  <si>
    <r>
      <rPr>
        <sz val="10"/>
        <color rgb="FF000000"/>
        <rFont val="Noto Sans CJK SC"/>
        <family val="2"/>
      </rPr>
      <t>강도척도는 앱 간섭</t>
    </r>
    <r>
      <rPr>
        <sz val="10"/>
        <color rgb="FF000000"/>
        <rFont val="Arial"/>
        <family val="2"/>
      </rPr>
      <t>DB</t>
    </r>
    <r>
      <rPr>
        <sz val="10"/>
        <color rgb="FF000000"/>
        <rFont val="Noto Sans CJK SC"/>
        <family val="2"/>
      </rPr>
      <t>와 동일</t>
    </r>
    <r>
      <rPr>
        <sz val="10"/>
        <color rgb="FF000000"/>
        <rFont val="Arial"/>
        <family val="2"/>
      </rPr>
      <t>(</t>
    </r>
    <r>
      <rPr>
        <sz val="10"/>
        <color rgb="FF000000"/>
        <rFont val="Noto Sans CJK SC"/>
        <family val="2"/>
      </rPr>
      <t>원본 간섭뷰어와 검증됨</t>
    </r>
    <r>
      <rPr>
        <sz val="10"/>
        <color rgb="FF000000"/>
        <rFont val="Arial"/>
        <family val="2"/>
      </rPr>
      <t xml:space="preserve">). </t>
    </r>
    <r>
      <rPr>
        <sz val="10"/>
        <color rgb="FF000000"/>
        <rFont val="Noto Sans CJK SC"/>
        <family val="2"/>
      </rPr>
      <t>원소 간 직접 비교 유효</t>
    </r>
    <r>
      <rPr>
        <sz val="10"/>
        <color rgb="FF000000"/>
        <rFont val="Arial"/>
        <family val="2"/>
      </rPr>
      <t>.</t>
    </r>
  </si>
  <si>
    <t>■ 데이터</t>
  </si>
  <si>
    <r>
      <rPr>
        <sz val="10"/>
        <color rgb="FF000000"/>
        <rFont val="Noto Sans CJK SC"/>
        <family val="2"/>
      </rPr>
      <t xml:space="preserve">총 </t>
    </r>
    <r>
      <rPr>
        <sz val="10"/>
        <color rgb="FF000000"/>
        <rFont val="Arial"/>
        <family val="2"/>
      </rPr>
      <t>166</t>
    </r>
    <r>
      <rPr>
        <sz val="10"/>
        <color rgb="FF000000"/>
        <rFont val="Noto Sans CJK SC"/>
        <family val="2"/>
      </rPr>
      <t xml:space="preserve">개 기준피크 </t>
    </r>
    <r>
      <rPr>
        <sz val="10"/>
        <color rgb="FF000000"/>
        <rFont val="Arial"/>
        <family val="2"/>
      </rPr>
      <t xml:space="preserve">· </t>
    </r>
    <r>
      <rPr>
        <sz val="10"/>
        <color rgb="FF000000"/>
        <rFont val="Noto Sans CJK SC"/>
        <family val="2"/>
      </rPr>
      <t xml:space="preserve">기준원소 </t>
    </r>
    <r>
      <rPr>
        <sz val="10"/>
        <color rgb="FF000000"/>
        <rFont val="Arial"/>
        <family val="2"/>
      </rPr>
      <t>18</t>
    </r>
    <r>
      <rPr>
        <sz val="10"/>
        <color rgb="FF000000"/>
        <rFont val="Noto Sans CJK SC"/>
        <family val="2"/>
      </rPr>
      <t>종</t>
    </r>
    <r>
      <rPr>
        <sz val="10"/>
        <color rgb="FF000000"/>
        <rFont val="Arial"/>
        <family val="2"/>
      </rPr>
      <t xml:space="preserve">(Sc </t>
    </r>
    <r>
      <rPr>
        <sz val="10"/>
        <color rgb="FF000000"/>
        <rFont val="Noto Sans CJK SC"/>
        <family val="2"/>
      </rPr>
      <t>포함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Noto Sans CJK SC"/>
        <family val="2"/>
      </rPr>
      <t>신규</t>
    </r>
    <r>
      <rPr>
        <sz val="10"/>
        <color rgb="FF000000"/>
        <rFont val="Arial"/>
        <family val="2"/>
      </rPr>
      <t xml:space="preserve">) · </t>
    </r>
    <r>
      <rPr>
        <sz val="10"/>
        <color rgb="FF000000"/>
        <rFont val="Noto Sans CJK SC"/>
        <family val="2"/>
      </rPr>
      <t xml:space="preserve">간섭선 </t>
    </r>
    <r>
      <rPr>
        <sz val="10"/>
        <color rgb="FF000000"/>
        <rFont val="Arial"/>
        <family val="2"/>
      </rPr>
      <t>6,449</t>
    </r>
    <r>
      <rPr>
        <sz val="10"/>
        <color rgb="FF000000"/>
        <rFont val="Noto Sans CJK SC"/>
        <family val="2"/>
      </rPr>
      <t>행</t>
    </r>
    <r>
      <rPr>
        <sz val="10"/>
        <color rgb="FF000000"/>
        <rFont val="Arial"/>
        <family val="2"/>
      </rPr>
      <t xml:space="preserve">. </t>
    </r>
    <r>
      <rPr>
        <sz val="10"/>
        <color rgb="FF000000"/>
        <rFont val="Noto Sans CJK SC"/>
        <family val="2"/>
      </rPr>
      <t xml:space="preserve">앱 현재 </t>
    </r>
    <r>
      <rPr>
        <sz val="10"/>
        <color rgb="FF000000"/>
        <rFont val="Arial"/>
        <family val="2"/>
      </rPr>
      <t>DB(166</t>
    </r>
    <r>
      <rPr>
        <sz val="10"/>
        <color rgb="FF000000"/>
        <rFont val="Noto Sans CJK SC"/>
        <family val="2"/>
      </rPr>
      <t>피크</t>
    </r>
    <r>
      <rPr>
        <sz val="10"/>
        <color rgb="FF000000"/>
        <rFont val="Arial"/>
        <family val="2"/>
      </rPr>
      <t>)</t>
    </r>
    <r>
      <rPr>
        <sz val="10"/>
        <color rgb="FF000000"/>
        <rFont val="Noto Sans CJK SC"/>
        <family val="2"/>
      </rPr>
      <t>를 그대로 반영</t>
    </r>
    <r>
      <rPr>
        <sz val="10"/>
        <color rgb="FF000000"/>
        <rFont val="Arial"/>
        <family val="2"/>
      </rPr>
      <t>.</t>
    </r>
  </si>
  <si>
    <r>
      <rPr>
        <sz val="10"/>
        <color rgb="FF000000"/>
        <rFont val="Arial"/>
        <family val="2"/>
      </rPr>
      <t>Sc 8</t>
    </r>
    <r>
      <rPr>
        <sz val="10"/>
        <color rgb="FF000000"/>
        <rFont val="Noto Sans CJK SC"/>
        <family val="2"/>
      </rPr>
      <t>선</t>
    </r>
    <r>
      <rPr>
        <sz val="10"/>
        <color rgb="FF000000"/>
        <rFont val="Arial"/>
        <family val="2"/>
      </rPr>
      <t>(255.235·335.372·357.253·357.634·361.383·363.074·364.278·424.682)</t>
    </r>
    <r>
      <rPr>
        <sz val="10"/>
        <color rgb="FF000000"/>
        <rFont val="Noto Sans CJK SC"/>
        <family val="2"/>
      </rPr>
      <t>은 원본 간섭뷰어 전사분</t>
    </r>
    <r>
      <rPr>
        <sz val="10"/>
        <color rgb="FF000000"/>
        <rFont val="Arial"/>
        <family val="2"/>
      </rPr>
      <t>.</t>
    </r>
  </si>
  <si>
    <r>
      <rPr>
        <sz val="9"/>
        <color rgb="FF000000"/>
        <rFont val="Arial"/>
        <family val="2"/>
      </rPr>
      <t>© 2026 WonJeong Yu · INNO NanoLab — Synthesis &amp; ICP (</t>
    </r>
    <r>
      <rPr>
        <sz val="9"/>
        <color rgb="FF000000"/>
        <rFont val="Noto Sans CJK SC"/>
        <family val="2"/>
      </rPr>
      <t>내부 연구용</t>
    </r>
    <r>
      <rPr>
        <sz val="9"/>
        <color rgb="FF000000"/>
        <rFont val="Arial"/>
        <family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</si>
</sst>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.0"/>
    <numFmt numFmtId="177" formatCode="0.000"/>
    <numFmt numFmtId="178" formatCode="0.0%"/>
    <numFmt numFmtId="179" formatCode="0.000;[Red]\-0.000"/>
  </numFmts>
  <fonts count="35">
    <font>
      <sz val="11"/>
      <color theme="1"/>
      <name val="Calibri"/>
      <family val="2"/>
      <charset val="1"/>
    </font>
    <font>
      <b/>
      <sz val="14"/>
      <color rgb="FF1F4E78"/>
      <name val="Arial"/>
      <charset val="1"/>
    </font>
    <font>
      <b/>
      <sz val="14"/>
      <color rgb="FF1F4E78"/>
      <name val="Noto Sans CJK SC"/>
      <family val="2"/>
    </font>
    <font>
      <i/>
      <sz val="9"/>
      <color rgb="FF666666"/>
      <name val="Noto Sans CJK SC"/>
      <family val="2"/>
    </font>
    <font>
      <i/>
      <sz val="9"/>
      <color rgb="FF666666"/>
      <name val="Arial"/>
      <family val="2"/>
    </font>
    <font>
      <b/>
      <sz val="11"/>
      <name val="Noto Sans CJK SC"/>
      <family val="2"/>
    </font>
    <font>
      <b/>
      <sz val="12"/>
      <name val="Arial"/>
      <family val="2"/>
    </font>
    <font>
      <b/>
      <sz val="10"/>
      <name val="Noto Sans CJK SC"/>
      <family val="2"/>
    </font>
    <font>
      <b/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0"/>
      <color rgb="FFFFFFFF"/>
      <name val="Noto Sans CJK SC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3"/>
      <color rgb="FF1F4E78"/>
      <name val="Arial"/>
      <family val="2"/>
    </font>
    <font>
      <b/>
      <sz val="13"/>
      <color rgb="FF1F4E78"/>
      <name val="Noto Sans CJK SC"/>
      <family val="2"/>
    </font>
    <font>
      <b/>
      <sz val="9"/>
      <color rgb="FF888888"/>
      <name val="Noto Sans CJK SC"/>
      <family val="2"/>
    </font>
    <font>
      <b/>
      <sz val="9"/>
      <color rgb="FF888888"/>
      <name val="Arial"/>
      <family val="2"/>
    </font>
    <font>
      <sz val="9.5"/>
      <name val="Arial"/>
      <family val="2"/>
    </font>
    <font>
      <b/>
      <sz val="10"/>
      <color rgb="FF9C0006"/>
      <name val="Arial"/>
      <family val="2"/>
    </font>
    <font>
      <sz val="9"/>
      <name val="Arial"/>
      <family val="2"/>
    </font>
    <font>
      <b/>
      <sz val="10"/>
      <color rgb="FF9C6500"/>
      <name val="Arial"/>
      <family val="2"/>
    </font>
    <font>
      <b/>
      <sz val="10"/>
      <color rgb="FF1B7A3D"/>
      <name val="Arial"/>
      <family val="2"/>
    </font>
    <font>
      <b/>
      <sz val="10"/>
      <color rgb="FF1F4E78"/>
      <name val="Arial"/>
      <family val="2"/>
    </font>
    <font>
      <b/>
      <sz val="12"/>
      <color rgb="FF1F4E78"/>
      <name val="Noto Sans CJK SC"/>
      <family val="2"/>
    </font>
    <font>
      <b/>
      <sz val="12"/>
      <color rgb="FF1F4E78"/>
      <name val="Arial"/>
      <family val="2"/>
    </font>
    <font>
      <sz val="9"/>
      <color rgb="FFBBBBBB"/>
      <name val="Arial"/>
      <family val="2"/>
    </font>
    <font>
      <sz val="10"/>
      <color rgb="FF000000"/>
      <name val="Arial"/>
      <family val="2"/>
    </font>
    <font>
      <b/>
      <sz val="11"/>
      <color rgb="FF1F4E78"/>
      <name val="Noto Sans CJK SC"/>
      <family val="2"/>
    </font>
    <font>
      <sz val="10"/>
      <color rgb="FF000000"/>
      <name val="Noto Sans CJK SC"/>
      <family val="2"/>
    </font>
    <font>
      <b/>
      <sz val="11"/>
      <color rgb="FF1F4E78"/>
      <name val="Arial"/>
      <family val="2"/>
    </font>
    <font>
      <sz val="9"/>
      <color rgb="FF000000"/>
      <name val="Arial"/>
      <family val="2"/>
    </font>
    <font>
      <sz val="9"/>
      <color rgb="FF000000"/>
      <name val="Noto Sans CJK SC"/>
      <family val="2"/>
    </font>
    <font>
      <b/>
      <sz val="14"/>
      <color rgb="FF1F4E78"/>
      <name val="Arial"/>
      <family val="2"/>
    </font>
    <font>
      <sz val="8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FFF2CC"/>
        <bgColor rgb="FFFFEB9C"/>
      </patternFill>
    </fill>
    <fill>
      <patternFill patternType="solid">
        <fgColor rgb="FF1F4E78"/>
        <bgColor rgb="FF003366"/>
      </patternFill>
    </fill>
    <fill>
      <patternFill patternType="solid">
        <fgColor rgb="FFFFC7CE"/>
        <bgColor rgb="FFD9D9D9"/>
      </patternFill>
    </fill>
    <fill>
      <patternFill patternType="solid">
        <fgColor rgb="FFFFEB9C"/>
        <bgColor rgb="FFFFF2CC"/>
      </patternFill>
    </fill>
    <fill>
      <patternFill patternType="solid">
        <fgColor rgb="FFC6EFCE"/>
        <bgColor rgb="FFD9E1F2"/>
      </patternFill>
    </fill>
    <fill>
      <patternFill patternType="solid">
        <fgColor rgb="FFD9E1F2"/>
        <bgColor rgb="FFD9D9D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2">
    <xf numFmtId="0" fontId="0" fillId="0" borderId="0" xfId="0"/>
    <xf numFmtId="1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0" fontId="9" fillId="0" borderId="1" xfId="0" applyNumberFormat="1" applyFont="1" applyBorder="1" applyAlignment="1">
      <alignment horizontal="center" vertical="center"/>
    </xf>
    <xf numFmtId="176" fontId="9" fillId="0" borderId="1" xfId="0" applyNumberFormat="1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" fillId="0" borderId="0" xfId="0" applyFont="1"/>
    <xf numFmtId="0" fontId="0" fillId="0" borderId="0" xfId="0"/>
    <xf numFmtId="0" fontId="3" fillId="0" borderId="0" xfId="0" applyFont="1"/>
    <xf numFmtId="0" fontId="5" fillId="0" borderId="0" xfId="0" applyFont="1"/>
    <xf numFmtId="0" fontId="7" fillId="0" borderId="1" xfId="0" applyFont="1" applyBorder="1" applyAlignment="1">
      <alignment horizontal="left" vertical="center"/>
    </xf>
    <xf numFmtId="0" fontId="0" fillId="0" borderId="1" xfId="0" applyBorder="1"/>
    <xf numFmtId="0" fontId="11" fillId="3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10" fontId="13" fillId="0" borderId="1" xfId="0" applyNumberFormat="1" applyFont="1" applyBorder="1" applyAlignment="1">
      <alignment horizontal="center" vertical="center"/>
    </xf>
    <xf numFmtId="0" fontId="14" fillId="0" borderId="0" xfId="0" applyFont="1"/>
    <xf numFmtId="0" fontId="12" fillId="3" borderId="1" xfId="0" applyFont="1" applyFill="1" applyBorder="1" applyAlignment="1">
      <alignment horizontal="center" vertical="center"/>
    </xf>
    <xf numFmtId="0" fontId="16" fillId="0" borderId="0" xfId="0" applyFont="1"/>
    <xf numFmtId="0" fontId="18" fillId="0" borderId="1" xfId="0" applyFont="1" applyBorder="1" applyAlignment="1">
      <alignment horizontal="center" vertical="center"/>
    </xf>
    <xf numFmtId="177" fontId="18" fillId="0" borderId="1" xfId="0" applyNumberFormat="1" applyFont="1" applyBorder="1" applyAlignment="1">
      <alignment horizontal="center" vertical="center"/>
    </xf>
    <xf numFmtId="176" fontId="18" fillId="0" borderId="1" xfId="0" applyNumberFormat="1" applyFont="1" applyBorder="1" applyAlignment="1">
      <alignment horizontal="center" vertical="center"/>
    </xf>
    <xf numFmtId="10" fontId="18" fillId="0" borderId="1" xfId="0" applyNumberFormat="1" applyFont="1" applyBorder="1" applyAlignment="1">
      <alignment horizontal="center" vertical="center"/>
    </xf>
    <xf numFmtId="0" fontId="19" fillId="4" borderId="1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left" vertical="center"/>
    </xf>
    <xf numFmtId="0" fontId="20" fillId="0" borderId="0" xfId="0" applyFont="1"/>
    <xf numFmtId="10" fontId="20" fillId="0" borderId="0" xfId="0" applyNumberFormat="1" applyFont="1"/>
    <xf numFmtId="0" fontId="21" fillId="5" borderId="1" xfId="0" applyFont="1" applyFill="1" applyBorder="1" applyAlignment="1">
      <alignment horizontal="center" vertical="center"/>
    </xf>
    <xf numFmtId="0" fontId="22" fillId="6" borderId="1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4" fillId="0" borderId="0" xfId="0" applyFont="1"/>
    <xf numFmtId="0" fontId="8" fillId="0" borderId="1" xfId="0" applyFont="1" applyBorder="1" applyAlignment="1">
      <alignment horizontal="left" vertical="center"/>
    </xf>
    <xf numFmtId="178" fontId="20" fillId="0" borderId="1" xfId="0" applyNumberFormat="1" applyFont="1" applyBorder="1" applyAlignment="1">
      <alignment horizontal="center" vertical="center"/>
    </xf>
    <xf numFmtId="178" fontId="26" fillId="0" borderId="1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177" fontId="20" fillId="0" borderId="1" xfId="0" applyNumberFormat="1" applyFont="1" applyBorder="1" applyAlignment="1">
      <alignment horizontal="center" vertical="center"/>
    </xf>
    <xf numFmtId="176" fontId="20" fillId="0" borderId="1" xfId="0" applyNumberFormat="1" applyFont="1" applyBorder="1" applyAlignment="1">
      <alignment horizontal="center" vertical="center"/>
    </xf>
    <xf numFmtId="179" fontId="20" fillId="0" borderId="1" xfId="0" applyNumberFormat="1" applyFont="1" applyBorder="1" applyAlignment="1">
      <alignment horizontal="center" vertical="center"/>
    </xf>
    <xf numFmtId="10" fontId="20" fillId="0" borderId="1" xfId="0" applyNumberFormat="1" applyFont="1" applyBorder="1" applyAlignment="1">
      <alignment horizontal="center" vertical="center"/>
    </xf>
    <xf numFmtId="0" fontId="27" fillId="0" borderId="0" xfId="0" applyFont="1"/>
    <xf numFmtId="0" fontId="28" fillId="0" borderId="0" xfId="0" applyFont="1"/>
    <xf numFmtId="0" fontId="29" fillId="0" borderId="0" xfId="0" applyFont="1"/>
    <xf numFmtId="0" fontId="3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1B7A3D"/>
      <rgbColor rgb="FF000080"/>
      <rgbColor rgb="FF9C6500"/>
      <rgbColor rgb="FF800080"/>
      <rgbColor rgb="FF008080"/>
      <rgbColor rgb="FFBBBBBB"/>
      <rgbColor rgb="FF878787"/>
      <rgbColor rgb="FF9999FF"/>
      <rgbColor rgb="FF993366"/>
      <rgbColor rgb="FFFFF2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4472C4"/>
      <rgbColor rgb="FF33CCCC"/>
      <rgbColor rgb="FF99CC00"/>
      <rgbColor rgb="FFFFCC00"/>
      <rgbColor rgb="FFFF9900"/>
      <rgbColor rgb="FFFF6600"/>
      <rgbColor rgb="FF666666"/>
      <rgbColor rgb="FF888888"/>
      <rgbColor rgb="FF003366"/>
      <rgbColor rgb="FF70AD47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ko-KR" altLang="en-US" sz="1800" b="1" strike="noStrike" spc="-1">
                <a:solidFill>
                  <a:srgbClr val="000000"/>
                </a:solidFill>
                <a:latin typeface="Calibri"/>
              </a:rPr>
              <a:t>선택 피크의 주요 간섭선 </a:t>
            </a:r>
            <a:r>
              <a:rPr lang="en-US" altLang="ko-KR" sz="1800" b="1" strike="noStrike" spc="-1">
                <a:solidFill>
                  <a:srgbClr val="000000"/>
                </a:solidFill>
                <a:latin typeface="Calibri"/>
              </a:rPr>
              <a:t>— </a:t>
            </a:r>
            <a:r>
              <a:rPr lang="ko-KR" altLang="en-US" sz="1800" b="1" strike="noStrike" spc="-1">
                <a:solidFill>
                  <a:srgbClr val="000000"/>
                </a:solidFill>
                <a:latin typeface="Calibri"/>
              </a:rPr>
              <a:t>강도비</a:t>
            </a:r>
            <a:r>
              <a:rPr lang="en-US" altLang="ko-KR" sz="1800" b="1" strike="noStrike" spc="-1">
                <a:solidFill>
                  <a:srgbClr val="000000"/>
                </a:solidFill>
                <a:latin typeface="Calibri"/>
              </a:rPr>
              <a:t>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대시보드!$B$12</c:f>
              <c:strCache>
                <c:ptCount val="1"/>
                <c:pt idx="0">
                  <c:v>강도비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대시보드!$A$13:$A$27</c:f>
              <c:strCache>
                <c:ptCount val="15"/>
                <c:pt idx="0">
                  <c:v>Co 345.351</c:v>
                </c:pt>
                <c:pt idx="1">
                  <c:v>Tb 345.406</c:v>
                </c:pt>
                <c:pt idx="2">
                  <c:v>Yb 345.407</c:v>
                </c:pt>
                <c:pt idx="3">
                  <c:v>Gd 345.415</c:v>
                </c:pt>
                <c:pt idx="4">
                  <c:v>La 345.316</c:v>
                </c:pt>
                <c:pt idx="5">
                  <c:v>La 345.218</c:v>
                </c:pt>
                <c:pt idx="6">
                  <c:v>Ni 345.288</c:v>
                </c:pt>
                <c:pt idx="7">
                  <c:v>Th 345.268</c:v>
                </c:pt>
                <c:pt idx="8">
                  <c:v>Ti 345.248</c:v>
                </c:pt>
                <c:pt idx="9">
                  <c:v>Re 345.187</c:v>
                </c:pt>
                <c:pt idx="10">
                  <c:v>Sm 345.356</c:v>
                </c:pt>
                <c:pt idx="11">
                  <c:v>Cr 345.332</c:v>
                </c:pt>
                <c:pt idx="12">
                  <c:v>Sm 345.277</c:v>
                </c:pt>
                <c:pt idx="13">
                  <c:v>Nb 345.234</c:v>
                </c:pt>
                <c:pt idx="14">
                  <c:v>U 345.357</c:v>
                </c:pt>
              </c:strCache>
            </c:strRef>
          </c:cat>
          <c:val>
            <c:numRef>
              <c:f>대시보드!$B$13:$B$27</c:f>
              <c:numCache>
                <c:formatCode>0.00%</c:formatCode>
                <c:ptCount val="15"/>
                <c:pt idx="0">
                  <c:v>0.38938763036253199</c:v>
                </c:pt>
                <c:pt idx="1">
                  <c:v>0.248202620621156</c:v>
                </c:pt>
                <c:pt idx="2">
                  <c:v>0.22857470298353499</c:v>
                </c:pt>
                <c:pt idx="3">
                  <c:v>0.13663139397180701</c:v>
                </c:pt>
                <c:pt idx="4">
                  <c:v>0.10859151163234899</c:v>
                </c:pt>
                <c:pt idx="5">
                  <c:v>9.8269473201665597E-2</c:v>
                </c:pt>
                <c:pt idx="6">
                  <c:v>6.4835542651946396E-2</c:v>
                </c:pt>
                <c:pt idx="7">
                  <c:v>5.1014249150017198E-2</c:v>
                </c:pt>
                <c:pt idx="8">
                  <c:v>5.0318982312717302E-2</c:v>
                </c:pt>
                <c:pt idx="9">
                  <c:v>5.0219658478817299E-2</c:v>
                </c:pt>
                <c:pt idx="10">
                  <c:v>4.6949612255033003E-2</c:v>
                </c:pt>
                <c:pt idx="11">
                  <c:v>3.6444206746380402E-2</c:v>
                </c:pt>
                <c:pt idx="12">
                  <c:v>3.4259082400580697E-2</c:v>
                </c:pt>
                <c:pt idx="13">
                  <c:v>2.5319937349581701E-2</c:v>
                </c:pt>
                <c:pt idx="14">
                  <c:v>2.3203575658020399E-2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1E-4BC7-81FA-D7D1FB9412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167672"/>
        <c:axId val="82160030"/>
      </c:barChart>
      <c:catAx>
        <c:axId val="481676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ko-KR"/>
          </a:p>
        </c:txPr>
        <c:crossAx val="82160030"/>
        <c:crosses val="autoZero"/>
        <c:auto val="1"/>
        <c:lblAlgn val="ctr"/>
        <c:lblOffset val="100"/>
        <c:noMultiLvlLbl val="0"/>
      </c:catAx>
      <c:valAx>
        <c:axId val="8216003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ko-KR"/>
          </a:p>
        </c:txPr>
        <c:crossAx val="4816767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ko-KR" altLang="en-US" sz="1800" b="1" strike="noStrike" spc="-1">
                <a:solidFill>
                  <a:srgbClr val="000000"/>
                </a:solidFill>
                <a:latin typeface="Calibri"/>
              </a:rPr>
              <a:t>원소별 </a:t>
            </a:r>
            <a:r>
              <a:rPr lang="en-US" altLang="ko-KR" sz="1800" b="1" strike="noStrike" spc="-1">
                <a:solidFill>
                  <a:srgbClr val="000000"/>
                </a:solidFill>
                <a:latin typeface="Calibri"/>
              </a:rPr>
              <a:t>'</a:t>
            </a:r>
            <a:r>
              <a:rPr lang="ko-KR" altLang="en-US" sz="1800" b="1" strike="noStrike" spc="-1">
                <a:solidFill>
                  <a:srgbClr val="000000"/>
                </a:solidFill>
                <a:latin typeface="Calibri"/>
              </a:rPr>
              <a:t>가장 깨끗한 선</a:t>
            </a:r>
            <a:r>
              <a:rPr lang="en-US" altLang="ko-KR" sz="1800" b="1" strike="noStrike" spc="-1">
                <a:solidFill>
                  <a:srgbClr val="000000"/>
                </a:solidFill>
                <a:latin typeface="Calibri"/>
              </a:rPr>
              <a:t>'</a:t>
            </a:r>
            <a:r>
              <a:rPr lang="ko-KR" altLang="en-US" sz="1800" b="1" strike="noStrike" spc="-1">
                <a:solidFill>
                  <a:srgbClr val="000000"/>
                </a:solidFill>
                <a:latin typeface="Calibri"/>
              </a:rPr>
              <a:t>의 </a:t>
            </a: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REE </a:t>
            </a:r>
            <a:r>
              <a:rPr lang="ko-KR" altLang="en-US" sz="1800" b="1" strike="noStrike" spc="-1">
                <a:solidFill>
                  <a:srgbClr val="000000"/>
                </a:solidFill>
                <a:latin typeface="Calibri"/>
              </a:rPr>
              <a:t>간섭비 </a:t>
            </a:r>
            <a:r>
              <a:rPr lang="en-US" altLang="ko-KR" sz="1800" b="1" strike="noStrike" spc="-1">
                <a:solidFill>
                  <a:srgbClr val="000000"/>
                </a:solidFill>
                <a:latin typeface="Calibri"/>
              </a:rPr>
              <a:t>(</a:t>
            </a:r>
            <a:r>
              <a:rPr lang="ko-KR" altLang="en-US" sz="1800" b="1" strike="noStrike" spc="-1">
                <a:solidFill>
                  <a:srgbClr val="000000"/>
                </a:solidFill>
                <a:latin typeface="Calibri"/>
              </a:rPr>
              <a:t>낮을수록 측정 용이</a:t>
            </a:r>
            <a:r>
              <a:rPr lang="en-US" altLang="ko-KR" sz="1800" b="1" strike="noStrike" spc="-1">
                <a:solidFill>
                  <a:srgbClr val="000000"/>
                </a:solidFill>
                <a:latin typeface="Calibri"/>
              </a:rPr>
              <a:t>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'피크 요약'!$M$4</c:f>
              <c:strCache>
                <c:ptCount val="1"/>
                <c:pt idx="0">
                  <c:v>최소 달성 REE간섭비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'피크 요약'!$L$5:$L$22</c:f>
              <c:strCache>
                <c:ptCount val="18"/>
                <c:pt idx="0">
                  <c:v>Co 231.16</c:v>
                </c:pt>
                <c:pt idx="1">
                  <c:v>Fe 239.56</c:v>
                </c:pt>
                <c:pt idx="2">
                  <c:v>Lu 219.56</c:v>
                </c:pt>
                <c:pt idx="3">
                  <c:v>Ni 216.56</c:v>
                </c:pt>
                <c:pt idx="4">
                  <c:v>Ta 226.14</c:v>
                </c:pt>
                <c:pt idx="5">
                  <c:v>Yb 211.67</c:v>
                </c:pt>
                <c:pt idx="6">
                  <c:v>Dy 353.17</c:v>
                </c:pt>
                <c:pt idx="7">
                  <c:v>Sc 361.38</c:v>
                </c:pt>
                <c:pt idx="8">
                  <c:v>Y 371.03</c:v>
                </c:pt>
                <c:pt idx="9">
                  <c:v>La 379.48</c:v>
                </c:pt>
                <c:pt idx="10">
                  <c:v>Er 369.26</c:v>
                </c:pt>
                <c:pt idx="11">
                  <c:v>Tm 313.12</c:v>
                </c:pt>
                <c:pt idx="12">
                  <c:v>Tb 350.91</c:v>
                </c:pt>
                <c:pt idx="13">
                  <c:v>Ho 341.64</c:v>
                </c:pt>
                <c:pt idx="14">
                  <c:v>Pr 422.53</c:v>
                </c:pt>
                <c:pt idx="15">
                  <c:v>Gd 376.84</c:v>
                </c:pt>
                <c:pt idx="16">
                  <c:v>Ce 422.26</c:v>
                </c:pt>
                <c:pt idx="17">
                  <c:v>Nd 430.36</c:v>
                </c:pt>
              </c:strCache>
            </c:strRef>
          </c:cat>
          <c:val>
            <c:numRef>
              <c:f>'피크 요약'!$M$5:$M$22</c:f>
              <c:numCache>
                <c:formatCode>0.00%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3.8024893995349499E-3</c:v>
                </c:pt>
                <c:pt idx="7">
                  <c:v>4.7670629876424E-3</c:v>
                </c:pt>
                <c:pt idx="8">
                  <c:v>9.9073016165377795E-3</c:v>
                </c:pt>
                <c:pt idx="9">
                  <c:v>1.76393966592964E-2</c:v>
                </c:pt>
                <c:pt idx="10">
                  <c:v>1.9557746555562298E-2</c:v>
                </c:pt>
                <c:pt idx="11">
                  <c:v>2.35545128440523E-2</c:v>
                </c:pt>
                <c:pt idx="12">
                  <c:v>2.7587655484743501E-2</c:v>
                </c:pt>
                <c:pt idx="13">
                  <c:v>3.8840486020304703E-2</c:v>
                </c:pt>
                <c:pt idx="14">
                  <c:v>5.4284003693230998E-2</c:v>
                </c:pt>
                <c:pt idx="15">
                  <c:v>5.59697541591146E-2</c:v>
                </c:pt>
                <c:pt idx="16">
                  <c:v>8.5883165070325299E-2</c:v>
                </c:pt>
                <c:pt idx="17">
                  <c:v>0.116003185035185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9D-4DA0-B886-488A62235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139027"/>
        <c:axId val="40940398"/>
      </c:barChart>
      <c:catAx>
        <c:axId val="531390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ko-KR"/>
          </a:p>
        </c:txPr>
        <c:crossAx val="40940398"/>
        <c:crosses val="autoZero"/>
        <c:auto val="1"/>
        <c:lblAlgn val="ctr"/>
        <c:lblOffset val="100"/>
        <c:noMultiLvlLbl val="0"/>
      </c:catAx>
      <c:valAx>
        <c:axId val="4094039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ko-KR"/>
          </a:p>
        </c:txPr>
        <c:crossAx val="5313902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</xdr:row>
      <xdr:rowOff>106920</xdr:rowOff>
    </xdr:from>
    <xdr:to>
      <xdr:col>24</xdr:col>
      <xdr:colOff>4320</xdr:colOff>
      <xdr:row>24</xdr:row>
      <xdr:rowOff>28080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23</xdr:row>
      <xdr:rowOff>125640</xdr:rowOff>
    </xdr:from>
    <xdr:to>
      <xdr:col>21</xdr:col>
      <xdr:colOff>459720</xdr:colOff>
      <xdr:row>44</xdr:row>
      <xdr:rowOff>84960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7"/>
  <sheetViews>
    <sheetView showGridLines="0" tabSelected="1" zoomScaleNormal="100" workbookViewId="0">
      <selection activeCell="D11" sqref="D11"/>
    </sheetView>
  </sheetViews>
  <sheetFormatPr defaultColWidth="8.7109375" defaultRowHeight="15"/>
  <cols>
    <col min="1" max="1" width="22" customWidth="1"/>
    <col min="2" max="2" width="10" customWidth="1"/>
    <col min="3" max="3" width="3" customWidth="1"/>
    <col min="4" max="5" width="6" customWidth="1"/>
    <col min="6" max="6" width="4" customWidth="1"/>
    <col min="7" max="14" width="3" customWidth="1"/>
    <col min="15" max="15" width="13" hidden="1" customWidth="1"/>
  </cols>
  <sheetData>
    <row r="1" spans="1:15" ht="18">
      <c r="A1" s="6" t="s">
        <v>0</v>
      </c>
      <c r="O1" s="7">
        <f>MATCH($C$4,피크Top!$A:$A,0)</f>
        <v>64</v>
      </c>
    </row>
    <row r="2" spans="1:15">
      <c r="A2" s="8" t="s">
        <v>1</v>
      </c>
    </row>
    <row r="4" spans="1:15" ht="15.75">
      <c r="A4" s="9" t="s">
        <v>2</v>
      </c>
      <c r="C4" s="5" t="s">
        <v>1259</v>
      </c>
      <c r="D4" s="5"/>
      <c r="E4" s="5"/>
    </row>
    <row r="6" spans="1:15">
      <c r="A6" s="10" t="s">
        <v>4</v>
      </c>
      <c r="B6" s="11"/>
      <c r="C6" s="4">
        <f>INDEX(피크Top!$AG:$AG,$O$1)</f>
        <v>13088.5</v>
      </c>
      <c r="D6" s="4"/>
      <c r="E6" s="4"/>
    </row>
    <row r="7" spans="1:15">
      <c r="A7" s="10" t="s">
        <v>5</v>
      </c>
      <c r="B7" s="11"/>
      <c r="C7" s="3">
        <f>INDEX(피크Top!$AH:$AH,$O$1)</f>
        <v>0.22857470298353499</v>
      </c>
      <c r="D7" s="3"/>
      <c r="E7" s="3"/>
    </row>
    <row r="8" spans="1:15">
      <c r="A8" s="10" t="s">
        <v>6</v>
      </c>
      <c r="B8" s="11"/>
      <c r="C8" s="2" t="str">
        <f>INDEX(피크Top!$AI:$AI,$O$1)</f>
        <v>High risk</v>
      </c>
      <c r="D8" s="2"/>
      <c r="E8" s="2"/>
    </row>
    <row r="9" spans="1:15">
      <c r="A9" s="10" t="s">
        <v>7</v>
      </c>
      <c r="B9" s="11"/>
      <c r="C9" s="1">
        <f>INDEX(피크Top!$AK:$AK,$O$1)</f>
        <v>39</v>
      </c>
      <c r="D9" s="1"/>
      <c r="E9" s="1"/>
    </row>
    <row r="11" spans="1:15">
      <c r="A11" s="9" t="s">
        <v>8</v>
      </c>
    </row>
    <row r="12" spans="1:15">
      <c r="A12" s="12" t="s">
        <v>9</v>
      </c>
      <c r="B12" s="12" t="s">
        <v>10</v>
      </c>
    </row>
    <row r="13" spans="1:15">
      <c r="A13" s="13" t="str">
        <f>INDEX(피크Top!$B:$P,$O$1,1)</f>
        <v>Co 345.351</v>
      </c>
      <c r="B13" s="14">
        <f>INDEX(피크Top!$Q:$AE,$O$1,1)</f>
        <v>0.38938763036253199</v>
      </c>
    </row>
    <row r="14" spans="1:15">
      <c r="A14" s="13" t="str">
        <f>INDEX(피크Top!$B:$P,$O$1,2)</f>
        <v>Tb 345.406</v>
      </c>
      <c r="B14" s="14">
        <f>INDEX(피크Top!$Q:$AE,$O$1,2)</f>
        <v>0.248202620621156</v>
      </c>
    </row>
    <row r="15" spans="1:15">
      <c r="A15" s="13" t="str">
        <f>INDEX(피크Top!$B:$P,$O$1,3)</f>
        <v>Yb 345.407</v>
      </c>
      <c r="B15" s="14">
        <f>INDEX(피크Top!$Q:$AE,$O$1,3)</f>
        <v>0.22857470298353499</v>
      </c>
    </row>
    <row r="16" spans="1:15">
      <c r="A16" s="13" t="str">
        <f>INDEX(피크Top!$B:$P,$O$1,4)</f>
        <v>Gd 345.415</v>
      </c>
      <c r="B16" s="14">
        <f>INDEX(피크Top!$Q:$AE,$O$1,4)</f>
        <v>0.13663139397180701</v>
      </c>
    </row>
    <row r="17" spans="1:2">
      <c r="A17" s="13" t="str">
        <f>INDEX(피크Top!$B:$P,$O$1,5)</f>
        <v>La 345.316</v>
      </c>
      <c r="B17" s="14">
        <f>INDEX(피크Top!$Q:$AE,$O$1,5)</f>
        <v>0.10859151163234899</v>
      </c>
    </row>
    <row r="18" spans="1:2">
      <c r="A18" s="13" t="str">
        <f>INDEX(피크Top!$B:$P,$O$1,6)</f>
        <v>La 345.218</v>
      </c>
      <c r="B18" s="14">
        <f>INDEX(피크Top!$Q:$AE,$O$1,6)</f>
        <v>9.8269473201665597E-2</v>
      </c>
    </row>
    <row r="19" spans="1:2">
      <c r="A19" s="13" t="str">
        <f>INDEX(피크Top!$B:$P,$O$1,7)</f>
        <v>Ni 345.288</v>
      </c>
      <c r="B19" s="14">
        <f>INDEX(피크Top!$Q:$AE,$O$1,7)</f>
        <v>6.4835542651946396E-2</v>
      </c>
    </row>
    <row r="20" spans="1:2">
      <c r="A20" s="13" t="str">
        <f>INDEX(피크Top!$B:$P,$O$1,8)</f>
        <v>Th 345.268</v>
      </c>
      <c r="B20" s="14">
        <f>INDEX(피크Top!$Q:$AE,$O$1,8)</f>
        <v>5.1014249150017198E-2</v>
      </c>
    </row>
    <row r="21" spans="1:2">
      <c r="A21" s="13" t="str">
        <f>INDEX(피크Top!$B:$P,$O$1,9)</f>
        <v>Ti 345.248</v>
      </c>
      <c r="B21" s="14">
        <f>INDEX(피크Top!$Q:$AE,$O$1,9)</f>
        <v>5.0318982312717302E-2</v>
      </c>
    </row>
    <row r="22" spans="1:2">
      <c r="A22" s="13" t="str">
        <f>INDEX(피크Top!$B:$P,$O$1,10)</f>
        <v>Re 345.187</v>
      </c>
      <c r="B22" s="14">
        <f>INDEX(피크Top!$Q:$AE,$O$1,10)</f>
        <v>5.0219658478817299E-2</v>
      </c>
    </row>
    <row r="23" spans="1:2">
      <c r="A23" s="13" t="str">
        <f>INDEX(피크Top!$B:$P,$O$1,11)</f>
        <v>Sm 345.356</v>
      </c>
      <c r="B23" s="14">
        <f>INDEX(피크Top!$Q:$AE,$O$1,11)</f>
        <v>4.6949612255033003E-2</v>
      </c>
    </row>
    <row r="24" spans="1:2">
      <c r="A24" s="13" t="str">
        <f>INDEX(피크Top!$B:$P,$O$1,12)</f>
        <v>Cr 345.332</v>
      </c>
      <c r="B24" s="14">
        <f>INDEX(피크Top!$Q:$AE,$O$1,12)</f>
        <v>3.6444206746380402E-2</v>
      </c>
    </row>
    <row r="25" spans="1:2">
      <c r="A25" s="13" t="str">
        <f>INDEX(피크Top!$B:$P,$O$1,13)</f>
        <v>Sm 345.277</v>
      </c>
      <c r="B25" s="14">
        <f>INDEX(피크Top!$Q:$AE,$O$1,13)</f>
        <v>3.4259082400580697E-2</v>
      </c>
    </row>
    <row r="26" spans="1:2">
      <c r="A26" s="13" t="str">
        <f>INDEX(피크Top!$B:$P,$O$1,14)</f>
        <v>Nb 345.234</v>
      </c>
      <c r="B26" s="14">
        <f>INDEX(피크Top!$Q:$AE,$O$1,14)</f>
        <v>2.5319937349581701E-2</v>
      </c>
    </row>
    <row r="27" spans="1:2">
      <c r="A27" s="13" t="str">
        <f>INDEX(피크Top!$B:$P,$O$1,15)</f>
        <v>U 345.357</v>
      </c>
      <c r="B27" s="14">
        <f>INDEX(피크Top!$Q:$AE,$O$1,15)</f>
        <v>2.3203575658020399E-2</v>
      </c>
    </row>
  </sheetData>
  <mergeCells count="5">
    <mergeCell ref="C4:E4"/>
    <mergeCell ref="C6:E6"/>
    <mergeCell ref="C7:E7"/>
    <mergeCell ref="C8:E8"/>
    <mergeCell ref="C9:E9"/>
  </mergeCells>
  <phoneticPr fontId="34" type="noConversion"/>
  <pageMargins left="0.75" right="0.75" top="1" bottom="1" header="0.511811023622047" footer="0.511811023622047"/>
  <pageSetup paperSize="9" orientation="portrait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000-000000000000}">
          <x14:formula1>
            <xm:f>피크Top!$A$2:$A$167</xm:f>
          </x14:formula1>
          <x14:formula2>
            <xm:f>0</xm:f>
          </x14:formula2>
          <xm:sqref>C4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70"/>
  <sheetViews>
    <sheetView zoomScaleNormal="100" workbookViewId="0">
      <pane ySplit="4" topLeftCell="A5" activePane="bottomLeft" state="frozen"/>
      <selection pane="bottomLeft" activeCell="M8" sqref="M8"/>
    </sheetView>
  </sheetViews>
  <sheetFormatPr defaultColWidth="8.7109375" defaultRowHeight="15"/>
  <cols>
    <col min="1" max="1" width="10" customWidth="1"/>
    <col min="2" max="2" width="11" customWidth="1"/>
    <col min="3" max="3" width="6" customWidth="1"/>
    <col min="4" max="4" width="15" customWidth="1"/>
    <col min="5" max="5" width="10" customWidth="1"/>
    <col min="6" max="6" width="13" customWidth="1"/>
    <col min="7" max="7" width="12" customWidth="1"/>
    <col min="8" max="8" width="11" customWidth="1"/>
    <col min="9" max="9" width="12" customWidth="1"/>
    <col min="10" max="10" width="26" customWidth="1"/>
    <col min="12" max="12" width="3" customWidth="1"/>
    <col min="13" max="13" width="13" customWidth="1"/>
  </cols>
  <sheetData>
    <row r="1" spans="1:13" ht="16.5">
      <c r="A1" s="15" t="s">
        <v>11</v>
      </c>
    </row>
    <row r="2" spans="1:13">
      <c r="A2" s="8" t="s">
        <v>12</v>
      </c>
    </row>
    <row r="4" spans="1:13">
      <c r="A4" s="12" t="s">
        <v>13</v>
      </c>
      <c r="B4" s="12" t="s">
        <v>14</v>
      </c>
      <c r="C4" s="12" t="s">
        <v>15</v>
      </c>
      <c r="D4" s="12" t="s">
        <v>16</v>
      </c>
      <c r="E4" s="12" t="s">
        <v>17</v>
      </c>
      <c r="F4" s="12" t="s">
        <v>18</v>
      </c>
      <c r="G4" s="16" t="s">
        <v>19</v>
      </c>
      <c r="H4" s="16" t="s">
        <v>20</v>
      </c>
      <c r="I4" s="12" t="s">
        <v>21</v>
      </c>
      <c r="J4" s="12" t="s">
        <v>22</v>
      </c>
      <c r="L4" s="17" t="s">
        <v>23</v>
      </c>
      <c r="M4" s="17" t="s">
        <v>24</v>
      </c>
    </row>
    <row r="5" spans="1:13">
      <c r="A5" s="18" t="s">
        <v>25</v>
      </c>
      <c r="B5" s="19">
        <v>380.15300000000002</v>
      </c>
      <c r="C5" s="18" t="s">
        <v>26</v>
      </c>
      <c r="D5" s="20">
        <v>10044</v>
      </c>
      <c r="E5" s="18">
        <v>37</v>
      </c>
      <c r="F5" s="18" t="s">
        <v>27</v>
      </c>
      <c r="G5" s="19">
        <v>380.34699999999998</v>
      </c>
      <c r="H5" s="21">
        <v>0.315322580645161</v>
      </c>
      <c r="I5" s="22" t="s">
        <v>28</v>
      </c>
      <c r="J5" s="23" t="s">
        <v>29</v>
      </c>
      <c r="L5" s="24" t="s">
        <v>30</v>
      </c>
      <c r="M5" s="25">
        <v>0</v>
      </c>
    </row>
    <row r="6" spans="1:13">
      <c r="A6" s="18" t="s">
        <v>25</v>
      </c>
      <c r="B6" s="19">
        <v>394.274</v>
      </c>
      <c r="C6" s="18" t="s">
        <v>26</v>
      </c>
      <c r="D6" s="20">
        <v>6991.4</v>
      </c>
      <c r="E6" s="18">
        <v>39</v>
      </c>
      <c r="F6" s="18" t="s">
        <v>27</v>
      </c>
      <c r="G6" s="19">
        <v>394.15100000000001</v>
      </c>
      <c r="H6" s="21">
        <v>0.89156678204651396</v>
      </c>
      <c r="I6" s="22" t="s">
        <v>28</v>
      </c>
      <c r="J6" s="23" t="s">
        <v>31</v>
      </c>
      <c r="L6" s="24" t="s">
        <v>32</v>
      </c>
      <c r="M6" s="25">
        <v>0</v>
      </c>
    </row>
    <row r="7" spans="1:13">
      <c r="A7" s="18" t="s">
        <v>25</v>
      </c>
      <c r="B7" s="19">
        <v>399.92399999999998</v>
      </c>
      <c r="C7" s="18" t="s">
        <v>26</v>
      </c>
      <c r="D7" s="20">
        <v>7989</v>
      </c>
      <c r="E7" s="18">
        <v>39</v>
      </c>
      <c r="F7" s="18" t="s">
        <v>33</v>
      </c>
      <c r="G7" s="19">
        <v>400.04500000000002</v>
      </c>
      <c r="H7" s="21">
        <v>3.0971961446989602</v>
      </c>
      <c r="I7" s="22" t="s">
        <v>28</v>
      </c>
      <c r="J7" s="23" t="s">
        <v>34</v>
      </c>
      <c r="L7" s="24" t="s">
        <v>35</v>
      </c>
      <c r="M7" s="25">
        <v>0</v>
      </c>
    </row>
    <row r="8" spans="1:13">
      <c r="A8" s="18" t="s">
        <v>25</v>
      </c>
      <c r="B8" s="19">
        <v>407.34699999999998</v>
      </c>
      <c r="C8" s="18" t="s">
        <v>26</v>
      </c>
      <c r="D8" s="20">
        <v>10588</v>
      </c>
      <c r="E8" s="18">
        <v>40</v>
      </c>
      <c r="F8" s="18" t="s">
        <v>36</v>
      </c>
      <c r="G8" s="19">
        <v>407.375</v>
      </c>
      <c r="H8" s="21">
        <v>0.793785417453721</v>
      </c>
      <c r="I8" s="22" t="s">
        <v>28</v>
      </c>
      <c r="J8" s="23" t="s">
        <v>37</v>
      </c>
      <c r="L8" s="24" t="s">
        <v>38</v>
      </c>
      <c r="M8" s="25">
        <v>0</v>
      </c>
    </row>
    <row r="9" spans="1:13">
      <c r="A9" s="18" t="s">
        <v>25</v>
      </c>
      <c r="B9" s="19">
        <v>407.57</v>
      </c>
      <c r="C9" s="18" t="s">
        <v>26</v>
      </c>
      <c r="D9" s="20">
        <v>11561.2</v>
      </c>
      <c r="E9" s="18">
        <v>41</v>
      </c>
      <c r="F9" s="18" t="s">
        <v>36</v>
      </c>
      <c r="G9" s="19">
        <v>407.375</v>
      </c>
      <c r="H9" s="21">
        <v>0.72696605888662102</v>
      </c>
      <c r="I9" s="22" t="s">
        <v>28</v>
      </c>
      <c r="J9" s="23" t="s">
        <v>39</v>
      </c>
      <c r="L9" s="24" t="s">
        <v>40</v>
      </c>
      <c r="M9" s="25">
        <v>0</v>
      </c>
    </row>
    <row r="10" spans="1:13">
      <c r="A10" s="18" t="s">
        <v>25</v>
      </c>
      <c r="B10" s="19">
        <v>408.322</v>
      </c>
      <c r="C10" s="18" t="s">
        <v>26</v>
      </c>
      <c r="D10" s="20">
        <v>9540.5</v>
      </c>
      <c r="E10" s="18">
        <v>40</v>
      </c>
      <c r="F10" s="18" t="s">
        <v>27</v>
      </c>
      <c r="G10" s="19">
        <v>408.25200000000001</v>
      </c>
      <c r="H10" s="21">
        <v>9.3464703107803596E-2</v>
      </c>
      <c r="I10" s="26" t="s">
        <v>41</v>
      </c>
      <c r="J10" s="23" t="s">
        <v>42</v>
      </c>
      <c r="L10" s="24" t="s">
        <v>43</v>
      </c>
      <c r="M10" s="25">
        <v>0</v>
      </c>
    </row>
    <row r="11" spans="1:13">
      <c r="A11" s="18" t="s">
        <v>25</v>
      </c>
      <c r="B11" s="19">
        <v>413.38</v>
      </c>
      <c r="C11" s="18" t="s">
        <v>26</v>
      </c>
      <c r="D11" s="20">
        <v>9654</v>
      </c>
      <c r="E11" s="18">
        <v>39</v>
      </c>
      <c r="F11" s="18" t="s">
        <v>36</v>
      </c>
      <c r="G11" s="19">
        <v>413.226</v>
      </c>
      <c r="H11" s="21">
        <v>0.49224155790346003</v>
      </c>
      <c r="I11" s="22" t="s">
        <v>28</v>
      </c>
      <c r="J11" s="23" t="s">
        <v>44</v>
      </c>
      <c r="L11" s="24" t="s">
        <v>45</v>
      </c>
      <c r="M11" s="25">
        <v>3.8024893995349499E-3</v>
      </c>
    </row>
    <row r="12" spans="1:13">
      <c r="A12" s="18" t="s">
        <v>25</v>
      </c>
      <c r="B12" s="19">
        <v>413.76499999999999</v>
      </c>
      <c r="C12" s="18" t="s">
        <v>26</v>
      </c>
      <c r="D12" s="20">
        <v>6591.2</v>
      </c>
      <c r="E12" s="18">
        <v>38</v>
      </c>
      <c r="F12" s="18" t="s">
        <v>36</v>
      </c>
      <c r="G12" s="19">
        <v>413.71</v>
      </c>
      <c r="H12" s="21">
        <v>0.20481854594004101</v>
      </c>
      <c r="I12" s="22" t="s">
        <v>28</v>
      </c>
      <c r="J12" s="23" t="s">
        <v>46</v>
      </c>
      <c r="L12" s="24" t="s">
        <v>47</v>
      </c>
      <c r="M12" s="25">
        <v>4.7670629876424E-3</v>
      </c>
    </row>
    <row r="13" spans="1:13">
      <c r="A13" s="18" t="s">
        <v>25</v>
      </c>
      <c r="B13" s="19">
        <v>418.65899999999999</v>
      </c>
      <c r="C13" s="18" t="s">
        <v>26</v>
      </c>
      <c r="D13" s="20">
        <v>14417.5</v>
      </c>
      <c r="E13" s="18">
        <v>37</v>
      </c>
      <c r="F13" s="18" t="s">
        <v>36</v>
      </c>
      <c r="G13" s="19">
        <v>418.42599999999999</v>
      </c>
      <c r="H13" s="21">
        <v>7.4613490549679202</v>
      </c>
      <c r="I13" s="22" t="s">
        <v>28</v>
      </c>
      <c r="J13" s="23" t="s">
        <v>48</v>
      </c>
      <c r="L13" s="24" t="s">
        <v>49</v>
      </c>
      <c r="M13" s="25">
        <v>9.9073016165377795E-3</v>
      </c>
    </row>
    <row r="14" spans="1:13">
      <c r="A14" s="18" t="s">
        <v>25</v>
      </c>
      <c r="B14" s="19">
        <v>422.26</v>
      </c>
      <c r="C14" s="18" t="s">
        <v>26</v>
      </c>
      <c r="D14" s="20">
        <v>11589</v>
      </c>
      <c r="E14" s="18">
        <v>37</v>
      </c>
      <c r="F14" s="18" t="s">
        <v>27</v>
      </c>
      <c r="G14" s="19">
        <v>422.113</v>
      </c>
      <c r="H14" s="21">
        <v>8.5883165070325299E-2</v>
      </c>
      <c r="I14" s="26" t="s">
        <v>41</v>
      </c>
      <c r="J14" s="23" t="s">
        <v>50</v>
      </c>
      <c r="L14" s="24" t="s">
        <v>51</v>
      </c>
      <c r="M14" s="25">
        <v>1.76393966592964E-2</v>
      </c>
    </row>
    <row r="15" spans="1:13">
      <c r="A15" s="18" t="s">
        <v>25</v>
      </c>
      <c r="B15" s="19">
        <v>446.02100000000002</v>
      </c>
      <c r="C15" s="18" t="s">
        <v>26</v>
      </c>
      <c r="D15" s="20">
        <v>25595.5</v>
      </c>
      <c r="E15" s="18">
        <v>40</v>
      </c>
      <c r="F15" s="18" t="s">
        <v>27</v>
      </c>
      <c r="G15" s="19">
        <v>446.298</v>
      </c>
      <c r="H15" s="21">
        <v>0.508808188939462</v>
      </c>
      <c r="I15" s="22" t="s">
        <v>28</v>
      </c>
      <c r="J15" s="23" t="s">
        <v>52</v>
      </c>
      <c r="L15" s="24" t="s">
        <v>53</v>
      </c>
      <c r="M15" s="25">
        <v>1.9557746555562298E-2</v>
      </c>
    </row>
    <row r="16" spans="1:13">
      <c r="A16" s="18" t="s">
        <v>54</v>
      </c>
      <c r="B16" s="19">
        <v>228.61500000000001</v>
      </c>
      <c r="C16" s="18" t="s">
        <v>26</v>
      </c>
      <c r="D16" s="20">
        <v>6936.5</v>
      </c>
      <c r="E16" s="18">
        <v>38</v>
      </c>
      <c r="F16" s="18" t="s">
        <v>25</v>
      </c>
      <c r="G16" s="19">
        <v>228.464</v>
      </c>
      <c r="H16" s="21">
        <v>2.36430476465076E-3</v>
      </c>
      <c r="I16" s="27" t="s">
        <v>55</v>
      </c>
      <c r="J16" s="23" t="s">
        <v>56</v>
      </c>
      <c r="L16" s="24" t="s">
        <v>57</v>
      </c>
      <c r="M16" s="25">
        <v>2.35545128440523E-2</v>
      </c>
    </row>
    <row r="17" spans="1:13">
      <c r="A17" s="18" t="s">
        <v>54</v>
      </c>
      <c r="B17" s="19">
        <v>230.786</v>
      </c>
      <c r="C17" s="18" t="s">
        <v>26</v>
      </c>
      <c r="D17" s="20">
        <v>21829</v>
      </c>
      <c r="E17" s="18">
        <v>40</v>
      </c>
      <c r="F17" s="18" t="s">
        <v>25</v>
      </c>
      <c r="G17" s="19">
        <v>230.85400000000001</v>
      </c>
      <c r="H17" s="21">
        <v>7.7419945943469704E-4</v>
      </c>
      <c r="I17" s="27" t="s">
        <v>55</v>
      </c>
      <c r="J17" s="23" t="s">
        <v>58</v>
      </c>
      <c r="L17" s="24" t="s">
        <v>59</v>
      </c>
      <c r="M17" s="25">
        <v>2.7587655484743501E-2</v>
      </c>
    </row>
    <row r="18" spans="1:13">
      <c r="A18" s="18" t="s">
        <v>54</v>
      </c>
      <c r="B18" s="19">
        <v>231.16</v>
      </c>
      <c r="C18" s="18" t="s">
        <v>26</v>
      </c>
      <c r="D18" s="20">
        <v>13310.5</v>
      </c>
      <c r="E18" s="18">
        <v>39</v>
      </c>
      <c r="F18" s="18" t="s">
        <v>60</v>
      </c>
      <c r="G18" s="19"/>
      <c r="H18" s="21">
        <v>0</v>
      </c>
      <c r="I18" s="27" t="s">
        <v>55</v>
      </c>
      <c r="J18" s="23" t="s">
        <v>61</v>
      </c>
      <c r="L18" s="24" t="s">
        <v>62</v>
      </c>
      <c r="M18" s="25">
        <v>3.8840486020304703E-2</v>
      </c>
    </row>
    <row r="19" spans="1:13">
      <c r="A19" s="18" t="s">
        <v>54</v>
      </c>
      <c r="B19" s="19">
        <v>236.37899999999999</v>
      </c>
      <c r="C19" s="18" t="s">
        <v>26</v>
      </c>
      <c r="D19" s="20">
        <v>9708.5</v>
      </c>
      <c r="E19" s="18">
        <v>40</v>
      </c>
      <c r="F19" s="18" t="s">
        <v>63</v>
      </c>
      <c r="G19" s="19">
        <v>236.209</v>
      </c>
      <c r="H19" s="21">
        <v>3.2559097697893599E-2</v>
      </c>
      <c r="I19" s="28" t="s">
        <v>64</v>
      </c>
      <c r="J19" s="23" t="s">
        <v>65</v>
      </c>
      <c r="L19" s="24" t="s">
        <v>66</v>
      </c>
      <c r="M19" s="25">
        <v>5.4284003693230998E-2</v>
      </c>
    </row>
    <row r="20" spans="1:13">
      <c r="A20" s="18" t="s">
        <v>54</v>
      </c>
      <c r="B20" s="19">
        <v>237.863</v>
      </c>
      <c r="C20" s="18" t="s">
        <v>26</v>
      </c>
      <c r="D20" s="20">
        <v>15306</v>
      </c>
      <c r="E20" s="18">
        <v>38</v>
      </c>
      <c r="F20" s="18" t="s">
        <v>60</v>
      </c>
      <c r="G20" s="19"/>
      <c r="H20" s="21">
        <v>0</v>
      </c>
      <c r="I20" s="27" t="s">
        <v>55</v>
      </c>
      <c r="J20" s="23" t="s">
        <v>67</v>
      </c>
      <c r="L20" s="24" t="s">
        <v>68</v>
      </c>
      <c r="M20" s="25">
        <v>5.59697541591146E-2</v>
      </c>
    </row>
    <row r="21" spans="1:13">
      <c r="A21" s="18" t="s">
        <v>54</v>
      </c>
      <c r="B21" s="19">
        <v>238.345</v>
      </c>
      <c r="C21" s="18" t="s">
        <v>26</v>
      </c>
      <c r="D21" s="20">
        <v>10677</v>
      </c>
      <c r="E21" s="18">
        <v>39</v>
      </c>
      <c r="F21" s="18" t="s">
        <v>60</v>
      </c>
      <c r="G21" s="19"/>
      <c r="H21" s="21">
        <v>0</v>
      </c>
      <c r="I21" s="27" t="s">
        <v>55</v>
      </c>
      <c r="J21" s="23" t="s">
        <v>69</v>
      </c>
      <c r="L21" s="24" t="s">
        <v>70</v>
      </c>
      <c r="M21" s="25">
        <v>8.5883165070325299E-2</v>
      </c>
    </row>
    <row r="22" spans="1:13">
      <c r="A22" s="18" t="s">
        <v>54</v>
      </c>
      <c r="B22" s="19">
        <v>238.892</v>
      </c>
      <c r="C22" s="18" t="s">
        <v>26</v>
      </c>
      <c r="D22" s="20">
        <v>273225</v>
      </c>
      <c r="E22" s="18">
        <v>38</v>
      </c>
      <c r="F22" s="18" t="s">
        <v>60</v>
      </c>
      <c r="G22" s="19"/>
      <c r="H22" s="21">
        <v>0</v>
      </c>
      <c r="I22" s="27" t="s">
        <v>55</v>
      </c>
      <c r="J22" s="23" t="s">
        <v>71</v>
      </c>
      <c r="L22" s="24" t="s">
        <v>72</v>
      </c>
      <c r="M22" s="25">
        <v>0.116003185035185</v>
      </c>
    </row>
    <row r="23" spans="1:13">
      <c r="A23" s="18" t="s">
        <v>33</v>
      </c>
      <c r="B23" s="19">
        <v>340.78</v>
      </c>
      <c r="C23" s="18" t="s">
        <v>26</v>
      </c>
      <c r="D23" s="20">
        <v>27582.9</v>
      </c>
      <c r="E23" s="18">
        <v>40</v>
      </c>
      <c r="F23" s="18" t="s">
        <v>36</v>
      </c>
      <c r="G23" s="19">
        <v>340.75599999999997</v>
      </c>
      <c r="H23" s="21">
        <v>0.18242824358570001</v>
      </c>
      <c r="I23" s="26" t="s">
        <v>41</v>
      </c>
      <c r="J23" s="23" t="s">
        <v>73</v>
      </c>
    </row>
    <row r="24" spans="1:13">
      <c r="A24" s="18" t="s">
        <v>33</v>
      </c>
      <c r="B24" s="19">
        <v>352.39800000000002</v>
      </c>
      <c r="C24" s="18" t="s">
        <v>26</v>
      </c>
      <c r="D24" s="20">
        <v>24487</v>
      </c>
      <c r="E24" s="18">
        <v>37</v>
      </c>
      <c r="F24" s="18" t="s">
        <v>36</v>
      </c>
      <c r="G24" s="19">
        <v>352.41899999999998</v>
      </c>
      <c r="H24" s="21">
        <v>0.21230040429615701</v>
      </c>
      <c r="I24" s="22" t="s">
        <v>28</v>
      </c>
      <c r="J24" s="23" t="s">
        <v>74</v>
      </c>
    </row>
    <row r="25" spans="1:13">
      <c r="A25" s="18" t="s">
        <v>33</v>
      </c>
      <c r="B25" s="19">
        <v>353.17099999999999</v>
      </c>
      <c r="C25" s="18" t="s">
        <v>26</v>
      </c>
      <c r="D25" s="20">
        <v>87732</v>
      </c>
      <c r="E25" s="18">
        <v>40</v>
      </c>
      <c r="F25" s="18" t="s">
        <v>27</v>
      </c>
      <c r="G25" s="19">
        <v>353.35899999999998</v>
      </c>
      <c r="H25" s="21">
        <v>3.8024893995349499E-3</v>
      </c>
      <c r="I25" s="27" t="s">
        <v>55</v>
      </c>
      <c r="J25" s="23" t="s">
        <v>75</v>
      </c>
    </row>
    <row r="26" spans="1:13">
      <c r="A26" s="18" t="s">
        <v>33</v>
      </c>
      <c r="B26" s="19">
        <v>353.60199999999998</v>
      </c>
      <c r="C26" s="18" t="s">
        <v>26</v>
      </c>
      <c r="D26" s="20">
        <v>15894.4</v>
      </c>
      <c r="E26" s="18">
        <v>36</v>
      </c>
      <c r="F26" s="18" t="s">
        <v>25</v>
      </c>
      <c r="G26" s="19">
        <v>353.67</v>
      </c>
      <c r="H26" s="21">
        <v>1.30171632776324E-2</v>
      </c>
      <c r="I26" s="28" t="s">
        <v>64</v>
      </c>
      <c r="J26" s="23" t="s">
        <v>76</v>
      </c>
    </row>
    <row r="27" spans="1:13">
      <c r="A27" s="18" t="s">
        <v>33</v>
      </c>
      <c r="B27" s="19">
        <v>357.625</v>
      </c>
      <c r="C27" s="18" t="s">
        <v>26</v>
      </c>
      <c r="D27" s="20">
        <v>12386.1</v>
      </c>
      <c r="E27" s="18">
        <v>39</v>
      </c>
      <c r="F27" s="18" t="s">
        <v>25</v>
      </c>
      <c r="G27" s="19">
        <v>357.74599999999998</v>
      </c>
      <c r="H27" s="21">
        <v>0.42624393473328998</v>
      </c>
      <c r="I27" s="22" t="s">
        <v>28</v>
      </c>
      <c r="J27" s="23" t="s">
        <v>77</v>
      </c>
    </row>
    <row r="28" spans="1:13">
      <c r="A28" s="18" t="s">
        <v>33</v>
      </c>
      <c r="B28" s="19">
        <v>364.54</v>
      </c>
      <c r="C28" s="18" t="s">
        <v>26</v>
      </c>
      <c r="D28" s="20">
        <v>16509.7</v>
      </c>
      <c r="E28" s="18">
        <v>39</v>
      </c>
      <c r="F28" s="18" t="s">
        <v>36</v>
      </c>
      <c r="G28" s="19">
        <v>364.62</v>
      </c>
      <c r="H28" s="21">
        <v>0.80971186635735404</v>
      </c>
      <c r="I28" s="22" t="s">
        <v>28</v>
      </c>
      <c r="J28" s="23" t="s">
        <v>78</v>
      </c>
    </row>
    <row r="29" spans="1:13">
      <c r="A29" s="18" t="s">
        <v>33</v>
      </c>
      <c r="B29" s="19">
        <v>387.21100000000001</v>
      </c>
      <c r="C29" s="18" t="s">
        <v>26</v>
      </c>
      <c r="D29" s="20">
        <v>35902.300000000003</v>
      </c>
      <c r="E29" s="18">
        <v>36</v>
      </c>
      <c r="F29" s="18" t="s">
        <v>25</v>
      </c>
      <c r="G29" s="19">
        <v>387.08699999999999</v>
      </c>
      <c r="H29" s="21">
        <v>2.0110132219941301E-2</v>
      </c>
      <c r="I29" s="28" t="s">
        <v>64</v>
      </c>
      <c r="J29" s="23" t="s">
        <v>79</v>
      </c>
    </row>
    <row r="30" spans="1:13">
      <c r="A30" s="18" t="s">
        <v>33</v>
      </c>
      <c r="B30" s="19">
        <v>389.85300000000001</v>
      </c>
      <c r="C30" s="18" t="s">
        <v>26</v>
      </c>
      <c r="D30" s="20">
        <v>17081.900000000001</v>
      </c>
      <c r="E30" s="18">
        <v>40</v>
      </c>
      <c r="F30" s="18" t="s">
        <v>25</v>
      </c>
      <c r="G30" s="19">
        <v>389.82600000000002</v>
      </c>
      <c r="H30" s="21">
        <v>0.12229318752597799</v>
      </c>
      <c r="I30" s="26" t="s">
        <v>41</v>
      </c>
      <c r="J30" s="23" t="s">
        <v>80</v>
      </c>
    </row>
    <row r="31" spans="1:13">
      <c r="A31" s="18" t="s">
        <v>33</v>
      </c>
      <c r="B31" s="19">
        <v>394.46800000000002</v>
      </c>
      <c r="C31" s="18" t="s">
        <v>26</v>
      </c>
      <c r="D31" s="20">
        <v>20625.2</v>
      </c>
      <c r="E31" s="18">
        <v>40</v>
      </c>
      <c r="F31" s="18" t="s">
        <v>25</v>
      </c>
      <c r="G31" s="19">
        <v>394.38799999999998</v>
      </c>
      <c r="H31" s="21">
        <v>0.13067509648391301</v>
      </c>
      <c r="I31" s="26" t="s">
        <v>41</v>
      </c>
      <c r="J31" s="23" t="s">
        <v>81</v>
      </c>
    </row>
    <row r="32" spans="1:13">
      <c r="A32" s="18" t="s">
        <v>33</v>
      </c>
      <c r="B32" s="19">
        <v>400.04500000000002</v>
      </c>
      <c r="C32" s="18" t="s">
        <v>26</v>
      </c>
      <c r="D32" s="20">
        <v>24743.5</v>
      </c>
      <c r="E32" s="18">
        <v>39</v>
      </c>
      <c r="F32" s="18" t="s">
        <v>25</v>
      </c>
      <c r="G32" s="19">
        <v>399.92399999999998</v>
      </c>
      <c r="H32" s="21">
        <v>0.32263018570533702</v>
      </c>
      <c r="I32" s="22" t="s">
        <v>28</v>
      </c>
      <c r="J32" s="23" t="s">
        <v>82</v>
      </c>
    </row>
    <row r="33" spans="1:10">
      <c r="A33" s="18" t="s">
        <v>33</v>
      </c>
      <c r="B33" s="19">
        <v>407.79700000000003</v>
      </c>
      <c r="C33" s="18" t="s">
        <v>26</v>
      </c>
      <c r="D33" s="20">
        <v>28806.5</v>
      </c>
      <c r="E33" s="18">
        <v>28</v>
      </c>
      <c r="F33" s="18" t="s">
        <v>36</v>
      </c>
      <c r="G33" s="19">
        <v>407</v>
      </c>
      <c r="H33" s="21">
        <v>0.22962872962699399</v>
      </c>
      <c r="I33" s="22" t="s">
        <v>28</v>
      </c>
      <c r="J33" s="23" t="s">
        <v>83</v>
      </c>
    </row>
    <row r="34" spans="1:10">
      <c r="A34" s="18" t="s">
        <v>84</v>
      </c>
      <c r="B34" s="19">
        <v>291.036</v>
      </c>
      <c r="C34" s="18" t="s">
        <v>26</v>
      </c>
      <c r="D34" s="20">
        <v>5866.7</v>
      </c>
      <c r="E34" s="18">
        <v>39</v>
      </c>
      <c r="F34" s="18" t="s">
        <v>85</v>
      </c>
      <c r="G34" s="19">
        <v>291.13900000000001</v>
      </c>
      <c r="H34" s="21">
        <v>4.3991000051136098</v>
      </c>
      <c r="I34" s="22" t="s">
        <v>28</v>
      </c>
      <c r="J34" s="23" t="s">
        <v>86</v>
      </c>
    </row>
    <row r="35" spans="1:10">
      <c r="A35" s="18" t="s">
        <v>84</v>
      </c>
      <c r="B35" s="19">
        <v>296.452</v>
      </c>
      <c r="C35" s="18" t="s">
        <v>26</v>
      </c>
      <c r="D35" s="20">
        <v>9392.1</v>
      </c>
      <c r="E35" s="18">
        <v>38</v>
      </c>
      <c r="F35" s="18" t="s">
        <v>63</v>
      </c>
      <c r="G35" s="19">
        <v>296.47500000000002</v>
      </c>
      <c r="H35" s="21">
        <v>8.5295088425378807E-2</v>
      </c>
      <c r="I35" s="26" t="s">
        <v>41</v>
      </c>
      <c r="J35" s="23" t="s">
        <v>87</v>
      </c>
    </row>
    <row r="36" spans="1:10">
      <c r="A36" s="18" t="s">
        <v>84</v>
      </c>
      <c r="B36" s="19">
        <v>300.24099999999999</v>
      </c>
      <c r="C36" s="18" t="s">
        <v>26</v>
      </c>
      <c r="D36" s="20">
        <v>8824.5</v>
      </c>
      <c r="E36" s="18">
        <v>36</v>
      </c>
      <c r="F36" s="18" t="s">
        <v>36</v>
      </c>
      <c r="G36" s="19">
        <v>300.25599999999997</v>
      </c>
      <c r="H36" s="21">
        <v>0.245532324777608</v>
      </c>
      <c r="I36" s="22" t="s">
        <v>28</v>
      </c>
      <c r="J36" s="23" t="s">
        <v>88</v>
      </c>
    </row>
    <row r="37" spans="1:10">
      <c r="A37" s="18" t="s">
        <v>84</v>
      </c>
      <c r="B37" s="19">
        <v>323.05799999999999</v>
      </c>
      <c r="C37" s="18" t="s">
        <v>26</v>
      </c>
      <c r="D37" s="20">
        <v>17942.099999999999</v>
      </c>
      <c r="E37" s="18">
        <v>39</v>
      </c>
      <c r="F37" s="18" t="s">
        <v>25</v>
      </c>
      <c r="G37" s="19">
        <v>323.12400000000002</v>
      </c>
      <c r="H37" s="21">
        <v>5.3003828983229397E-2</v>
      </c>
      <c r="I37" s="26" t="s">
        <v>41</v>
      </c>
      <c r="J37" s="23" t="s">
        <v>89</v>
      </c>
    </row>
    <row r="38" spans="1:10">
      <c r="A38" s="18" t="s">
        <v>84</v>
      </c>
      <c r="B38" s="19">
        <v>326.47800000000001</v>
      </c>
      <c r="C38" s="18" t="s">
        <v>26</v>
      </c>
      <c r="D38" s="20">
        <v>32274.1</v>
      </c>
      <c r="E38" s="18">
        <v>39</v>
      </c>
      <c r="F38" s="18" t="s">
        <v>27</v>
      </c>
      <c r="G38" s="19">
        <v>326.512</v>
      </c>
      <c r="H38" s="21">
        <v>2.1803861300547501E-2</v>
      </c>
      <c r="I38" s="28" t="s">
        <v>64</v>
      </c>
      <c r="J38" s="23" t="s">
        <v>90</v>
      </c>
    </row>
    <row r="39" spans="1:10">
      <c r="A39" s="18" t="s">
        <v>84</v>
      </c>
      <c r="B39" s="19">
        <v>337.27499999999998</v>
      </c>
      <c r="C39" s="18" t="s">
        <v>26</v>
      </c>
      <c r="D39" s="20">
        <v>3921.8</v>
      </c>
      <c r="E39" s="18">
        <v>38</v>
      </c>
      <c r="F39" s="18" t="s">
        <v>33</v>
      </c>
      <c r="G39" s="19">
        <v>337.16899999999998</v>
      </c>
      <c r="H39" s="21">
        <v>0.15495435769289601</v>
      </c>
      <c r="I39" s="26" t="s">
        <v>41</v>
      </c>
      <c r="J39" s="23" t="s">
        <v>91</v>
      </c>
    </row>
    <row r="40" spans="1:10">
      <c r="A40" s="18" t="s">
        <v>84</v>
      </c>
      <c r="B40" s="19">
        <v>349.91</v>
      </c>
      <c r="C40" s="18" t="s">
        <v>26</v>
      </c>
      <c r="D40" s="20">
        <v>44755.6</v>
      </c>
      <c r="E40" s="18">
        <v>39</v>
      </c>
      <c r="F40" s="18" t="s">
        <v>33</v>
      </c>
      <c r="G40" s="19">
        <v>349.87099999999998</v>
      </c>
      <c r="H40" s="21">
        <v>6.5457730429264699E-2</v>
      </c>
      <c r="I40" s="26" t="s">
        <v>41</v>
      </c>
      <c r="J40" s="23" t="s">
        <v>92</v>
      </c>
    </row>
    <row r="41" spans="1:10">
      <c r="A41" s="18" t="s">
        <v>84</v>
      </c>
      <c r="B41" s="19">
        <v>369.26499999999999</v>
      </c>
      <c r="C41" s="18" t="s">
        <v>26</v>
      </c>
      <c r="D41" s="20">
        <v>47750.9</v>
      </c>
      <c r="E41" s="18">
        <v>40</v>
      </c>
      <c r="F41" s="18" t="s">
        <v>36</v>
      </c>
      <c r="G41" s="19">
        <v>369.29500000000002</v>
      </c>
      <c r="H41" s="21">
        <v>1.9557746555562298E-2</v>
      </c>
      <c r="I41" s="28" t="s">
        <v>64</v>
      </c>
      <c r="J41" s="23" t="s">
        <v>93</v>
      </c>
    </row>
    <row r="42" spans="1:10">
      <c r="A42" s="18" t="s">
        <v>84</v>
      </c>
      <c r="B42" s="19">
        <v>389.62299999999999</v>
      </c>
      <c r="C42" s="18" t="s">
        <v>26</v>
      </c>
      <c r="D42" s="20">
        <v>28403.7</v>
      </c>
      <c r="E42" s="18">
        <v>36</v>
      </c>
      <c r="F42" s="18" t="s">
        <v>94</v>
      </c>
      <c r="G42" s="19">
        <v>389.67599999999999</v>
      </c>
      <c r="H42" s="21">
        <v>9.3846928393131898E-2</v>
      </c>
      <c r="I42" s="26" t="s">
        <v>41</v>
      </c>
      <c r="J42" s="23" t="s">
        <v>95</v>
      </c>
    </row>
    <row r="43" spans="1:10">
      <c r="A43" s="18" t="s">
        <v>84</v>
      </c>
      <c r="B43" s="19">
        <v>390.63099999999997</v>
      </c>
      <c r="C43" s="18" t="s">
        <v>26</v>
      </c>
      <c r="D43" s="20">
        <v>33607</v>
      </c>
      <c r="E43" s="18">
        <v>39</v>
      </c>
      <c r="F43" s="18" t="s">
        <v>27</v>
      </c>
      <c r="G43" s="19">
        <v>390.58699999999999</v>
      </c>
      <c r="H43" s="21">
        <v>0.137745112625346</v>
      </c>
      <c r="I43" s="26" t="s">
        <v>41</v>
      </c>
      <c r="J43" s="23" t="s">
        <v>96</v>
      </c>
    </row>
    <row r="44" spans="1:10">
      <c r="A44" s="18" t="s">
        <v>97</v>
      </c>
      <c r="B44" s="19">
        <v>234.35</v>
      </c>
      <c r="C44" s="18" t="s">
        <v>26</v>
      </c>
      <c r="D44" s="20">
        <v>15400</v>
      </c>
      <c r="E44" s="18">
        <v>40</v>
      </c>
      <c r="F44" s="18" t="s">
        <v>25</v>
      </c>
      <c r="G44" s="19">
        <v>234.36600000000001</v>
      </c>
      <c r="H44" s="21">
        <v>5.77922077922078E-4</v>
      </c>
      <c r="I44" s="27" t="s">
        <v>55</v>
      </c>
      <c r="J44" s="23" t="s">
        <v>98</v>
      </c>
    </row>
    <row r="45" spans="1:10">
      <c r="A45" s="18" t="s">
        <v>97</v>
      </c>
      <c r="B45" s="19">
        <v>238.20400000000001</v>
      </c>
      <c r="C45" s="18" t="s">
        <v>26</v>
      </c>
      <c r="D45" s="20">
        <v>41015</v>
      </c>
      <c r="E45" s="18">
        <v>40</v>
      </c>
      <c r="F45" s="18" t="s">
        <v>33</v>
      </c>
      <c r="G45" s="19">
        <v>238.19800000000001</v>
      </c>
      <c r="H45" s="21">
        <v>6.9681823723028204E-3</v>
      </c>
      <c r="I45" s="27" t="s">
        <v>55</v>
      </c>
      <c r="J45" s="23" t="s">
        <v>99</v>
      </c>
    </row>
    <row r="46" spans="1:10">
      <c r="A46" s="18" t="s">
        <v>97</v>
      </c>
      <c r="B46" s="19">
        <v>239.56299999999999</v>
      </c>
      <c r="C46" s="18" t="s">
        <v>26</v>
      </c>
      <c r="D46" s="20">
        <v>10719.4</v>
      </c>
      <c r="E46" s="18">
        <v>39</v>
      </c>
      <c r="F46" s="18" t="s">
        <v>60</v>
      </c>
      <c r="G46" s="19"/>
      <c r="H46" s="21">
        <v>0</v>
      </c>
      <c r="I46" s="27" t="s">
        <v>55</v>
      </c>
      <c r="J46" s="23" t="s">
        <v>100</v>
      </c>
    </row>
    <row r="47" spans="1:10">
      <c r="A47" s="18" t="s">
        <v>97</v>
      </c>
      <c r="B47" s="19">
        <v>240.489</v>
      </c>
      <c r="C47" s="18" t="s">
        <v>26</v>
      </c>
      <c r="D47" s="20">
        <v>10535</v>
      </c>
      <c r="E47" s="18">
        <v>40</v>
      </c>
      <c r="F47" s="18" t="s">
        <v>25</v>
      </c>
      <c r="G47" s="19">
        <v>240.52</v>
      </c>
      <c r="H47" s="21">
        <v>4.9359278595159E-4</v>
      </c>
      <c r="I47" s="27" t="s">
        <v>55</v>
      </c>
      <c r="J47" s="23" t="s">
        <v>101</v>
      </c>
    </row>
    <row r="48" spans="1:10">
      <c r="A48" s="18" t="s">
        <v>97</v>
      </c>
      <c r="B48" s="19">
        <v>258.58800000000002</v>
      </c>
      <c r="C48" s="18" t="s">
        <v>26</v>
      </c>
      <c r="D48" s="20">
        <v>20375</v>
      </c>
      <c r="E48" s="18">
        <v>36</v>
      </c>
      <c r="F48" s="18" t="s">
        <v>60</v>
      </c>
      <c r="G48" s="19"/>
      <c r="H48" s="21">
        <v>0</v>
      </c>
      <c r="I48" s="27" t="s">
        <v>55</v>
      </c>
      <c r="J48" s="23" t="s">
        <v>102</v>
      </c>
    </row>
    <row r="49" spans="1:10">
      <c r="A49" s="18" t="s">
        <v>97</v>
      </c>
      <c r="B49" s="19">
        <v>259.94</v>
      </c>
      <c r="C49" s="18" t="s">
        <v>26</v>
      </c>
      <c r="D49" s="20">
        <v>27160</v>
      </c>
      <c r="E49" s="18">
        <v>40</v>
      </c>
      <c r="F49" s="18" t="s">
        <v>33</v>
      </c>
      <c r="G49" s="19">
        <v>260.01600000000002</v>
      </c>
      <c r="H49" s="21">
        <v>5.2835051546391799E-3</v>
      </c>
      <c r="I49" s="27" t="s">
        <v>55</v>
      </c>
      <c r="J49" s="23" t="s">
        <v>103</v>
      </c>
    </row>
    <row r="50" spans="1:10">
      <c r="A50" s="18" t="s">
        <v>97</v>
      </c>
      <c r="B50" s="19">
        <v>260.709</v>
      </c>
      <c r="C50" s="18" t="s">
        <v>26</v>
      </c>
      <c r="D50" s="20">
        <v>6040</v>
      </c>
      <c r="E50" s="18">
        <v>37</v>
      </c>
      <c r="F50" s="18" t="s">
        <v>60</v>
      </c>
      <c r="G50" s="19"/>
      <c r="H50" s="21">
        <v>0</v>
      </c>
      <c r="I50" s="27" t="s">
        <v>55</v>
      </c>
      <c r="J50" s="23" t="s">
        <v>104</v>
      </c>
    </row>
    <row r="51" spans="1:10">
      <c r="A51" s="18" t="s">
        <v>97</v>
      </c>
      <c r="B51" s="19">
        <v>261.18700000000001</v>
      </c>
      <c r="C51" s="18" t="s">
        <v>26</v>
      </c>
      <c r="D51" s="20">
        <v>8669.2000000000007</v>
      </c>
      <c r="E51" s="18">
        <v>39</v>
      </c>
      <c r="F51" s="18" t="s">
        <v>85</v>
      </c>
      <c r="G51" s="19">
        <v>261.33999999999997</v>
      </c>
      <c r="H51" s="21">
        <v>0.62882388224980401</v>
      </c>
      <c r="I51" s="22" t="s">
        <v>28</v>
      </c>
      <c r="J51" s="23" t="s">
        <v>105</v>
      </c>
    </row>
    <row r="52" spans="1:10">
      <c r="A52" s="18" t="s">
        <v>97</v>
      </c>
      <c r="B52" s="19">
        <v>261.38200000000001</v>
      </c>
      <c r="C52" s="18" t="s">
        <v>26</v>
      </c>
      <c r="D52" s="20">
        <v>4697.3999999999996</v>
      </c>
      <c r="E52" s="18">
        <v>38</v>
      </c>
      <c r="F52" s="18" t="s">
        <v>85</v>
      </c>
      <c r="G52" s="19">
        <v>261.33999999999997</v>
      </c>
      <c r="H52" s="21">
        <v>1.1605143270745499</v>
      </c>
      <c r="I52" s="22" t="s">
        <v>28</v>
      </c>
      <c r="J52" s="23" t="s">
        <v>106</v>
      </c>
    </row>
    <row r="53" spans="1:10">
      <c r="A53" s="18" t="s">
        <v>36</v>
      </c>
      <c r="B53" s="19">
        <v>301.01299999999998</v>
      </c>
      <c r="C53" s="18" t="s">
        <v>26</v>
      </c>
      <c r="D53" s="20">
        <v>13500.9</v>
      </c>
      <c r="E53" s="18">
        <v>40</v>
      </c>
      <c r="F53" s="18" t="s">
        <v>63</v>
      </c>
      <c r="G53" s="19">
        <v>300.93900000000002</v>
      </c>
      <c r="H53" s="21">
        <v>6.8239895118103203E-2</v>
      </c>
      <c r="I53" s="26" t="s">
        <v>41</v>
      </c>
      <c r="J53" s="23" t="s">
        <v>107</v>
      </c>
    </row>
    <row r="54" spans="1:10">
      <c r="A54" s="18" t="s">
        <v>36</v>
      </c>
      <c r="B54" s="19">
        <v>303.28399999999999</v>
      </c>
      <c r="C54" s="18" t="s">
        <v>26</v>
      </c>
      <c r="D54" s="20">
        <v>6352.8</v>
      </c>
      <c r="E54" s="18">
        <v>40</v>
      </c>
      <c r="F54" s="18" t="s">
        <v>84</v>
      </c>
      <c r="G54" s="19">
        <v>303.13099999999997</v>
      </c>
      <c r="H54" s="21">
        <v>0.190057927213197</v>
      </c>
      <c r="I54" s="26" t="s">
        <v>41</v>
      </c>
      <c r="J54" s="23" t="s">
        <v>108</v>
      </c>
    </row>
    <row r="55" spans="1:10">
      <c r="A55" s="18" t="s">
        <v>36</v>
      </c>
      <c r="B55" s="19">
        <v>310.05</v>
      </c>
      <c r="C55" s="18" t="s">
        <v>26</v>
      </c>
      <c r="D55" s="20">
        <v>9161.1</v>
      </c>
      <c r="E55" s="18">
        <v>40</v>
      </c>
      <c r="F55" s="18" t="s">
        <v>109</v>
      </c>
      <c r="G55" s="19">
        <v>309.86</v>
      </c>
      <c r="H55" s="21">
        <v>0.21614216633373701</v>
      </c>
      <c r="I55" s="22" t="s">
        <v>28</v>
      </c>
      <c r="J55" s="23" t="s">
        <v>110</v>
      </c>
    </row>
    <row r="56" spans="1:10">
      <c r="A56" s="18" t="s">
        <v>36</v>
      </c>
      <c r="B56" s="19">
        <v>335.048</v>
      </c>
      <c r="C56" s="18" t="s">
        <v>26</v>
      </c>
      <c r="D56" s="20">
        <v>47708.800000000003</v>
      </c>
      <c r="E56" s="18">
        <v>40</v>
      </c>
      <c r="F56" s="18" t="s">
        <v>84</v>
      </c>
      <c r="G56" s="19">
        <v>335.00599999999997</v>
      </c>
      <c r="H56" s="21">
        <v>0.12427895901804301</v>
      </c>
      <c r="I56" s="26" t="s">
        <v>41</v>
      </c>
      <c r="J56" s="23" t="s">
        <v>111</v>
      </c>
    </row>
    <row r="57" spans="1:10">
      <c r="A57" s="18" t="s">
        <v>36</v>
      </c>
      <c r="B57" s="19">
        <v>335.863</v>
      </c>
      <c r="C57" s="18" t="s">
        <v>26</v>
      </c>
      <c r="D57" s="20">
        <v>26661.1</v>
      </c>
      <c r="E57" s="18">
        <v>40</v>
      </c>
      <c r="F57" s="18" t="s">
        <v>94</v>
      </c>
      <c r="G57" s="19">
        <v>335.791</v>
      </c>
      <c r="H57" s="21">
        <v>9.3008165454538605E-2</v>
      </c>
      <c r="I57" s="26" t="s">
        <v>41</v>
      </c>
      <c r="J57" s="23" t="s">
        <v>112</v>
      </c>
    </row>
    <row r="58" spans="1:10">
      <c r="A58" s="18" t="s">
        <v>36</v>
      </c>
      <c r="B58" s="19">
        <v>336.22399999999999</v>
      </c>
      <c r="C58" s="18" t="s">
        <v>26</v>
      </c>
      <c r="D58" s="20">
        <v>31917.1</v>
      </c>
      <c r="E58" s="18">
        <v>40</v>
      </c>
      <c r="F58" s="18" t="s">
        <v>109</v>
      </c>
      <c r="G58" s="19">
        <v>336.26100000000002</v>
      </c>
      <c r="H58" s="21">
        <v>1.4690683050778399</v>
      </c>
      <c r="I58" s="22" t="s">
        <v>28</v>
      </c>
      <c r="J58" s="23" t="s">
        <v>113</v>
      </c>
    </row>
    <row r="59" spans="1:10">
      <c r="A59" s="18" t="s">
        <v>36</v>
      </c>
      <c r="B59" s="19">
        <v>342.24599999999998</v>
      </c>
      <c r="C59" s="18" t="s">
        <v>26</v>
      </c>
      <c r="D59" s="20">
        <v>56269</v>
      </c>
      <c r="E59" s="18">
        <v>40</v>
      </c>
      <c r="F59" s="18" t="s">
        <v>94</v>
      </c>
      <c r="G59" s="19">
        <v>342.16300000000001</v>
      </c>
      <c r="H59" s="21">
        <v>0.12737031047290701</v>
      </c>
      <c r="I59" s="26" t="s">
        <v>41</v>
      </c>
      <c r="J59" s="23" t="s">
        <v>114</v>
      </c>
    </row>
    <row r="60" spans="1:10">
      <c r="A60" s="18" t="s">
        <v>36</v>
      </c>
      <c r="B60" s="19">
        <v>343.99900000000002</v>
      </c>
      <c r="C60" s="18" t="s">
        <v>26</v>
      </c>
      <c r="D60" s="20">
        <v>15763.4</v>
      </c>
      <c r="E60" s="18">
        <v>40</v>
      </c>
      <c r="F60" s="18" t="s">
        <v>33</v>
      </c>
      <c r="G60" s="19">
        <v>344.09300000000002</v>
      </c>
      <c r="H60" s="21">
        <v>0.13196391641397201</v>
      </c>
      <c r="I60" s="26" t="s">
        <v>41</v>
      </c>
      <c r="J60" s="23" t="s">
        <v>115</v>
      </c>
    </row>
    <row r="61" spans="1:10">
      <c r="A61" s="18" t="s">
        <v>36</v>
      </c>
      <c r="B61" s="19">
        <v>358.49599999999998</v>
      </c>
      <c r="C61" s="18" t="s">
        <v>26</v>
      </c>
      <c r="D61" s="20">
        <v>34906</v>
      </c>
      <c r="E61" s="18">
        <v>40</v>
      </c>
      <c r="F61" s="18" t="s">
        <v>116</v>
      </c>
      <c r="G61" s="19">
        <v>358.452</v>
      </c>
      <c r="H61" s="21">
        <v>2.0125479860195998</v>
      </c>
      <c r="I61" s="22" t="s">
        <v>28</v>
      </c>
      <c r="J61" s="23" t="s">
        <v>117</v>
      </c>
    </row>
    <row r="62" spans="1:10">
      <c r="A62" s="18" t="s">
        <v>36</v>
      </c>
      <c r="B62" s="19">
        <v>364.62</v>
      </c>
      <c r="C62" s="18" t="s">
        <v>26</v>
      </c>
      <c r="D62" s="20">
        <v>13368.1</v>
      </c>
      <c r="E62" s="18">
        <v>40</v>
      </c>
      <c r="F62" s="18" t="s">
        <v>33</v>
      </c>
      <c r="G62" s="19">
        <v>364.54</v>
      </c>
      <c r="H62" s="21">
        <v>1.2350072186773</v>
      </c>
      <c r="I62" s="22" t="s">
        <v>28</v>
      </c>
      <c r="J62" s="23" t="s">
        <v>118</v>
      </c>
    </row>
    <row r="63" spans="1:10">
      <c r="A63" s="18" t="s">
        <v>36</v>
      </c>
      <c r="B63" s="19">
        <v>376.84</v>
      </c>
      <c r="C63" s="18" t="s">
        <v>26</v>
      </c>
      <c r="D63" s="20">
        <v>32110.2</v>
      </c>
      <c r="E63" s="18">
        <v>40</v>
      </c>
      <c r="F63" s="18" t="s">
        <v>27</v>
      </c>
      <c r="G63" s="19">
        <v>376.96300000000002</v>
      </c>
      <c r="H63" s="21">
        <v>5.59697541591146E-2</v>
      </c>
      <c r="I63" s="26" t="s">
        <v>41</v>
      </c>
      <c r="J63" s="23" t="s">
        <v>119</v>
      </c>
    </row>
    <row r="64" spans="1:10">
      <c r="A64" s="18" t="s">
        <v>36</v>
      </c>
      <c r="B64" s="19">
        <v>379.63799999999998</v>
      </c>
      <c r="C64" s="18" t="s">
        <v>26</v>
      </c>
      <c r="D64" s="20">
        <v>28672.7</v>
      </c>
      <c r="E64" s="18">
        <v>40</v>
      </c>
      <c r="F64" s="18" t="s">
        <v>109</v>
      </c>
      <c r="G64" s="19">
        <v>379.57600000000002</v>
      </c>
      <c r="H64" s="21">
        <v>2.4823577828387302</v>
      </c>
      <c r="I64" s="22" t="s">
        <v>28</v>
      </c>
      <c r="J64" s="23" t="s">
        <v>120</v>
      </c>
    </row>
    <row r="65" spans="1:10">
      <c r="A65" s="18" t="s">
        <v>94</v>
      </c>
      <c r="B65" s="19">
        <v>339.89499999999998</v>
      </c>
      <c r="C65" s="18" t="s">
        <v>26</v>
      </c>
      <c r="D65" s="20">
        <v>30434.5</v>
      </c>
      <c r="E65" s="18">
        <v>36</v>
      </c>
      <c r="F65" s="18" t="s">
        <v>84</v>
      </c>
      <c r="G65" s="19">
        <v>339.92700000000002</v>
      </c>
      <c r="H65" s="21">
        <v>0.24360511919039299</v>
      </c>
      <c r="I65" s="22" t="s">
        <v>28</v>
      </c>
      <c r="J65" s="23" t="s">
        <v>121</v>
      </c>
    </row>
    <row r="66" spans="1:10">
      <c r="A66" s="18" t="s">
        <v>94</v>
      </c>
      <c r="B66" s="19">
        <v>341.64400000000001</v>
      </c>
      <c r="C66" s="18" t="s">
        <v>26</v>
      </c>
      <c r="D66" s="20">
        <v>34031.5</v>
      </c>
      <c r="E66" s="18">
        <v>36</v>
      </c>
      <c r="F66" s="18" t="s">
        <v>33</v>
      </c>
      <c r="G66" s="19">
        <v>341.48200000000003</v>
      </c>
      <c r="H66" s="21">
        <v>3.8840486020304703E-2</v>
      </c>
      <c r="I66" s="28" t="s">
        <v>64</v>
      </c>
      <c r="J66" s="23" t="s">
        <v>122</v>
      </c>
    </row>
    <row r="67" spans="1:10">
      <c r="A67" s="18" t="s">
        <v>94</v>
      </c>
      <c r="B67" s="19">
        <v>345.31400000000002</v>
      </c>
      <c r="C67" s="18" t="s">
        <v>26</v>
      </c>
      <c r="D67" s="20">
        <v>13088.5</v>
      </c>
      <c r="E67" s="18">
        <v>39</v>
      </c>
      <c r="F67" s="18" t="s">
        <v>63</v>
      </c>
      <c r="G67" s="19">
        <v>345.40699999999998</v>
      </c>
      <c r="H67" s="21">
        <v>0.22857470298353499</v>
      </c>
      <c r="I67" s="22" t="s">
        <v>28</v>
      </c>
      <c r="J67" s="23" t="s">
        <v>123</v>
      </c>
    </row>
    <row r="68" spans="1:10">
      <c r="A68" s="18" t="s">
        <v>94</v>
      </c>
      <c r="B68" s="19">
        <v>345.6</v>
      </c>
      <c r="C68" s="18" t="s">
        <v>26</v>
      </c>
      <c r="D68" s="20">
        <v>65730.5</v>
      </c>
      <c r="E68" s="18">
        <v>37</v>
      </c>
      <c r="F68" s="18" t="s">
        <v>33</v>
      </c>
      <c r="G68" s="19">
        <v>345.43200000000002</v>
      </c>
      <c r="H68" s="21">
        <v>0.11049664919634</v>
      </c>
      <c r="I68" s="26" t="s">
        <v>41</v>
      </c>
      <c r="J68" s="23" t="s">
        <v>124</v>
      </c>
    </row>
    <row r="69" spans="1:10">
      <c r="A69" s="18" t="s">
        <v>94</v>
      </c>
      <c r="B69" s="19">
        <v>347.42500000000001</v>
      </c>
      <c r="C69" s="18" t="s">
        <v>26</v>
      </c>
      <c r="D69" s="20">
        <v>12415</v>
      </c>
      <c r="E69" s="18">
        <v>40</v>
      </c>
      <c r="F69" s="18" t="s">
        <v>85</v>
      </c>
      <c r="G69" s="19">
        <v>347.24599999999998</v>
      </c>
      <c r="H69" s="21">
        <v>1.0900040273862299</v>
      </c>
      <c r="I69" s="22" t="s">
        <v>28</v>
      </c>
      <c r="J69" s="23" t="s">
        <v>125</v>
      </c>
    </row>
    <row r="70" spans="1:10">
      <c r="A70" s="18" t="s">
        <v>94</v>
      </c>
      <c r="B70" s="19">
        <v>348.48399999999998</v>
      </c>
      <c r="C70" s="18" t="s">
        <v>26</v>
      </c>
      <c r="D70" s="20">
        <v>21258.5</v>
      </c>
      <c r="E70" s="18">
        <v>39</v>
      </c>
      <c r="F70" s="18" t="s">
        <v>84</v>
      </c>
      <c r="G70" s="19">
        <v>348.58499999999998</v>
      </c>
      <c r="H70" s="21">
        <v>0.171253851400616</v>
      </c>
      <c r="I70" s="26" t="s">
        <v>41</v>
      </c>
      <c r="J70" s="23" t="s">
        <v>126</v>
      </c>
    </row>
    <row r="71" spans="1:10">
      <c r="A71" s="18" t="s">
        <v>94</v>
      </c>
      <c r="B71" s="19">
        <v>349.476</v>
      </c>
      <c r="C71" s="18" t="s">
        <v>26</v>
      </c>
      <c r="D71" s="20">
        <v>12259.5</v>
      </c>
      <c r="E71" s="18">
        <v>41</v>
      </c>
      <c r="F71" s="18" t="s">
        <v>33</v>
      </c>
      <c r="G71" s="19">
        <v>349.44900000000001</v>
      </c>
      <c r="H71" s="21">
        <v>0.96096904441453601</v>
      </c>
      <c r="I71" s="22" t="s">
        <v>28</v>
      </c>
      <c r="J71" s="23" t="s">
        <v>127</v>
      </c>
    </row>
    <row r="72" spans="1:10">
      <c r="A72" s="18" t="s">
        <v>94</v>
      </c>
      <c r="B72" s="19">
        <v>351.55900000000003</v>
      </c>
      <c r="C72" s="18" t="s">
        <v>26</v>
      </c>
      <c r="D72" s="20">
        <v>22584.5</v>
      </c>
      <c r="E72" s="18">
        <v>39</v>
      </c>
      <c r="F72" s="18" t="s">
        <v>84</v>
      </c>
      <c r="G72" s="19">
        <v>351.48899999999998</v>
      </c>
      <c r="H72" s="21">
        <v>0.123562620381235</v>
      </c>
      <c r="I72" s="26" t="s">
        <v>41</v>
      </c>
      <c r="J72" s="23" t="s">
        <v>128</v>
      </c>
    </row>
    <row r="73" spans="1:10">
      <c r="A73" s="18" t="s">
        <v>94</v>
      </c>
      <c r="B73" s="19">
        <v>379.67500000000001</v>
      </c>
      <c r="C73" s="18" t="s">
        <v>26</v>
      </c>
      <c r="D73" s="20">
        <v>37799.5</v>
      </c>
      <c r="E73" s="18">
        <v>36</v>
      </c>
      <c r="F73" s="18" t="s">
        <v>27</v>
      </c>
      <c r="G73" s="19">
        <v>379.54500000000002</v>
      </c>
      <c r="H73" s="21">
        <v>5.1159406870461298E-2</v>
      </c>
      <c r="I73" s="26" t="s">
        <v>41</v>
      </c>
      <c r="J73" s="23" t="s">
        <v>129</v>
      </c>
    </row>
    <row r="74" spans="1:10">
      <c r="A74" s="18" t="s">
        <v>94</v>
      </c>
      <c r="B74" s="19">
        <v>381.07400000000001</v>
      </c>
      <c r="C74" s="18" t="s">
        <v>26</v>
      </c>
      <c r="D74" s="20">
        <v>26567.5</v>
      </c>
      <c r="E74" s="18">
        <v>38</v>
      </c>
      <c r="F74" s="18" t="s">
        <v>27</v>
      </c>
      <c r="G74" s="19">
        <v>381.048</v>
      </c>
      <c r="H74" s="21">
        <v>6.7454596781782297E-2</v>
      </c>
      <c r="I74" s="26" t="s">
        <v>41</v>
      </c>
      <c r="J74" s="23" t="s">
        <v>130</v>
      </c>
    </row>
    <row r="75" spans="1:10">
      <c r="A75" s="18" t="s">
        <v>94</v>
      </c>
      <c r="B75" s="19">
        <v>389.09399999999999</v>
      </c>
      <c r="C75" s="18" t="s">
        <v>26</v>
      </c>
      <c r="D75" s="20">
        <v>72406.5</v>
      </c>
      <c r="E75" s="18">
        <v>37</v>
      </c>
      <c r="F75" s="18" t="s">
        <v>27</v>
      </c>
      <c r="G75" s="19">
        <v>389.09399999999999</v>
      </c>
      <c r="H75" s="21">
        <v>0.12737944797773701</v>
      </c>
      <c r="I75" s="26" t="s">
        <v>41</v>
      </c>
      <c r="J75" s="23" t="s">
        <v>131</v>
      </c>
    </row>
    <row r="76" spans="1:10">
      <c r="A76" s="18" t="s">
        <v>94</v>
      </c>
      <c r="B76" s="19">
        <v>404.54700000000003</v>
      </c>
      <c r="C76" s="18" t="s">
        <v>26</v>
      </c>
      <c r="D76" s="20">
        <v>13411.5</v>
      </c>
      <c r="E76" s="18">
        <v>40</v>
      </c>
      <c r="F76" s="18" t="s">
        <v>25</v>
      </c>
      <c r="G76" s="19">
        <v>404.63400000000001</v>
      </c>
      <c r="H76" s="21">
        <v>0.130895127316109</v>
      </c>
      <c r="I76" s="26" t="s">
        <v>41</v>
      </c>
      <c r="J76" s="23" t="s">
        <v>132</v>
      </c>
    </row>
    <row r="77" spans="1:10">
      <c r="A77" s="18" t="s">
        <v>133</v>
      </c>
      <c r="B77" s="19">
        <v>333.74900000000002</v>
      </c>
      <c r="C77" s="18" t="s">
        <v>26</v>
      </c>
      <c r="D77" s="20">
        <v>86890.7</v>
      </c>
      <c r="E77" s="18">
        <v>38</v>
      </c>
      <c r="F77" s="18" t="s">
        <v>94</v>
      </c>
      <c r="G77" s="19">
        <v>333.72300000000001</v>
      </c>
      <c r="H77" s="21">
        <v>4.60003199421802E-2</v>
      </c>
      <c r="I77" s="28" t="s">
        <v>64</v>
      </c>
      <c r="J77" s="23" t="s">
        <v>134</v>
      </c>
    </row>
    <row r="78" spans="1:10">
      <c r="A78" s="18" t="s">
        <v>133</v>
      </c>
      <c r="B78" s="19">
        <v>375.90800000000002</v>
      </c>
      <c r="C78" s="18" t="s">
        <v>26</v>
      </c>
      <c r="D78" s="20">
        <v>43506.6</v>
      </c>
      <c r="E78" s="18">
        <v>39</v>
      </c>
      <c r="F78" s="18" t="s">
        <v>36</v>
      </c>
      <c r="G78" s="19">
        <v>375.93200000000002</v>
      </c>
      <c r="H78" s="21">
        <v>7.66803197675755E-2</v>
      </c>
      <c r="I78" s="26" t="s">
        <v>41</v>
      </c>
      <c r="J78" s="23" t="s">
        <v>135</v>
      </c>
    </row>
    <row r="79" spans="1:10">
      <c r="A79" s="18" t="s">
        <v>133</v>
      </c>
      <c r="B79" s="19">
        <v>379.08199999999999</v>
      </c>
      <c r="C79" s="18" t="s">
        <v>26</v>
      </c>
      <c r="D79" s="20">
        <v>94893.1</v>
      </c>
      <c r="E79" s="18">
        <v>38</v>
      </c>
      <c r="F79" s="18" t="s">
        <v>84</v>
      </c>
      <c r="G79" s="19">
        <v>379.18299999999999</v>
      </c>
      <c r="H79" s="21">
        <v>0.47534541499856198</v>
      </c>
      <c r="I79" s="22" t="s">
        <v>28</v>
      </c>
      <c r="J79" s="23" t="s">
        <v>136</v>
      </c>
    </row>
    <row r="80" spans="1:10">
      <c r="A80" s="18" t="s">
        <v>133</v>
      </c>
      <c r="B80" s="19">
        <v>379.47699999999998</v>
      </c>
      <c r="C80" s="18" t="s">
        <v>26</v>
      </c>
      <c r="D80" s="20">
        <v>109629.6</v>
      </c>
      <c r="E80" s="18">
        <v>38</v>
      </c>
      <c r="F80" s="18" t="s">
        <v>27</v>
      </c>
      <c r="G80" s="19">
        <v>379.54500000000002</v>
      </c>
      <c r="H80" s="21">
        <v>1.76393966592964E-2</v>
      </c>
      <c r="I80" s="28" t="s">
        <v>64</v>
      </c>
      <c r="J80" s="23" t="s">
        <v>137</v>
      </c>
    </row>
    <row r="81" spans="1:10">
      <c r="A81" s="18" t="s">
        <v>133</v>
      </c>
      <c r="B81" s="19">
        <v>387.16399999999999</v>
      </c>
      <c r="C81" s="18" t="s">
        <v>26</v>
      </c>
      <c r="D81" s="20">
        <v>76758.8</v>
      </c>
      <c r="E81" s="18">
        <v>37</v>
      </c>
      <c r="F81" s="18" t="s">
        <v>33</v>
      </c>
      <c r="G81" s="19">
        <v>387.21100000000001</v>
      </c>
      <c r="H81" s="21">
        <v>0.46772878158595499</v>
      </c>
      <c r="I81" s="22" t="s">
        <v>28</v>
      </c>
      <c r="J81" s="23" t="s">
        <v>138</v>
      </c>
    </row>
    <row r="82" spans="1:10">
      <c r="A82" s="18" t="s">
        <v>133</v>
      </c>
      <c r="B82" s="19">
        <v>394.91</v>
      </c>
      <c r="C82" s="18" t="s">
        <v>26</v>
      </c>
      <c r="D82" s="20">
        <v>114995.4</v>
      </c>
      <c r="E82" s="18">
        <v>40</v>
      </c>
      <c r="F82" s="18" t="s">
        <v>116</v>
      </c>
      <c r="G82" s="19">
        <v>395.03500000000003</v>
      </c>
      <c r="H82" s="21">
        <v>0.42956674788730698</v>
      </c>
      <c r="I82" s="22" t="s">
        <v>28</v>
      </c>
      <c r="J82" s="23" t="s">
        <v>139</v>
      </c>
    </row>
    <row r="83" spans="1:10">
      <c r="A83" s="18" t="s">
        <v>133</v>
      </c>
      <c r="B83" s="19">
        <v>398.85199999999998</v>
      </c>
      <c r="C83" s="18" t="s">
        <v>26</v>
      </c>
      <c r="D83" s="20">
        <v>85700.9</v>
      </c>
      <c r="E83" s="18">
        <v>41</v>
      </c>
      <c r="F83" s="18" t="s">
        <v>27</v>
      </c>
      <c r="G83" s="19">
        <v>399.01</v>
      </c>
      <c r="H83" s="21">
        <v>0.11984004835421801</v>
      </c>
      <c r="I83" s="26" t="s">
        <v>41</v>
      </c>
      <c r="J83" s="23" t="s">
        <v>140</v>
      </c>
    </row>
    <row r="84" spans="1:10">
      <c r="A84" s="18" t="s">
        <v>133</v>
      </c>
      <c r="B84" s="19">
        <v>399.57499999999999</v>
      </c>
      <c r="C84" s="18" t="s">
        <v>26</v>
      </c>
      <c r="D84" s="20">
        <v>61003.199999999997</v>
      </c>
      <c r="E84" s="18">
        <v>37</v>
      </c>
      <c r="F84" s="18" t="s">
        <v>27</v>
      </c>
      <c r="G84" s="19">
        <v>399.46699999999998</v>
      </c>
      <c r="H84" s="21">
        <v>0.15956212133134001</v>
      </c>
      <c r="I84" s="26" t="s">
        <v>41</v>
      </c>
      <c r="J84" s="23" t="s">
        <v>141</v>
      </c>
    </row>
    <row r="85" spans="1:10">
      <c r="A85" s="18" t="s">
        <v>133</v>
      </c>
      <c r="B85" s="19">
        <v>407.73399999999998</v>
      </c>
      <c r="C85" s="18" t="s">
        <v>26</v>
      </c>
      <c r="D85" s="20">
        <v>65306.5</v>
      </c>
      <c r="E85" s="18">
        <v>40</v>
      </c>
      <c r="F85" s="18" t="s">
        <v>33</v>
      </c>
      <c r="G85" s="19">
        <v>407.79700000000003</v>
      </c>
      <c r="H85" s="21">
        <v>0.44109698115807799</v>
      </c>
      <c r="I85" s="22" t="s">
        <v>28</v>
      </c>
      <c r="J85" s="23" t="s">
        <v>142</v>
      </c>
    </row>
    <row r="86" spans="1:10">
      <c r="A86" s="18" t="s">
        <v>133</v>
      </c>
      <c r="B86" s="19">
        <v>408.67099999999999</v>
      </c>
      <c r="C86" s="18" t="s">
        <v>26</v>
      </c>
      <c r="D86" s="20">
        <v>106415.3</v>
      </c>
      <c r="E86" s="18">
        <v>39</v>
      </c>
      <c r="F86" s="18" t="s">
        <v>25</v>
      </c>
      <c r="G86" s="19">
        <v>408.524</v>
      </c>
      <c r="H86" s="21">
        <v>3.6719343928927499E-2</v>
      </c>
      <c r="I86" s="28" t="s">
        <v>64</v>
      </c>
      <c r="J86" s="23" t="s">
        <v>143</v>
      </c>
    </row>
    <row r="87" spans="1:10">
      <c r="A87" s="18" t="s">
        <v>133</v>
      </c>
      <c r="B87" s="19">
        <v>412.322</v>
      </c>
      <c r="C87" s="18" t="s">
        <v>26</v>
      </c>
      <c r="D87" s="20">
        <v>80991.7</v>
      </c>
      <c r="E87" s="18">
        <v>38</v>
      </c>
      <c r="F87" s="18" t="s">
        <v>25</v>
      </c>
      <c r="G87" s="19">
        <v>412.387</v>
      </c>
      <c r="H87" s="21">
        <v>8.3323352886777294E-2</v>
      </c>
      <c r="I87" s="26" t="s">
        <v>41</v>
      </c>
      <c r="J87" s="23" t="s">
        <v>144</v>
      </c>
    </row>
    <row r="88" spans="1:10">
      <c r="A88" s="18" t="s">
        <v>133</v>
      </c>
      <c r="B88" s="19">
        <v>492.178</v>
      </c>
      <c r="C88" s="18" t="s">
        <v>26</v>
      </c>
      <c r="D88" s="20">
        <v>96970.8</v>
      </c>
      <c r="E88" s="18">
        <v>41</v>
      </c>
      <c r="F88" s="18" t="s">
        <v>27</v>
      </c>
      <c r="G88" s="19">
        <v>492.06799999999998</v>
      </c>
      <c r="H88" s="21">
        <v>0.114080733581656</v>
      </c>
      <c r="I88" s="26" t="s">
        <v>41</v>
      </c>
      <c r="J88" s="23" t="s">
        <v>145</v>
      </c>
    </row>
    <row r="89" spans="1:10">
      <c r="A89" s="18" t="s">
        <v>85</v>
      </c>
      <c r="B89" s="19">
        <v>219.55600000000001</v>
      </c>
      <c r="C89" s="18" t="s">
        <v>26</v>
      </c>
      <c r="D89" s="20">
        <v>6745.4</v>
      </c>
      <c r="E89" s="18">
        <v>39</v>
      </c>
      <c r="F89" s="18" t="s">
        <v>60</v>
      </c>
      <c r="G89" s="19"/>
      <c r="H89" s="21">
        <v>0</v>
      </c>
      <c r="I89" s="27" t="s">
        <v>55</v>
      </c>
      <c r="J89" s="23" t="s">
        <v>146</v>
      </c>
    </row>
    <row r="90" spans="1:10">
      <c r="A90" s="18" t="s">
        <v>85</v>
      </c>
      <c r="B90" s="19">
        <v>261.541</v>
      </c>
      <c r="C90" s="18" t="s">
        <v>26</v>
      </c>
      <c r="D90" s="20">
        <v>192560.2</v>
      </c>
      <c r="E90" s="18">
        <v>38</v>
      </c>
      <c r="F90" s="18" t="s">
        <v>84</v>
      </c>
      <c r="G90" s="19">
        <v>261.45499999999998</v>
      </c>
      <c r="H90" s="21">
        <v>8.3921807310129496E-4</v>
      </c>
      <c r="I90" s="27" t="s">
        <v>55</v>
      </c>
      <c r="J90" s="23" t="s">
        <v>147</v>
      </c>
    </row>
    <row r="91" spans="1:10">
      <c r="A91" s="18" t="s">
        <v>85</v>
      </c>
      <c r="B91" s="19">
        <v>289.48399999999998</v>
      </c>
      <c r="C91" s="18" t="s">
        <v>26</v>
      </c>
      <c r="D91" s="20">
        <v>38564.9</v>
      </c>
      <c r="E91" s="18">
        <v>35</v>
      </c>
      <c r="F91" s="18" t="s">
        <v>25</v>
      </c>
      <c r="G91" s="19">
        <v>289.40899999999999</v>
      </c>
      <c r="H91" s="21">
        <v>2.86789282482257E-3</v>
      </c>
      <c r="I91" s="27" t="s">
        <v>55</v>
      </c>
      <c r="J91" s="23" t="s">
        <v>148</v>
      </c>
    </row>
    <row r="92" spans="1:10">
      <c r="A92" s="18" t="s">
        <v>85</v>
      </c>
      <c r="B92" s="19">
        <v>290.02999999999997</v>
      </c>
      <c r="C92" s="18" t="s">
        <v>26</v>
      </c>
      <c r="D92" s="20">
        <v>20693.099999999999</v>
      </c>
      <c r="E92" s="18">
        <v>38</v>
      </c>
      <c r="F92" s="18" t="s">
        <v>33</v>
      </c>
      <c r="G92" s="19">
        <v>290.08199999999999</v>
      </c>
      <c r="H92" s="21">
        <v>1.0776539039583199E-2</v>
      </c>
      <c r="I92" s="28" t="s">
        <v>64</v>
      </c>
      <c r="J92" s="23" t="s">
        <v>149</v>
      </c>
    </row>
    <row r="93" spans="1:10">
      <c r="A93" s="18" t="s">
        <v>85</v>
      </c>
      <c r="B93" s="19">
        <v>291.13900000000001</v>
      </c>
      <c r="C93" s="18" t="s">
        <v>26</v>
      </c>
      <c r="D93" s="20">
        <v>25808.2</v>
      </c>
      <c r="E93" s="18">
        <v>39</v>
      </c>
      <c r="F93" s="18" t="s">
        <v>84</v>
      </c>
      <c r="G93" s="19">
        <v>291.036</v>
      </c>
      <c r="H93" s="21">
        <v>0.227319224122566</v>
      </c>
      <c r="I93" s="22" t="s">
        <v>28</v>
      </c>
      <c r="J93" s="23" t="s">
        <v>150</v>
      </c>
    </row>
    <row r="94" spans="1:10">
      <c r="A94" s="18" t="s">
        <v>85</v>
      </c>
      <c r="B94" s="19">
        <v>307.76</v>
      </c>
      <c r="C94" s="18" t="s">
        <v>26</v>
      </c>
      <c r="D94" s="20">
        <v>71870.399999999994</v>
      </c>
      <c r="E94" s="18">
        <v>41</v>
      </c>
      <c r="F94" s="18" t="s">
        <v>36</v>
      </c>
      <c r="G94" s="19">
        <v>307.69299999999998</v>
      </c>
      <c r="H94" s="21">
        <v>7.5627796700728001E-2</v>
      </c>
      <c r="I94" s="26" t="s">
        <v>41</v>
      </c>
      <c r="J94" s="23" t="s">
        <v>151</v>
      </c>
    </row>
    <row r="95" spans="1:10">
      <c r="A95" s="18" t="s">
        <v>85</v>
      </c>
      <c r="B95" s="19">
        <v>339.70699999999999</v>
      </c>
      <c r="C95" s="18" t="s">
        <v>26</v>
      </c>
      <c r="D95" s="20">
        <v>28439.8</v>
      </c>
      <c r="E95" s="18">
        <v>37</v>
      </c>
      <c r="F95" s="18" t="s">
        <v>84</v>
      </c>
      <c r="G95" s="19">
        <v>339.827</v>
      </c>
      <c r="H95" s="21">
        <v>0.26069100345290802</v>
      </c>
      <c r="I95" s="22" t="s">
        <v>28</v>
      </c>
      <c r="J95" s="23" t="s">
        <v>152</v>
      </c>
    </row>
    <row r="96" spans="1:10">
      <c r="A96" s="18" t="s">
        <v>85</v>
      </c>
      <c r="B96" s="19">
        <v>350.738</v>
      </c>
      <c r="C96" s="18" t="s">
        <v>26</v>
      </c>
      <c r="D96" s="20">
        <v>44750</v>
      </c>
      <c r="E96" s="18">
        <v>37</v>
      </c>
      <c r="F96" s="18" t="s">
        <v>33</v>
      </c>
      <c r="G96" s="19">
        <v>350.68099999999998</v>
      </c>
      <c r="H96" s="21">
        <v>0.10171843575419</v>
      </c>
      <c r="I96" s="26" t="s">
        <v>41</v>
      </c>
      <c r="J96" s="23" t="s">
        <v>153</v>
      </c>
    </row>
    <row r="97" spans="1:10">
      <c r="A97" s="18" t="s">
        <v>85</v>
      </c>
      <c r="B97" s="19">
        <v>547.66800000000001</v>
      </c>
      <c r="C97" s="18" t="s">
        <v>26</v>
      </c>
      <c r="D97" s="20">
        <v>106050.9</v>
      </c>
      <c r="E97" s="18">
        <v>36</v>
      </c>
      <c r="F97" s="18" t="s">
        <v>25</v>
      </c>
      <c r="G97" s="19">
        <v>547.22799999999995</v>
      </c>
      <c r="H97" s="21">
        <v>3.4059116895754797E-2</v>
      </c>
      <c r="I97" s="28" t="s">
        <v>64</v>
      </c>
      <c r="J97" s="23" t="s">
        <v>154</v>
      </c>
    </row>
    <row r="98" spans="1:10">
      <c r="A98" s="18" t="s">
        <v>27</v>
      </c>
      <c r="B98" s="19">
        <v>378.42500000000001</v>
      </c>
      <c r="C98" s="18" t="s">
        <v>26</v>
      </c>
      <c r="D98" s="20">
        <v>10939.4</v>
      </c>
      <c r="E98" s="18">
        <v>36</v>
      </c>
      <c r="F98" s="18" t="s">
        <v>33</v>
      </c>
      <c r="G98" s="19">
        <v>378.61799999999999</v>
      </c>
      <c r="H98" s="21">
        <v>0.93955792822275497</v>
      </c>
      <c r="I98" s="22" t="s">
        <v>28</v>
      </c>
      <c r="J98" s="23" t="s">
        <v>155</v>
      </c>
    </row>
    <row r="99" spans="1:10">
      <c r="A99" s="18" t="s">
        <v>27</v>
      </c>
      <c r="B99" s="19">
        <v>380.53300000000002</v>
      </c>
      <c r="C99" s="18" t="s">
        <v>26</v>
      </c>
      <c r="D99" s="20">
        <v>9905.6</v>
      </c>
      <c r="E99" s="18">
        <v>37</v>
      </c>
      <c r="F99" s="18" t="s">
        <v>36</v>
      </c>
      <c r="G99" s="19">
        <v>380.55200000000002</v>
      </c>
      <c r="H99" s="21">
        <v>0.27525843967048902</v>
      </c>
      <c r="I99" s="22" t="s">
        <v>28</v>
      </c>
      <c r="J99" s="23" t="s">
        <v>156</v>
      </c>
    </row>
    <row r="100" spans="1:10">
      <c r="A100" s="18" t="s">
        <v>27</v>
      </c>
      <c r="B100" s="19">
        <v>386.34100000000001</v>
      </c>
      <c r="C100" s="18" t="s">
        <v>26</v>
      </c>
      <c r="D100" s="20">
        <v>16590.7</v>
      </c>
      <c r="E100" s="18">
        <v>37</v>
      </c>
      <c r="F100" s="18" t="s">
        <v>84</v>
      </c>
      <c r="G100" s="19">
        <v>386.48</v>
      </c>
      <c r="H100" s="21">
        <v>0.15501455634783301</v>
      </c>
      <c r="I100" s="26" t="s">
        <v>41</v>
      </c>
      <c r="J100" s="23" t="s">
        <v>157</v>
      </c>
    </row>
    <row r="101" spans="1:10">
      <c r="A101" s="18" t="s">
        <v>27</v>
      </c>
      <c r="B101" s="19">
        <v>395.11399999999998</v>
      </c>
      <c r="C101" s="18" t="s">
        <v>26</v>
      </c>
      <c r="D101" s="20">
        <v>10000.9</v>
      </c>
      <c r="E101" s="18">
        <v>39</v>
      </c>
      <c r="F101" s="18" t="s">
        <v>116</v>
      </c>
      <c r="G101" s="19">
        <v>395.03500000000003</v>
      </c>
      <c r="H101" s="21">
        <v>4.93937545620894</v>
      </c>
      <c r="I101" s="22" t="s">
        <v>28</v>
      </c>
      <c r="J101" s="23" t="s">
        <v>158</v>
      </c>
    </row>
    <row r="102" spans="1:10">
      <c r="A102" s="18" t="s">
        <v>27</v>
      </c>
      <c r="B102" s="19">
        <v>396.31</v>
      </c>
      <c r="C102" s="18" t="s">
        <v>26</v>
      </c>
      <c r="D102" s="20">
        <v>14235.7</v>
      </c>
      <c r="E102" s="18">
        <v>40</v>
      </c>
      <c r="F102" s="18" t="s">
        <v>25</v>
      </c>
      <c r="G102" s="19">
        <v>396.45</v>
      </c>
      <c r="H102" s="21">
        <v>0.14446075711064399</v>
      </c>
      <c r="I102" s="26" t="s">
        <v>41</v>
      </c>
      <c r="J102" s="23" t="s">
        <v>159</v>
      </c>
    </row>
    <row r="103" spans="1:10">
      <c r="A103" s="18" t="s">
        <v>27</v>
      </c>
      <c r="B103" s="19">
        <v>399.46699999999998</v>
      </c>
      <c r="C103" s="18" t="s">
        <v>26</v>
      </c>
      <c r="D103" s="20">
        <v>9733.7999999999993</v>
      </c>
      <c r="E103" s="18">
        <v>38</v>
      </c>
      <c r="F103" s="18" t="s">
        <v>25</v>
      </c>
      <c r="G103" s="19">
        <v>399.38200000000001</v>
      </c>
      <c r="H103" s="21">
        <v>0.51423904333353898</v>
      </c>
      <c r="I103" s="22" t="s">
        <v>28</v>
      </c>
      <c r="J103" s="23" t="s">
        <v>160</v>
      </c>
    </row>
    <row r="104" spans="1:10">
      <c r="A104" s="18" t="s">
        <v>27</v>
      </c>
      <c r="B104" s="19">
        <v>401.22399999999999</v>
      </c>
      <c r="C104" s="18" t="s">
        <v>26</v>
      </c>
      <c r="D104" s="20">
        <v>21334.9</v>
      </c>
      <c r="E104" s="18">
        <v>39</v>
      </c>
      <c r="F104" s="18" t="s">
        <v>25</v>
      </c>
      <c r="G104" s="19">
        <v>401.23899999999998</v>
      </c>
      <c r="H104" s="21">
        <v>0.28686330847578401</v>
      </c>
      <c r="I104" s="22" t="s">
        <v>28</v>
      </c>
      <c r="J104" s="23" t="s">
        <v>161</v>
      </c>
    </row>
    <row r="105" spans="1:10">
      <c r="A105" s="18" t="s">
        <v>27</v>
      </c>
      <c r="B105" s="19">
        <v>406.108</v>
      </c>
      <c r="C105" s="18" t="s">
        <v>26</v>
      </c>
      <c r="D105" s="20">
        <v>20406.900000000001</v>
      </c>
      <c r="E105" s="18">
        <v>41</v>
      </c>
      <c r="F105" s="18" t="s">
        <v>36</v>
      </c>
      <c r="G105" s="19">
        <v>406.25900000000001</v>
      </c>
      <c r="H105" s="21">
        <v>0.15812788811627401</v>
      </c>
      <c r="I105" s="26" t="s">
        <v>41</v>
      </c>
      <c r="J105" s="23" t="s">
        <v>162</v>
      </c>
    </row>
    <row r="106" spans="1:10">
      <c r="A106" s="18" t="s">
        <v>27</v>
      </c>
      <c r="B106" s="19">
        <v>410.94499999999999</v>
      </c>
      <c r="C106" s="18" t="s">
        <v>26</v>
      </c>
      <c r="D106" s="20">
        <v>22075.9</v>
      </c>
      <c r="E106" s="18">
        <v>39</v>
      </c>
      <c r="F106" s="18" t="s">
        <v>36</v>
      </c>
      <c r="G106" s="19">
        <v>410.839</v>
      </c>
      <c r="H106" s="21">
        <v>0.21593683609728301</v>
      </c>
      <c r="I106" s="22" t="s">
        <v>28</v>
      </c>
      <c r="J106" s="23" t="s">
        <v>163</v>
      </c>
    </row>
    <row r="107" spans="1:10">
      <c r="A107" s="18" t="s">
        <v>27</v>
      </c>
      <c r="B107" s="19">
        <v>430.35700000000003</v>
      </c>
      <c r="C107" s="18" t="s">
        <v>26</v>
      </c>
      <c r="D107" s="20">
        <v>24740.7</v>
      </c>
      <c r="E107" s="18">
        <v>40</v>
      </c>
      <c r="F107" s="18" t="s">
        <v>25</v>
      </c>
      <c r="G107" s="19">
        <v>430.51400000000001</v>
      </c>
      <c r="H107" s="21">
        <v>0.116003185035185</v>
      </c>
      <c r="I107" s="26" t="s">
        <v>41</v>
      </c>
      <c r="J107" s="23" t="s">
        <v>164</v>
      </c>
    </row>
    <row r="108" spans="1:10">
      <c r="A108" s="18" t="s">
        <v>165</v>
      </c>
      <c r="B108" s="19">
        <v>216.55500000000001</v>
      </c>
      <c r="C108" s="18" t="s">
        <v>26</v>
      </c>
      <c r="D108" s="20">
        <v>6350</v>
      </c>
      <c r="E108" s="18">
        <v>40</v>
      </c>
      <c r="F108" s="18" t="s">
        <v>60</v>
      </c>
      <c r="G108" s="19"/>
      <c r="H108" s="21">
        <v>0</v>
      </c>
      <c r="I108" s="27" t="s">
        <v>55</v>
      </c>
      <c r="J108" s="23" t="s">
        <v>166</v>
      </c>
    </row>
    <row r="109" spans="1:10">
      <c r="A109" s="18" t="s">
        <v>165</v>
      </c>
      <c r="B109" s="19">
        <v>217.46700000000001</v>
      </c>
      <c r="C109" s="18" t="s">
        <v>26</v>
      </c>
      <c r="D109" s="20">
        <v>3940.4</v>
      </c>
      <c r="E109" s="18">
        <v>39</v>
      </c>
      <c r="F109" s="18" t="s">
        <v>60</v>
      </c>
      <c r="G109" s="19"/>
      <c r="H109" s="21">
        <v>0</v>
      </c>
      <c r="I109" s="27" t="s">
        <v>55</v>
      </c>
      <c r="J109" s="23" t="s">
        <v>167</v>
      </c>
    </row>
    <row r="110" spans="1:10">
      <c r="A110" s="18" t="s">
        <v>165</v>
      </c>
      <c r="B110" s="19">
        <v>221.648</v>
      </c>
      <c r="C110" s="18" t="s">
        <v>26</v>
      </c>
      <c r="D110" s="20">
        <v>7884.3</v>
      </c>
      <c r="E110" s="18">
        <v>40</v>
      </c>
      <c r="F110" s="18" t="s">
        <v>25</v>
      </c>
      <c r="G110" s="19">
        <v>221.625</v>
      </c>
      <c r="H110" s="21">
        <v>1.0146747333308001E-3</v>
      </c>
      <c r="I110" s="27" t="s">
        <v>55</v>
      </c>
      <c r="J110" s="23" t="s">
        <v>168</v>
      </c>
    </row>
    <row r="111" spans="1:10">
      <c r="A111" s="18" t="s">
        <v>165</v>
      </c>
      <c r="B111" s="19">
        <v>222.48599999999999</v>
      </c>
      <c r="C111" s="18" t="s">
        <v>26</v>
      </c>
      <c r="D111" s="20">
        <v>3688.9</v>
      </c>
      <c r="E111" s="18">
        <v>40</v>
      </c>
      <c r="F111" s="18" t="s">
        <v>63</v>
      </c>
      <c r="G111" s="19">
        <v>222.447</v>
      </c>
      <c r="H111" s="21">
        <v>3.07980698853317</v>
      </c>
      <c r="I111" s="22" t="s">
        <v>28</v>
      </c>
      <c r="J111" s="23" t="s">
        <v>169</v>
      </c>
    </row>
    <row r="112" spans="1:10">
      <c r="A112" s="18" t="s">
        <v>165</v>
      </c>
      <c r="B112" s="19">
        <v>227.02099999999999</v>
      </c>
      <c r="C112" s="18" t="s">
        <v>26</v>
      </c>
      <c r="D112" s="20">
        <v>6337.5</v>
      </c>
      <c r="E112" s="18">
        <v>40</v>
      </c>
      <c r="F112" s="18" t="s">
        <v>60</v>
      </c>
      <c r="G112" s="19"/>
      <c r="H112" s="21">
        <v>0</v>
      </c>
      <c r="I112" s="27" t="s">
        <v>55</v>
      </c>
      <c r="J112" s="23" t="s">
        <v>170</v>
      </c>
    </row>
    <row r="113" spans="1:10">
      <c r="A113" s="18" t="s">
        <v>165</v>
      </c>
      <c r="B113" s="19">
        <v>230.29900000000001</v>
      </c>
      <c r="C113" s="18" t="s">
        <v>26</v>
      </c>
      <c r="D113" s="20">
        <v>10393.1</v>
      </c>
      <c r="E113" s="18">
        <v>40</v>
      </c>
      <c r="F113" s="18" t="s">
        <v>60</v>
      </c>
      <c r="G113" s="19"/>
      <c r="H113" s="21">
        <v>0</v>
      </c>
      <c r="I113" s="27" t="s">
        <v>55</v>
      </c>
      <c r="J113" s="23" t="s">
        <v>171</v>
      </c>
    </row>
    <row r="114" spans="1:10">
      <c r="A114" s="18" t="s">
        <v>165</v>
      </c>
      <c r="B114" s="19">
        <v>231.60400000000001</v>
      </c>
      <c r="C114" s="18" t="s">
        <v>26</v>
      </c>
      <c r="D114" s="20">
        <v>9024.1</v>
      </c>
      <c r="E114" s="18">
        <v>39</v>
      </c>
      <c r="F114" s="18" t="s">
        <v>60</v>
      </c>
      <c r="G114" s="19"/>
      <c r="H114" s="21">
        <v>0</v>
      </c>
      <c r="I114" s="27" t="s">
        <v>55</v>
      </c>
      <c r="J114" s="23" t="s">
        <v>172</v>
      </c>
    </row>
    <row r="115" spans="1:10">
      <c r="A115" s="18" t="s">
        <v>173</v>
      </c>
      <c r="B115" s="19">
        <v>390.84300000000002</v>
      </c>
      <c r="C115" s="18" t="s">
        <v>26</v>
      </c>
      <c r="D115" s="20">
        <v>14190.7</v>
      </c>
      <c r="E115" s="18">
        <v>40</v>
      </c>
      <c r="F115" s="18" t="s">
        <v>84</v>
      </c>
      <c r="G115" s="19">
        <v>390.63099999999997</v>
      </c>
      <c r="H115" s="21">
        <v>2.3682411720352099</v>
      </c>
      <c r="I115" s="22" t="s">
        <v>28</v>
      </c>
      <c r="J115" s="23" t="s">
        <v>174</v>
      </c>
    </row>
    <row r="116" spans="1:10">
      <c r="A116" s="18" t="s">
        <v>173</v>
      </c>
      <c r="B116" s="19">
        <v>400.86900000000003</v>
      </c>
      <c r="C116" s="18" t="s">
        <v>26</v>
      </c>
      <c r="D116" s="20">
        <v>8598.1</v>
      </c>
      <c r="E116" s="18">
        <v>39</v>
      </c>
      <c r="F116" s="18" t="s">
        <v>84</v>
      </c>
      <c r="G116" s="19">
        <v>400.79599999999999</v>
      </c>
      <c r="H116" s="21">
        <v>0.23452855863504701</v>
      </c>
      <c r="I116" s="22" t="s">
        <v>28</v>
      </c>
      <c r="J116" s="23" t="s">
        <v>175</v>
      </c>
    </row>
    <row r="117" spans="1:10">
      <c r="A117" s="18" t="s">
        <v>173</v>
      </c>
      <c r="B117" s="19">
        <v>406.28100000000001</v>
      </c>
      <c r="C117" s="18" t="s">
        <v>26</v>
      </c>
      <c r="D117" s="20">
        <v>13744.9</v>
      </c>
      <c r="E117" s="18">
        <v>40</v>
      </c>
      <c r="F117" s="18" t="s">
        <v>27</v>
      </c>
      <c r="G117" s="19">
        <v>406.108</v>
      </c>
      <c r="H117" s="21">
        <v>1.4846888664159099</v>
      </c>
      <c r="I117" s="22" t="s">
        <v>28</v>
      </c>
      <c r="J117" s="23" t="s">
        <v>176</v>
      </c>
    </row>
    <row r="118" spans="1:10">
      <c r="A118" s="18" t="s">
        <v>173</v>
      </c>
      <c r="B118" s="19">
        <v>410.072</v>
      </c>
      <c r="C118" s="18" t="s">
        <v>26</v>
      </c>
      <c r="D118" s="20">
        <v>28125.9</v>
      </c>
      <c r="E118" s="18">
        <v>38</v>
      </c>
      <c r="F118" s="18" t="s">
        <v>33</v>
      </c>
      <c r="G118" s="19">
        <v>410.33100000000002</v>
      </c>
      <c r="H118" s="21">
        <v>0.45621651218272102</v>
      </c>
      <c r="I118" s="22" t="s">
        <v>28</v>
      </c>
      <c r="J118" s="23" t="s">
        <v>177</v>
      </c>
    </row>
    <row r="119" spans="1:10">
      <c r="A119" s="18" t="s">
        <v>173</v>
      </c>
      <c r="B119" s="19">
        <v>411.846</v>
      </c>
      <c r="C119" s="18" t="s">
        <v>26</v>
      </c>
      <c r="D119" s="20">
        <v>15489.8</v>
      </c>
      <c r="E119" s="18">
        <v>40</v>
      </c>
      <c r="F119" s="18" t="s">
        <v>25</v>
      </c>
      <c r="G119" s="19">
        <v>411.81400000000002</v>
      </c>
      <c r="H119" s="21">
        <v>0.38357499774044901</v>
      </c>
      <c r="I119" s="22" t="s">
        <v>28</v>
      </c>
      <c r="J119" s="23" t="s">
        <v>178</v>
      </c>
    </row>
    <row r="120" spans="1:10">
      <c r="A120" s="18" t="s">
        <v>173</v>
      </c>
      <c r="B120" s="19">
        <v>417.93900000000002</v>
      </c>
      <c r="C120" s="18" t="s">
        <v>26</v>
      </c>
      <c r="D120" s="20">
        <v>15252.3</v>
      </c>
      <c r="E120" s="18">
        <v>40</v>
      </c>
      <c r="F120" s="18" t="s">
        <v>116</v>
      </c>
      <c r="G120" s="19">
        <v>417.75299999999999</v>
      </c>
      <c r="H120" s="21">
        <v>4.1594316922693597</v>
      </c>
      <c r="I120" s="22" t="s">
        <v>28</v>
      </c>
      <c r="J120" s="23" t="s">
        <v>179</v>
      </c>
    </row>
    <row r="121" spans="1:10">
      <c r="A121" s="18" t="s">
        <v>173</v>
      </c>
      <c r="B121" s="19">
        <v>418.94799999999998</v>
      </c>
      <c r="C121" s="18" t="s">
        <v>26</v>
      </c>
      <c r="D121" s="20">
        <v>12385.2</v>
      </c>
      <c r="E121" s="18">
        <v>36</v>
      </c>
      <c r="F121" s="18" t="s">
        <v>25</v>
      </c>
      <c r="G121" s="19">
        <v>418.73200000000003</v>
      </c>
      <c r="H121" s="21">
        <v>0.181345476859477</v>
      </c>
      <c r="I121" s="26" t="s">
        <v>41</v>
      </c>
      <c r="J121" s="23" t="s">
        <v>180</v>
      </c>
    </row>
    <row r="122" spans="1:10">
      <c r="A122" s="18" t="s">
        <v>173</v>
      </c>
      <c r="B122" s="19">
        <v>420.67200000000003</v>
      </c>
      <c r="C122" s="18" t="s">
        <v>26</v>
      </c>
      <c r="D122" s="20">
        <v>13022.2</v>
      </c>
      <c r="E122" s="18">
        <v>39</v>
      </c>
      <c r="F122" s="18" t="s">
        <v>27</v>
      </c>
      <c r="G122" s="19">
        <v>420.55799999999999</v>
      </c>
      <c r="H122" s="21">
        <v>0.226106187894519</v>
      </c>
      <c r="I122" s="22" t="s">
        <v>28</v>
      </c>
      <c r="J122" s="23" t="s">
        <v>181</v>
      </c>
    </row>
    <row r="123" spans="1:10">
      <c r="A123" s="18" t="s">
        <v>173</v>
      </c>
      <c r="B123" s="19">
        <v>422.29300000000001</v>
      </c>
      <c r="C123" s="18" t="s">
        <v>26</v>
      </c>
      <c r="D123" s="20">
        <v>23602.799999999999</v>
      </c>
      <c r="E123" s="18">
        <v>37</v>
      </c>
      <c r="F123" s="18" t="s">
        <v>25</v>
      </c>
      <c r="G123" s="19">
        <v>422.26</v>
      </c>
      <c r="H123" s="21">
        <v>4.9101377802633603</v>
      </c>
      <c r="I123" s="22" t="s">
        <v>28</v>
      </c>
      <c r="J123" s="23" t="s">
        <v>182</v>
      </c>
    </row>
    <row r="124" spans="1:10">
      <c r="A124" s="18" t="s">
        <v>173</v>
      </c>
      <c r="B124" s="19">
        <v>422.53199999999998</v>
      </c>
      <c r="C124" s="18" t="s">
        <v>26</v>
      </c>
      <c r="D124" s="20">
        <v>27726.400000000001</v>
      </c>
      <c r="E124" s="18">
        <v>36</v>
      </c>
      <c r="F124" s="18" t="s">
        <v>36</v>
      </c>
      <c r="G124" s="19">
        <v>422.50299999999999</v>
      </c>
      <c r="H124" s="21">
        <v>5.4284003693230998E-2</v>
      </c>
      <c r="I124" s="26" t="s">
        <v>41</v>
      </c>
      <c r="J124" s="23" t="s">
        <v>183</v>
      </c>
    </row>
    <row r="125" spans="1:10">
      <c r="A125" s="18" t="s">
        <v>184</v>
      </c>
      <c r="B125" s="19">
        <v>255.23500000000001</v>
      </c>
      <c r="C125" s="18" t="s">
        <v>26</v>
      </c>
      <c r="D125" s="20">
        <v>50325</v>
      </c>
      <c r="E125" s="18">
        <v>40</v>
      </c>
      <c r="F125" s="18" t="s">
        <v>63</v>
      </c>
      <c r="G125" s="19">
        <v>255.215</v>
      </c>
      <c r="H125" s="21">
        <v>5.4386487829110796E-3</v>
      </c>
      <c r="I125" s="27" t="s">
        <v>55</v>
      </c>
      <c r="J125" s="23" t="s">
        <v>185</v>
      </c>
    </row>
    <row r="126" spans="1:10">
      <c r="A126" s="18" t="s">
        <v>184</v>
      </c>
      <c r="B126" s="19">
        <v>335.37200000000001</v>
      </c>
      <c r="C126" s="18" t="s">
        <v>26</v>
      </c>
      <c r="D126" s="20">
        <v>316070</v>
      </c>
      <c r="E126" s="18">
        <v>40</v>
      </c>
      <c r="F126" s="18" t="s">
        <v>94</v>
      </c>
      <c r="G126" s="19">
        <v>335.45800000000003</v>
      </c>
      <c r="H126" s="21">
        <v>7.6755149175815503E-3</v>
      </c>
      <c r="I126" s="27" t="s">
        <v>55</v>
      </c>
      <c r="J126" s="23" t="s">
        <v>186</v>
      </c>
    </row>
    <row r="127" spans="1:10">
      <c r="A127" s="18" t="s">
        <v>184</v>
      </c>
      <c r="B127" s="19">
        <v>357.25299999999999</v>
      </c>
      <c r="C127" s="18" t="s">
        <v>26</v>
      </c>
      <c r="D127" s="20">
        <v>327935</v>
      </c>
      <c r="E127" s="18">
        <v>40</v>
      </c>
      <c r="F127" s="18" t="s">
        <v>33</v>
      </c>
      <c r="G127" s="19">
        <v>357.38299999999998</v>
      </c>
      <c r="H127" s="21">
        <v>7.0193788403189704E-3</v>
      </c>
      <c r="I127" s="27" t="s">
        <v>55</v>
      </c>
      <c r="J127" s="23" t="s">
        <v>187</v>
      </c>
    </row>
    <row r="128" spans="1:10">
      <c r="A128" s="18" t="s">
        <v>184</v>
      </c>
      <c r="B128" s="19">
        <v>357.63400000000001</v>
      </c>
      <c r="C128" s="18" t="s">
        <v>26</v>
      </c>
      <c r="D128" s="20">
        <v>200450</v>
      </c>
      <c r="E128" s="18">
        <v>40</v>
      </c>
      <c r="F128" s="18" t="s">
        <v>33</v>
      </c>
      <c r="G128" s="19">
        <v>357.625</v>
      </c>
      <c r="H128" s="21">
        <v>6.1791469194312797E-2</v>
      </c>
      <c r="I128" s="26" t="s">
        <v>41</v>
      </c>
      <c r="J128" s="23" t="s">
        <v>188</v>
      </c>
    </row>
    <row r="129" spans="1:10">
      <c r="A129" s="18" t="s">
        <v>184</v>
      </c>
      <c r="B129" s="19">
        <v>361.38299999999998</v>
      </c>
      <c r="C129" s="18" t="s">
        <v>26</v>
      </c>
      <c r="D129" s="20">
        <v>440627.7</v>
      </c>
      <c r="E129" s="18">
        <v>40</v>
      </c>
      <c r="F129" s="18" t="s">
        <v>36</v>
      </c>
      <c r="G129" s="19">
        <v>361.339</v>
      </c>
      <c r="H129" s="21">
        <v>4.7670629876424E-3</v>
      </c>
      <c r="I129" s="27" t="s">
        <v>55</v>
      </c>
      <c r="J129" s="23" t="s">
        <v>189</v>
      </c>
    </row>
    <row r="130" spans="1:10">
      <c r="A130" s="18" t="s">
        <v>184</v>
      </c>
      <c r="B130" s="19">
        <v>363.07400000000001</v>
      </c>
      <c r="C130" s="18" t="s">
        <v>26</v>
      </c>
      <c r="D130" s="20">
        <v>141065</v>
      </c>
      <c r="E130" s="18">
        <v>40</v>
      </c>
      <c r="F130" s="18" t="s">
        <v>33</v>
      </c>
      <c r="G130" s="19">
        <v>363.024</v>
      </c>
      <c r="H130" s="21">
        <v>2.3747208733562501E-2</v>
      </c>
      <c r="I130" s="28" t="s">
        <v>64</v>
      </c>
      <c r="J130" s="23" t="s">
        <v>190</v>
      </c>
    </row>
    <row r="131" spans="1:10">
      <c r="A131" s="18" t="s">
        <v>184</v>
      </c>
      <c r="B131" s="19">
        <v>364.27800000000002</v>
      </c>
      <c r="C131" s="18" t="s">
        <v>26</v>
      </c>
      <c r="D131" s="20">
        <v>101270</v>
      </c>
      <c r="E131" s="18">
        <v>40</v>
      </c>
      <c r="F131" s="18" t="s">
        <v>109</v>
      </c>
      <c r="G131" s="19">
        <v>364.36500000000001</v>
      </c>
      <c r="H131" s="21">
        <v>2.6053125308581001E-2</v>
      </c>
      <c r="I131" s="28" t="s">
        <v>64</v>
      </c>
      <c r="J131" s="23" t="s">
        <v>191</v>
      </c>
    </row>
    <row r="132" spans="1:10">
      <c r="A132" s="18" t="s">
        <v>184</v>
      </c>
      <c r="B132" s="19">
        <v>424.68200000000002</v>
      </c>
      <c r="C132" s="18" t="s">
        <v>26</v>
      </c>
      <c r="D132" s="20">
        <v>263845</v>
      </c>
      <c r="E132" s="18">
        <v>40</v>
      </c>
      <c r="F132" s="18" t="s">
        <v>27</v>
      </c>
      <c r="G132" s="19">
        <v>424.73599999999999</v>
      </c>
      <c r="H132" s="21">
        <v>2.31670109344502E-2</v>
      </c>
      <c r="I132" s="28" t="s">
        <v>64</v>
      </c>
      <c r="J132" s="23" t="s">
        <v>192</v>
      </c>
    </row>
    <row r="133" spans="1:10">
      <c r="A133" s="18" t="s">
        <v>193</v>
      </c>
      <c r="B133" s="19">
        <v>226.142</v>
      </c>
      <c r="C133" s="18" t="s">
        <v>26</v>
      </c>
      <c r="D133" s="20">
        <v>3278.3</v>
      </c>
      <c r="E133" s="18">
        <v>39</v>
      </c>
      <c r="F133" s="18" t="s">
        <v>60</v>
      </c>
      <c r="G133" s="19"/>
      <c r="H133" s="21">
        <v>0</v>
      </c>
      <c r="I133" s="27" t="s">
        <v>55</v>
      </c>
      <c r="J133" s="23" t="s">
        <v>194</v>
      </c>
    </row>
    <row r="134" spans="1:10">
      <c r="A134" s="18" t="s">
        <v>193</v>
      </c>
      <c r="B134" s="19">
        <v>226.23</v>
      </c>
      <c r="C134" s="18" t="s">
        <v>26</v>
      </c>
      <c r="D134" s="20">
        <v>3305.6</v>
      </c>
      <c r="E134" s="18">
        <v>39</v>
      </c>
      <c r="F134" s="18" t="s">
        <v>60</v>
      </c>
      <c r="G134" s="19"/>
      <c r="H134" s="21">
        <v>0</v>
      </c>
      <c r="I134" s="27" t="s">
        <v>55</v>
      </c>
      <c r="J134" s="23" t="s">
        <v>195</v>
      </c>
    </row>
    <row r="135" spans="1:10">
      <c r="A135" s="18" t="s">
        <v>193</v>
      </c>
      <c r="B135" s="19">
        <v>233.19800000000001</v>
      </c>
      <c r="C135" s="18" t="s">
        <v>26</v>
      </c>
      <c r="D135" s="20">
        <v>3011.9</v>
      </c>
      <c r="E135" s="18">
        <v>38</v>
      </c>
      <c r="F135" s="18" t="s">
        <v>60</v>
      </c>
      <c r="G135" s="19"/>
      <c r="H135" s="21">
        <v>0</v>
      </c>
      <c r="I135" s="27" t="s">
        <v>55</v>
      </c>
      <c r="J135" s="23" t="s">
        <v>196</v>
      </c>
    </row>
    <row r="136" spans="1:10">
      <c r="A136" s="18" t="s">
        <v>193</v>
      </c>
      <c r="B136" s="19">
        <v>238.70599999999999</v>
      </c>
      <c r="C136" s="18" t="s">
        <v>26</v>
      </c>
      <c r="D136" s="20">
        <v>5220.6000000000004</v>
      </c>
      <c r="E136" s="18">
        <v>37</v>
      </c>
      <c r="F136" s="18" t="s">
        <v>33</v>
      </c>
      <c r="G136" s="19">
        <v>238.73599999999999</v>
      </c>
      <c r="H136" s="21">
        <v>5.1086082059533397E-2</v>
      </c>
      <c r="I136" s="26" t="s">
        <v>41</v>
      </c>
      <c r="J136" s="23" t="s">
        <v>197</v>
      </c>
    </row>
    <row r="137" spans="1:10">
      <c r="A137" s="18" t="s">
        <v>193</v>
      </c>
      <c r="B137" s="19">
        <v>240.06299999999999</v>
      </c>
      <c r="C137" s="18" t="s">
        <v>26</v>
      </c>
      <c r="D137" s="20">
        <v>3206.4</v>
      </c>
      <c r="E137" s="18">
        <v>40</v>
      </c>
      <c r="F137" s="18" t="s">
        <v>33</v>
      </c>
      <c r="G137" s="19">
        <v>240.22900000000001</v>
      </c>
      <c r="H137" s="21">
        <v>5.58570359281437E-2</v>
      </c>
      <c r="I137" s="26" t="s">
        <v>41</v>
      </c>
      <c r="J137" s="23" t="s">
        <v>198</v>
      </c>
    </row>
    <row r="138" spans="1:10">
      <c r="A138" s="18" t="s">
        <v>193</v>
      </c>
      <c r="B138" s="19">
        <v>263.55799999999999</v>
      </c>
      <c r="C138" s="18" t="s">
        <v>26</v>
      </c>
      <c r="D138" s="20">
        <v>6740</v>
      </c>
      <c r="E138" s="18">
        <v>40</v>
      </c>
      <c r="F138" s="18" t="s">
        <v>33</v>
      </c>
      <c r="G138" s="19">
        <v>263.48</v>
      </c>
      <c r="H138" s="21">
        <v>0.12137982195845699</v>
      </c>
      <c r="I138" s="26" t="s">
        <v>41</v>
      </c>
      <c r="J138" s="23" t="s">
        <v>199</v>
      </c>
    </row>
    <row r="139" spans="1:10">
      <c r="A139" s="18" t="s">
        <v>193</v>
      </c>
      <c r="B139" s="19">
        <v>268.517</v>
      </c>
      <c r="C139" s="18" t="s">
        <v>26</v>
      </c>
      <c r="D139" s="20">
        <v>8190.6</v>
      </c>
      <c r="E139" s="18">
        <v>38</v>
      </c>
      <c r="F139" s="18" t="s">
        <v>63</v>
      </c>
      <c r="G139" s="19">
        <v>269.47399999999999</v>
      </c>
      <c r="H139" s="21">
        <v>4.4721998388396501E-2</v>
      </c>
      <c r="I139" s="28" t="s">
        <v>64</v>
      </c>
      <c r="J139" s="23" t="s">
        <v>200</v>
      </c>
    </row>
    <row r="140" spans="1:10">
      <c r="A140" s="18" t="s">
        <v>201</v>
      </c>
      <c r="B140" s="19">
        <v>321.89299999999997</v>
      </c>
      <c r="C140" s="18" t="s">
        <v>26</v>
      </c>
      <c r="D140" s="20">
        <v>6374.6</v>
      </c>
      <c r="E140" s="18">
        <v>39</v>
      </c>
      <c r="F140" s="18" t="s">
        <v>25</v>
      </c>
      <c r="G140" s="19">
        <v>321.89400000000001</v>
      </c>
      <c r="H140" s="21">
        <v>0.32990305274056397</v>
      </c>
      <c r="I140" s="22" t="s">
        <v>28</v>
      </c>
      <c r="J140" s="23" t="s">
        <v>202</v>
      </c>
    </row>
    <row r="141" spans="1:10">
      <c r="A141" s="18" t="s">
        <v>201</v>
      </c>
      <c r="B141" s="19">
        <v>321.99799999999999</v>
      </c>
      <c r="C141" s="18" t="s">
        <v>26</v>
      </c>
      <c r="D141" s="20">
        <v>8176.9</v>
      </c>
      <c r="E141" s="18">
        <v>39</v>
      </c>
      <c r="F141" s="18" t="s">
        <v>84</v>
      </c>
      <c r="G141" s="19">
        <v>322.07299999999998</v>
      </c>
      <c r="H141" s="21">
        <v>0.77833897931979101</v>
      </c>
      <c r="I141" s="22" t="s">
        <v>28</v>
      </c>
      <c r="J141" s="23" t="s">
        <v>203</v>
      </c>
    </row>
    <row r="142" spans="1:10">
      <c r="A142" s="18" t="s">
        <v>201</v>
      </c>
      <c r="B142" s="19">
        <v>332.44</v>
      </c>
      <c r="C142" s="18" t="s">
        <v>26</v>
      </c>
      <c r="D142" s="20">
        <v>10866.2</v>
      </c>
      <c r="E142" s="18">
        <v>40</v>
      </c>
      <c r="F142" s="18" t="s">
        <v>84</v>
      </c>
      <c r="G142" s="19">
        <v>332.31900000000002</v>
      </c>
      <c r="H142" s="21">
        <v>0.36458007399090803</v>
      </c>
      <c r="I142" s="22" t="s">
        <v>28</v>
      </c>
      <c r="J142" s="23" t="s">
        <v>204</v>
      </c>
    </row>
    <row r="143" spans="1:10">
      <c r="A143" s="18" t="s">
        <v>201</v>
      </c>
      <c r="B143" s="19">
        <v>350.91399999999999</v>
      </c>
      <c r="C143" s="18" t="s">
        <v>26</v>
      </c>
      <c r="D143" s="20">
        <v>39039.199999999997</v>
      </c>
      <c r="E143" s="18">
        <v>40</v>
      </c>
      <c r="F143" s="18" t="s">
        <v>94</v>
      </c>
      <c r="G143" s="19">
        <v>350.93700000000001</v>
      </c>
      <c r="H143" s="21">
        <v>2.7587655484743501E-2</v>
      </c>
      <c r="I143" s="28" t="s">
        <v>64</v>
      </c>
      <c r="J143" s="23" t="s">
        <v>205</v>
      </c>
    </row>
    <row r="144" spans="1:10">
      <c r="A144" s="18" t="s">
        <v>201</v>
      </c>
      <c r="B144" s="19">
        <v>356.17</v>
      </c>
      <c r="C144" s="18" t="s">
        <v>26</v>
      </c>
      <c r="D144" s="20">
        <v>8337</v>
      </c>
      <c r="E144" s="18">
        <v>39</v>
      </c>
      <c r="F144" s="18" t="s">
        <v>33</v>
      </c>
      <c r="G144" s="19">
        <v>356.315</v>
      </c>
      <c r="H144" s="21">
        <v>0.39916036943744798</v>
      </c>
      <c r="I144" s="22" t="s">
        <v>28</v>
      </c>
      <c r="J144" s="23" t="s">
        <v>206</v>
      </c>
    </row>
    <row r="145" spans="1:10">
      <c r="A145" s="18" t="s">
        <v>201</v>
      </c>
      <c r="B145" s="19">
        <v>356.851</v>
      </c>
      <c r="C145" s="18" t="s">
        <v>26</v>
      </c>
      <c r="D145" s="20">
        <v>9509.2999999999993</v>
      </c>
      <c r="E145" s="18">
        <v>38</v>
      </c>
      <c r="F145" s="18" t="s">
        <v>25</v>
      </c>
      <c r="G145" s="19">
        <v>356.93099999999998</v>
      </c>
      <c r="H145" s="21">
        <v>0.22367577003564901</v>
      </c>
      <c r="I145" s="22" t="s">
        <v>28</v>
      </c>
      <c r="J145" s="23" t="s">
        <v>207</v>
      </c>
    </row>
    <row r="146" spans="1:10">
      <c r="A146" s="18" t="s">
        <v>201</v>
      </c>
      <c r="B146" s="19">
        <v>360.04399999999998</v>
      </c>
      <c r="C146" s="18" t="s">
        <v>26</v>
      </c>
      <c r="D146" s="20">
        <v>12900</v>
      </c>
      <c r="E146" s="18">
        <v>39</v>
      </c>
      <c r="F146" s="18" t="s">
        <v>116</v>
      </c>
      <c r="G146" s="19">
        <v>360.07400000000001</v>
      </c>
      <c r="H146" s="21">
        <v>26.439852713178301</v>
      </c>
      <c r="I146" s="22" t="s">
        <v>28</v>
      </c>
      <c r="J146" s="23" t="s">
        <v>208</v>
      </c>
    </row>
    <row r="147" spans="1:10">
      <c r="A147" s="18" t="s">
        <v>201</v>
      </c>
      <c r="B147" s="19">
        <v>367.63600000000002</v>
      </c>
      <c r="C147" s="18" t="s">
        <v>26</v>
      </c>
      <c r="D147" s="20">
        <v>21568.5</v>
      </c>
      <c r="E147" s="18">
        <v>37</v>
      </c>
      <c r="F147" s="18" t="s">
        <v>33</v>
      </c>
      <c r="G147" s="19">
        <v>367.65899999999999</v>
      </c>
      <c r="H147" s="21">
        <v>0.26623548230057698</v>
      </c>
      <c r="I147" s="22" t="s">
        <v>28</v>
      </c>
      <c r="J147" s="23" t="s">
        <v>209</v>
      </c>
    </row>
    <row r="148" spans="1:10">
      <c r="A148" s="18" t="s">
        <v>201</v>
      </c>
      <c r="B148" s="19">
        <v>370.28500000000003</v>
      </c>
      <c r="C148" s="18" t="s">
        <v>26</v>
      </c>
      <c r="D148" s="20">
        <v>13490.7</v>
      </c>
      <c r="E148" s="18">
        <v>40</v>
      </c>
      <c r="F148" s="18" t="s">
        <v>109</v>
      </c>
      <c r="G148" s="19">
        <v>370.13600000000002</v>
      </c>
      <c r="H148" s="21">
        <v>1.6744423936489601</v>
      </c>
      <c r="I148" s="22" t="s">
        <v>28</v>
      </c>
      <c r="J148" s="23" t="s">
        <v>210</v>
      </c>
    </row>
    <row r="149" spans="1:10">
      <c r="A149" s="18" t="s">
        <v>201</v>
      </c>
      <c r="B149" s="19">
        <v>384.87299999999999</v>
      </c>
      <c r="C149" s="18" t="s">
        <v>26</v>
      </c>
      <c r="D149" s="20">
        <v>11783.8</v>
      </c>
      <c r="E149" s="18">
        <v>35</v>
      </c>
      <c r="F149" s="18" t="s">
        <v>27</v>
      </c>
      <c r="G149" s="19">
        <v>384.851</v>
      </c>
      <c r="H149" s="21">
        <v>0.525399276973472</v>
      </c>
      <c r="I149" s="22" t="s">
        <v>28</v>
      </c>
      <c r="J149" s="23" t="s">
        <v>211</v>
      </c>
    </row>
    <row r="150" spans="1:10">
      <c r="A150" s="18" t="s">
        <v>201</v>
      </c>
      <c r="B150" s="19">
        <v>387.41699999999997</v>
      </c>
      <c r="C150" s="18" t="s">
        <v>26</v>
      </c>
      <c r="D150" s="20">
        <v>24848.2</v>
      </c>
      <c r="E150" s="18">
        <v>35</v>
      </c>
      <c r="F150" s="18" t="s">
        <v>33</v>
      </c>
      <c r="G150" s="19">
        <v>387.399</v>
      </c>
      <c r="H150" s="21">
        <v>0.18646421068729299</v>
      </c>
      <c r="I150" s="26" t="s">
        <v>41</v>
      </c>
      <c r="J150" s="23" t="s">
        <v>212</v>
      </c>
    </row>
    <row r="151" spans="1:10">
      <c r="A151" s="18" t="s">
        <v>201</v>
      </c>
      <c r="B151" s="19">
        <v>389.91899999999998</v>
      </c>
      <c r="C151" s="18" t="s">
        <v>26</v>
      </c>
      <c r="D151" s="20">
        <v>10294.9</v>
      </c>
      <c r="E151" s="18">
        <v>40</v>
      </c>
      <c r="F151" s="18" t="s">
        <v>33</v>
      </c>
      <c r="G151" s="19">
        <v>389.85300000000001</v>
      </c>
      <c r="H151" s="21">
        <v>1.65925846778502</v>
      </c>
      <c r="I151" s="22" t="s">
        <v>28</v>
      </c>
      <c r="J151" s="23" t="s">
        <v>213</v>
      </c>
    </row>
    <row r="152" spans="1:10">
      <c r="A152" s="18" t="s">
        <v>109</v>
      </c>
      <c r="B152" s="19">
        <v>313.125</v>
      </c>
      <c r="C152" s="18" t="s">
        <v>26</v>
      </c>
      <c r="D152" s="20">
        <v>141170.4</v>
      </c>
      <c r="E152" s="18">
        <v>39</v>
      </c>
      <c r="F152" s="18" t="s">
        <v>84</v>
      </c>
      <c r="G152" s="19">
        <v>313.25200000000001</v>
      </c>
      <c r="H152" s="21">
        <v>2.35545128440523E-2</v>
      </c>
      <c r="I152" s="28" t="s">
        <v>64</v>
      </c>
      <c r="J152" s="23" t="s">
        <v>214</v>
      </c>
    </row>
    <row r="153" spans="1:10">
      <c r="A153" s="18" t="s">
        <v>109</v>
      </c>
      <c r="B153" s="19">
        <v>313.38900000000001</v>
      </c>
      <c r="C153" s="18" t="s">
        <v>26</v>
      </c>
      <c r="D153" s="20">
        <v>43054.6</v>
      </c>
      <c r="E153" s="18">
        <v>40</v>
      </c>
      <c r="F153" s="18" t="s">
        <v>84</v>
      </c>
      <c r="G153" s="19">
        <v>313.27699999999999</v>
      </c>
      <c r="H153" s="21">
        <v>0.18828417869403</v>
      </c>
      <c r="I153" s="26" t="s">
        <v>41</v>
      </c>
      <c r="J153" s="23" t="s">
        <v>215</v>
      </c>
    </row>
    <row r="154" spans="1:10">
      <c r="A154" s="18" t="s">
        <v>109</v>
      </c>
      <c r="B154" s="19">
        <v>329.1</v>
      </c>
      <c r="C154" s="18" t="s">
        <v>26</v>
      </c>
      <c r="D154" s="20">
        <v>31339.8</v>
      </c>
      <c r="E154" s="18">
        <v>40</v>
      </c>
      <c r="F154" s="18" t="s">
        <v>36</v>
      </c>
      <c r="G154" s="19">
        <v>329.22199999999998</v>
      </c>
      <c r="H154" s="21">
        <v>6.8736877708217695E-2</v>
      </c>
      <c r="I154" s="26" t="s">
        <v>41</v>
      </c>
      <c r="J154" s="23" t="s">
        <v>216</v>
      </c>
    </row>
    <row r="155" spans="1:10">
      <c r="A155" s="18" t="s">
        <v>109</v>
      </c>
      <c r="B155" s="19">
        <v>336.26100000000002</v>
      </c>
      <c r="C155" s="18" t="s">
        <v>26</v>
      </c>
      <c r="D155" s="20">
        <v>46888.4</v>
      </c>
      <c r="E155" s="18">
        <v>40</v>
      </c>
      <c r="F155" s="18" t="s">
        <v>36</v>
      </c>
      <c r="G155" s="19">
        <v>336.22399999999999</v>
      </c>
      <c r="H155" s="21">
        <v>0.68070354288054202</v>
      </c>
      <c r="I155" s="22" t="s">
        <v>28</v>
      </c>
      <c r="J155" s="23" t="s">
        <v>217</v>
      </c>
    </row>
    <row r="156" spans="1:10">
      <c r="A156" s="18" t="s">
        <v>109</v>
      </c>
      <c r="B156" s="19">
        <v>342.50799999999998</v>
      </c>
      <c r="C156" s="18" t="s">
        <v>26</v>
      </c>
      <c r="D156" s="20">
        <v>59096.3</v>
      </c>
      <c r="E156" s="18">
        <v>40</v>
      </c>
      <c r="F156" s="18" t="s">
        <v>94</v>
      </c>
      <c r="G156" s="19">
        <v>342.53399999999999</v>
      </c>
      <c r="H156" s="21">
        <v>0.193311594803736</v>
      </c>
      <c r="I156" s="26" t="s">
        <v>41</v>
      </c>
      <c r="J156" s="23" t="s">
        <v>218</v>
      </c>
    </row>
    <row r="157" spans="1:10">
      <c r="A157" s="18" t="s">
        <v>109</v>
      </c>
      <c r="B157" s="19">
        <v>346.22</v>
      </c>
      <c r="C157" s="18" t="s">
        <v>26</v>
      </c>
      <c r="D157" s="20">
        <v>32683.3</v>
      </c>
      <c r="E157" s="18">
        <v>40</v>
      </c>
      <c r="F157" s="18" t="s">
        <v>33</v>
      </c>
      <c r="G157" s="19">
        <v>346.09699999999998</v>
      </c>
      <c r="H157" s="21">
        <v>0.17284974283502599</v>
      </c>
      <c r="I157" s="26" t="s">
        <v>41</v>
      </c>
      <c r="J157" s="23" t="s">
        <v>219</v>
      </c>
    </row>
    <row r="158" spans="1:10">
      <c r="A158" s="18" t="s">
        <v>116</v>
      </c>
      <c r="B158" s="19">
        <v>321.66800000000001</v>
      </c>
      <c r="C158" s="18" t="s">
        <v>26</v>
      </c>
      <c r="D158" s="20">
        <v>106814.8</v>
      </c>
      <c r="E158" s="18">
        <v>40</v>
      </c>
      <c r="F158" s="18" t="s">
        <v>33</v>
      </c>
      <c r="G158" s="19">
        <v>321.66300000000001</v>
      </c>
      <c r="H158" s="21">
        <v>3.8956212060500997E-2</v>
      </c>
      <c r="I158" s="28" t="s">
        <v>64</v>
      </c>
      <c r="J158" s="23" t="s">
        <v>220</v>
      </c>
    </row>
    <row r="159" spans="1:10">
      <c r="A159" s="18" t="s">
        <v>116</v>
      </c>
      <c r="B159" s="19">
        <v>324.22800000000001</v>
      </c>
      <c r="C159" s="18" t="s">
        <v>26</v>
      </c>
      <c r="D159" s="20">
        <v>62944.5</v>
      </c>
      <c r="E159" s="18">
        <v>40</v>
      </c>
      <c r="F159" s="18" t="s">
        <v>109</v>
      </c>
      <c r="G159" s="19">
        <v>324.15300000000002</v>
      </c>
      <c r="H159" s="21">
        <v>0.111768303823209</v>
      </c>
      <c r="I159" s="26" t="s">
        <v>41</v>
      </c>
      <c r="J159" s="23" t="s">
        <v>221</v>
      </c>
    </row>
    <row r="160" spans="1:10">
      <c r="A160" s="18" t="s">
        <v>116</v>
      </c>
      <c r="B160" s="19">
        <v>360.07400000000001</v>
      </c>
      <c r="C160" s="18" t="s">
        <v>26</v>
      </c>
      <c r="D160" s="20">
        <v>341074.1</v>
      </c>
      <c r="E160" s="18">
        <v>40</v>
      </c>
      <c r="F160" s="18" t="s">
        <v>84</v>
      </c>
      <c r="G160" s="19">
        <v>359.98200000000003</v>
      </c>
      <c r="H160" s="21">
        <v>3.3483633028717201E-2</v>
      </c>
      <c r="I160" s="28" t="s">
        <v>64</v>
      </c>
      <c r="J160" s="23" t="s">
        <v>222</v>
      </c>
    </row>
    <row r="161" spans="1:10">
      <c r="A161" s="18" t="s">
        <v>116</v>
      </c>
      <c r="B161" s="19">
        <v>361.10399999999998</v>
      </c>
      <c r="C161" s="18" t="s">
        <v>26</v>
      </c>
      <c r="D161" s="20">
        <v>121194.4</v>
      </c>
      <c r="E161" s="18">
        <v>40</v>
      </c>
      <c r="F161" s="18" t="s">
        <v>36</v>
      </c>
      <c r="G161" s="19">
        <v>361.07600000000002</v>
      </c>
      <c r="H161" s="21">
        <v>2.6568059250262399E-2</v>
      </c>
      <c r="I161" s="28" t="s">
        <v>64</v>
      </c>
      <c r="J161" s="23" t="s">
        <v>223</v>
      </c>
    </row>
    <row r="162" spans="1:10">
      <c r="A162" s="18" t="s">
        <v>116</v>
      </c>
      <c r="B162" s="19">
        <v>371.029</v>
      </c>
      <c r="C162" s="18" t="s">
        <v>26</v>
      </c>
      <c r="D162" s="20">
        <v>277976.8</v>
      </c>
      <c r="E162" s="18">
        <v>40</v>
      </c>
      <c r="F162" s="18" t="s">
        <v>25</v>
      </c>
      <c r="G162" s="19">
        <v>370.99299999999999</v>
      </c>
      <c r="H162" s="21">
        <v>9.9073016165377795E-3</v>
      </c>
      <c r="I162" s="27" t="s">
        <v>55</v>
      </c>
      <c r="J162" s="23" t="s">
        <v>224</v>
      </c>
    </row>
    <row r="163" spans="1:10">
      <c r="A163" s="18" t="s">
        <v>116</v>
      </c>
      <c r="B163" s="19">
        <v>377.43299999999999</v>
      </c>
      <c r="C163" s="18" t="s">
        <v>26</v>
      </c>
      <c r="D163" s="20">
        <v>294787</v>
      </c>
      <c r="E163" s="18">
        <v>40</v>
      </c>
      <c r="F163" s="18" t="s">
        <v>27</v>
      </c>
      <c r="G163" s="19">
        <v>377.55</v>
      </c>
      <c r="H163" s="21">
        <v>1.8045571887498401E-2</v>
      </c>
      <c r="I163" s="28" t="s">
        <v>64</v>
      </c>
      <c r="J163" s="23" t="s">
        <v>225</v>
      </c>
    </row>
    <row r="164" spans="1:10">
      <c r="A164" s="18" t="s">
        <v>116</v>
      </c>
      <c r="B164" s="19">
        <v>378.86900000000003</v>
      </c>
      <c r="C164" s="18" t="s">
        <v>26</v>
      </c>
      <c r="D164" s="20">
        <v>182838</v>
      </c>
      <c r="E164" s="18">
        <v>40</v>
      </c>
      <c r="F164" s="18" t="s">
        <v>33</v>
      </c>
      <c r="G164" s="19">
        <v>378.84399999999999</v>
      </c>
      <c r="H164" s="21">
        <v>3.68823767488159E-2</v>
      </c>
      <c r="I164" s="28" t="s">
        <v>64</v>
      </c>
      <c r="J164" s="23" t="s">
        <v>226</v>
      </c>
    </row>
    <row r="165" spans="1:10">
      <c r="A165" s="18" t="s">
        <v>63</v>
      </c>
      <c r="B165" s="19">
        <v>211.667</v>
      </c>
      <c r="C165" s="18" t="s">
        <v>26</v>
      </c>
      <c r="D165" s="20">
        <v>5445.6</v>
      </c>
      <c r="E165" s="18">
        <v>40</v>
      </c>
      <c r="F165" s="18" t="s">
        <v>60</v>
      </c>
      <c r="G165" s="19"/>
      <c r="H165" s="21">
        <v>0</v>
      </c>
      <c r="I165" s="27" t="s">
        <v>55</v>
      </c>
      <c r="J165" s="23" t="s">
        <v>227</v>
      </c>
    </row>
    <row r="166" spans="1:10">
      <c r="A166" s="18" t="s">
        <v>63</v>
      </c>
      <c r="B166" s="19">
        <v>212.67400000000001</v>
      </c>
      <c r="C166" s="18" t="s">
        <v>26</v>
      </c>
      <c r="D166" s="20">
        <v>5342.6</v>
      </c>
      <c r="E166" s="18">
        <v>40</v>
      </c>
      <c r="F166" s="18" t="s">
        <v>25</v>
      </c>
      <c r="G166" s="19">
        <v>212.50399999999999</v>
      </c>
      <c r="H166" s="21">
        <v>4.4547598547523704E-3</v>
      </c>
      <c r="I166" s="27" t="s">
        <v>55</v>
      </c>
      <c r="J166" s="23" t="s">
        <v>228</v>
      </c>
    </row>
    <row r="167" spans="1:10">
      <c r="A167" s="18" t="s">
        <v>63</v>
      </c>
      <c r="B167" s="19">
        <v>222.447</v>
      </c>
      <c r="C167" s="18" t="s">
        <v>26</v>
      </c>
      <c r="D167" s="20">
        <v>11361.1</v>
      </c>
      <c r="E167" s="18">
        <v>40</v>
      </c>
      <c r="F167" s="18" t="s">
        <v>60</v>
      </c>
      <c r="G167" s="19"/>
      <c r="H167" s="21">
        <v>0</v>
      </c>
      <c r="I167" s="27" t="s">
        <v>55</v>
      </c>
      <c r="J167" s="23" t="s">
        <v>229</v>
      </c>
    </row>
    <row r="168" spans="1:10">
      <c r="A168" s="18" t="s">
        <v>63</v>
      </c>
      <c r="B168" s="19">
        <v>289.13799999999998</v>
      </c>
      <c r="C168" s="18" t="s">
        <v>26</v>
      </c>
      <c r="D168" s="20">
        <v>90425.9</v>
      </c>
      <c r="E168" s="18">
        <v>40</v>
      </c>
      <c r="F168" s="18" t="s">
        <v>109</v>
      </c>
      <c r="G168" s="19">
        <v>289.09300000000002</v>
      </c>
      <c r="H168" s="21">
        <v>4.8658625460183402E-2</v>
      </c>
      <c r="I168" s="28" t="s">
        <v>64</v>
      </c>
      <c r="J168" s="23" t="s">
        <v>230</v>
      </c>
    </row>
    <row r="169" spans="1:10">
      <c r="A169" s="18" t="s">
        <v>63</v>
      </c>
      <c r="B169" s="19">
        <v>328.93700000000001</v>
      </c>
      <c r="C169" s="18" t="s">
        <v>26</v>
      </c>
      <c r="D169" s="20">
        <v>765837.9</v>
      </c>
      <c r="E169" s="18">
        <v>40</v>
      </c>
      <c r="F169" s="18" t="s">
        <v>94</v>
      </c>
      <c r="G169" s="19">
        <v>328.846</v>
      </c>
      <c r="H169" s="21">
        <v>3.01303970461634E-3</v>
      </c>
      <c r="I169" s="27" t="s">
        <v>55</v>
      </c>
      <c r="J169" s="23" t="s">
        <v>231</v>
      </c>
    </row>
    <row r="170" spans="1:10">
      <c r="A170" s="18" t="s">
        <v>63</v>
      </c>
      <c r="B170" s="19">
        <v>369.41899999999998</v>
      </c>
      <c r="C170" s="18" t="s">
        <v>26</v>
      </c>
      <c r="D170" s="20">
        <v>420567.9</v>
      </c>
      <c r="E170" s="18">
        <v>40</v>
      </c>
      <c r="F170" s="18" t="s">
        <v>33</v>
      </c>
      <c r="G170" s="19">
        <v>369.48099999999999</v>
      </c>
      <c r="H170" s="21">
        <v>2.94675366332048E-2</v>
      </c>
      <c r="I170" s="28" t="s">
        <v>64</v>
      </c>
      <c r="J170" s="23" t="s">
        <v>232</v>
      </c>
    </row>
  </sheetData>
  <autoFilter ref="A4:J170" xr:uid="{00000000-0009-0000-0000-000001000000}"/>
  <phoneticPr fontId="34" type="noConversion"/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2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7109375" defaultRowHeight="15"/>
  <cols>
    <col min="1" max="1" width="20" customWidth="1"/>
    <col min="2" max="19" width="7" customWidth="1"/>
  </cols>
  <sheetData>
    <row r="1" spans="1:19" ht="15.75">
      <c r="A1" s="29" t="s">
        <v>233</v>
      </c>
    </row>
    <row r="2" spans="1:19">
      <c r="A2" s="8" t="s">
        <v>234</v>
      </c>
    </row>
    <row r="4" spans="1:19">
      <c r="A4" s="12" t="s">
        <v>235</v>
      </c>
      <c r="B4" s="16" t="s">
        <v>116</v>
      </c>
      <c r="C4" s="16" t="s">
        <v>85</v>
      </c>
      <c r="D4" s="16" t="s">
        <v>109</v>
      </c>
      <c r="E4" s="16" t="s">
        <v>94</v>
      </c>
      <c r="F4" s="16" t="s">
        <v>63</v>
      </c>
      <c r="G4" s="16" t="s">
        <v>27</v>
      </c>
      <c r="H4" s="16" t="s">
        <v>84</v>
      </c>
      <c r="I4" s="16" t="s">
        <v>36</v>
      </c>
      <c r="J4" s="16" t="s">
        <v>33</v>
      </c>
      <c r="K4" s="16" t="s">
        <v>25</v>
      </c>
      <c r="L4" s="16" t="s">
        <v>236</v>
      </c>
      <c r="M4" s="16" t="s">
        <v>237</v>
      </c>
      <c r="N4" s="16" t="s">
        <v>97</v>
      </c>
      <c r="O4" s="16" t="s">
        <v>165</v>
      </c>
      <c r="P4" s="16" t="s">
        <v>238</v>
      </c>
      <c r="Q4" s="16" t="s">
        <v>239</v>
      </c>
      <c r="R4" s="16" t="s">
        <v>54</v>
      </c>
      <c r="S4" s="16" t="s">
        <v>240</v>
      </c>
    </row>
    <row r="5" spans="1:19">
      <c r="A5" s="30" t="s">
        <v>241</v>
      </c>
      <c r="B5" s="31">
        <v>0</v>
      </c>
      <c r="C5" s="31">
        <v>0</v>
      </c>
      <c r="D5" s="31">
        <v>0</v>
      </c>
      <c r="E5" s="31">
        <v>1.79785168102925E-2</v>
      </c>
      <c r="F5" s="31">
        <v>0</v>
      </c>
      <c r="G5" s="31">
        <v>5.9276004369462301E-2</v>
      </c>
      <c r="H5" s="31">
        <v>0</v>
      </c>
      <c r="I5" s="31">
        <v>0.20481854594004101</v>
      </c>
      <c r="J5" s="31">
        <v>0</v>
      </c>
      <c r="K5" s="32" t="s">
        <v>242</v>
      </c>
      <c r="L5" s="31">
        <v>0</v>
      </c>
      <c r="M5" s="31">
        <v>0</v>
      </c>
      <c r="N5" s="31">
        <v>6.6755674232309801E-3</v>
      </c>
      <c r="O5" s="31">
        <v>0</v>
      </c>
      <c r="P5" s="31">
        <v>9.0757373467653904E-2</v>
      </c>
      <c r="Q5" s="31">
        <v>8.9968442772181099E-3</v>
      </c>
      <c r="R5" s="31">
        <v>0</v>
      </c>
      <c r="S5" s="31">
        <v>2.88263138730428E-4</v>
      </c>
    </row>
    <row r="6" spans="1:19">
      <c r="A6" s="30" t="s">
        <v>243</v>
      </c>
      <c r="B6" s="31">
        <v>0</v>
      </c>
      <c r="C6" s="31">
        <v>0</v>
      </c>
      <c r="D6" s="31">
        <v>0</v>
      </c>
      <c r="E6" s="31">
        <v>0</v>
      </c>
      <c r="F6" s="31">
        <v>0</v>
      </c>
      <c r="G6" s="31">
        <v>0</v>
      </c>
      <c r="H6" s="31">
        <v>0</v>
      </c>
      <c r="I6" s="31">
        <v>0</v>
      </c>
      <c r="J6" s="31">
        <v>0</v>
      </c>
      <c r="K6" s="31">
        <v>0</v>
      </c>
      <c r="L6" s="31">
        <v>3.4074480739317399E-4</v>
      </c>
      <c r="M6" s="31">
        <v>0</v>
      </c>
      <c r="N6" s="31">
        <v>3.0597492908774799E-2</v>
      </c>
      <c r="O6" s="31">
        <v>1.16826791106231E-3</v>
      </c>
      <c r="P6" s="31">
        <v>0</v>
      </c>
      <c r="Q6" s="31">
        <v>1.8116936590721901E-4</v>
      </c>
      <c r="R6" s="32" t="s">
        <v>242</v>
      </c>
      <c r="S6" s="31">
        <v>1.7567938512215201E-4</v>
      </c>
    </row>
    <row r="7" spans="1:19">
      <c r="A7" s="30" t="s">
        <v>244</v>
      </c>
      <c r="B7" s="31">
        <v>0</v>
      </c>
      <c r="C7" s="31">
        <v>0</v>
      </c>
      <c r="D7" s="31">
        <v>0</v>
      </c>
      <c r="E7" s="31">
        <v>0</v>
      </c>
      <c r="F7" s="31">
        <v>0</v>
      </c>
      <c r="G7" s="31">
        <v>3.8024893995349499E-3</v>
      </c>
      <c r="H7" s="31">
        <v>0</v>
      </c>
      <c r="I7" s="31">
        <v>0</v>
      </c>
      <c r="J7" s="32" t="s">
        <v>242</v>
      </c>
      <c r="K7" s="31">
        <v>3.2622076323348399E-3</v>
      </c>
      <c r="L7" s="31">
        <v>8.7128983723156906E-3</v>
      </c>
      <c r="M7" s="31">
        <v>0</v>
      </c>
      <c r="N7" s="31">
        <v>3.8868371859754699E-4</v>
      </c>
      <c r="O7" s="31">
        <v>2.3366616513928801E-4</v>
      </c>
      <c r="P7" s="31">
        <v>0</v>
      </c>
      <c r="Q7" s="31">
        <v>1.9377194182282399E-4</v>
      </c>
      <c r="R7" s="31">
        <v>3.73181963251721E-3</v>
      </c>
      <c r="S7" s="31">
        <v>7.9913828477636405E-3</v>
      </c>
    </row>
    <row r="8" spans="1:19">
      <c r="A8" s="30" t="s">
        <v>245</v>
      </c>
      <c r="B8" s="31">
        <v>0</v>
      </c>
      <c r="C8" s="31">
        <v>0</v>
      </c>
      <c r="D8" s="31">
        <v>0</v>
      </c>
      <c r="E8" s="31">
        <v>9.4580343018527292E-3</v>
      </c>
      <c r="F8" s="31">
        <v>0</v>
      </c>
      <c r="G8" s="31">
        <v>0</v>
      </c>
      <c r="H8" s="32" t="s">
        <v>242</v>
      </c>
      <c r="I8" s="31">
        <v>4.8038681192967997E-4</v>
      </c>
      <c r="J8" s="31">
        <v>6.5457730429264699E-2</v>
      </c>
      <c r="K8" s="31">
        <v>8.0034677224749499E-3</v>
      </c>
      <c r="L8" s="31">
        <v>5.1640465103808202E-2</v>
      </c>
      <c r="M8" s="31">
        <v>1.19538113666223E-2</v>
      </c>
      <c r="N8" s="31">
        <v>3.3694107553021301E-3</v>
      </c>
      <c r="O8" s="31">
        <v>9.6479546693598092E-3</v>
      </c>
      <c r="P8" s="31">
        <v>0</v>
      </c>
      <c r="Q8" s="31">
        <v>0</v>
      </c>
      <c r="R8" s="31">
        <v>1.1171786323946099E-5</v>
      </c>
      <c r="S8" s="31">
        <v>0</v>
      </c>
    </row>
    <row r="9" spans="1:19">
      <c r="A9" s="30" t="s">
        <v>246</v>
      </c>
      <c r="B9" s="31">
        <v>0</v>
      </c>
      <c r="C9" s="31">
        <v>0</v>
      </c>
      <c r="D9" s="31">
        <v>0</v>
      </c>
      <c r="E9" s="31">
        <v>0</v>
      </c>
      <c r="F9" s="31">
        <v>0</v>
      </c>
      <c r="G9" s="31">
        <v>0</v>
      </c>
      <c r="H9" s="31">
        <v>0</v>
      </c>
      <c r="I9" s="31">
        <v>0</v>
      </c>
      <c r="J9" s="31">
        <v>6.9681823723028204E-3</v>
      </c>
      <c r="K9" s="31">
        <v>0</v>
      </c>
      <c r="L9" s="31">
        <v>0</v>
      </c>
      <c r="M9" s="31">
        <v>0</v>
      </c>
      <c r="N9" s="32" t="s">
        <v>242</v>
      </c>
      <c r="O9" s="31">
        <v>2.4381323905888098E-6</v>
      </c>
      <c r="P9" s="31">
        <v>0</v>
      </c>
      <c r="Q9" s="31">
        <v>2.9330732658783402E-3</v>
      </c>
      <c r="R9" s="31">
        <v>2.8257954406924302E-2</v>
      </c>
      <c r="S9" s="31">
        <v>1.7066926734121699E-5</v>
      </c>
    </row>
    <row r="10" spans="1:19">
      <c r="A10" s="30" t="s">
        <v>247</v>
      </c>
      <c r="B10" s="31">
        <v>0</v>
      </c>
      <c r="C10" s="31">
        <v>0</v>
      </c>
      <c r="D10" s="31">
        <v>4.8041241694998099E-2</v>
      </c>
      <c r="E10" s="31">
        <v>0</v>
      </c>
      <c r="F10" s="31">
        <v>6.8239895118103203E-2</v>
      </c>
      <c r="G10" s="31">
        <v>0</v>
      </c>
      <c r="H10" s="31">
        <v>5.3663089127391497E-2</v>
      </c>
      <c r="I10" s="32" t="s">
        <v>242</v>
      </c>
      <c r="J10" s="31">
        <v>1.2643601537675299E-2</v>
      </c>
      <c r="K10" s="31">
        <v>3.8441881652334299E-3</v>
      </c>
      <c r="L10" s="31">
        <v>5.9403447177595603E-3</v>
      </c>
      <c r="M10" s="31">
        <v>0</v>
      </c>
      <c r="N10" s="31">
        <v>8.4512884326230098E-3</v>
      </c>
      <c r="O10" s="31">
        <v>2.9627654452666101E-5</v>
      </c>
      <c r="P10" s="31">
        <v>3.1923797672747702E-3</v>
      </c>
      <c r="Q10" s="31">
        <v>6.4440148434548805E-4</v>
      </c>
      <c r="R10" s="31">
        <v>0</v>
      </c>
      <c r="S10" s="31">
        <v>1.5850795132176399E-3</v>
      </c>
    </row>
    <row r="11" spans="1:19">
      <c r="A11" s="30" t="s">
        <v>248</v>
      </c>
      <c r="B11" s="31">
        <v>0</v>
      </c>
      <c r="C11" s="31">
        <v>0</v>
      </c>
      <c r="D11" s="31">
        <v>0</v>
      </c>
      <c r="E11" s="32" t="s">
        <v>242</v>
      </c>
      <c r="F11" s="31">
        <v>0</v>
      </c>
      <c r="G11" s="31">
        <v>6.7454596781782297E-2</v>
      </c>
      <c r="H11" s="31">
        <v>6.1014397289921897E-3</v>
      </c>
      <c r="I11" s="31">
        <v>4.1403971017220298E-3</v>
      </c>
      <c r="J11" s="31">
        <v>1.0742448480286101E-2</v>
      </c>
      <c r="K11" s="31">
        <v>2.1676860826197401E-2</v>
      </c>
      <c r="L11" s="31">
        <v>0</v>
      </c>
      <c r="M11" s="31">
        <v>0</v>
      </c>
      <c r="N11" s="31">
        <v>1.0162792886045E-3</v>
      </c>
      <c r="O11" s="31">
        <v>0</v>
      </c>
      <c r="P11" s="31">
        <v>0</v>
      </c>
      <c r="Q11" s="31">
        <v>1.0915592359085401E-3</v>
      </c>
      <c r="R11" s="31">
        <v>1.0539192622565201E-3</v>
      </c>
      <c r="S11" s="31">
        <v>5.3072362849346001E-3</v>
      </c>
    </row>
    <row r="12" spans="1:19">
      <c r="A12" s="30" t="s">
        <v>249</v>
      </c>
      <c r="B12" s="31">
        <v>2.1072450791626701E-3</v>
      </c>
      <c r="C12" s="31">
        <v>0</v>
      </c>
      <c r="D12" s="31">
        <v>0</v>
      </c>
      <c r="E12" s="31">
        <v>4.60003199421802E-2</v>
      </c>
      <c r="F12" s="31">
        <v>0</v>
      </c>
      <c r="G12" s="31">
        <v>0</v>
      </c>
      <c r="H12" s="31">
        <v>4.0805287562420398E-2</v>
      </c>
      <c r="I12" s="31">
        <v>0</v>
      </c>
      <c r="J12" s="31">
        <v>0</v>
      </c>
      <c r="K12" s="31">
        <v>2.25916007121591E-3</v>
      </c>
      <c r="L12" s="31">
        <v>3.6247837800823302E-2</v>
      </c>
      <c r="M12" s="31">
        <v>7.41391196065862E-3</v>
      </c>
      <c r="N12" s="31">
        <v>5.2940072988248504E-4</v>
      </c>
      <c r="O12" s="31">
        <v>5.4090944140166902E-4</v>
      </c>
      <c r="P12" s="31">
        <v>0</v>
      </c>
      <c r="Q12" s="31">
        <v>1.0353236882658301E-2</v>
      </c>
      <c r="R12" s="31">
        <v>3.3375263405634902E-4</v>
      </c>
      <c r="S12" s="31">
        <v>4.3618016657709098E-4</v>
      </c>
    </row>
    <row r="13" spans="1:19">
      <c r="A13" s="30" t="s">
        <v>250</v>
      </c>
      <c r="B13" s="31">
        <v>0</v>
      </c>
      <c r="C13" s="32" t="s">
        <v>242</v>
      </c>
      <c r="D13" s="31">
        <v>3.29611207300366E-4</v>
      </c>
      <c r="E13" s="31">
        <v>0</v>
      </c>
      <c r="F13" s="31">
        <v>4.4297835170507702E-4</v>
      </c>
      <c r="G13" s="31">
        <v>0</v>
      </c>
      <c r="H13" s="31">
        <v>8.3921807310129496E-4</v>
      </c>
      <c r="I13" s="31">
        <v>0</v>
      </c>
      <c r="J13" s="31">
        <v>0</v>
      </c>
      <c r="K13" s="31">
        <v>0</v>
      </c>
      <c r="L13" s="31">
        <v>0</v>
      </c>
      <c r="M13" s="31">
        <v>0</v>
      </c>
      <c r="N13" s="31">
        <v>0</v>
      </c>
      <c r="O13" s="31">
        <v>0</v>
      </c>
      <c r="P13" s="31">
        <v>0</v>
      </c>
      <c r="Q13" s="31">
        <v>1.4021589092657799E-4</v>
      </c>
      <c r="R13" s="31">
        <v>1.9375758853594899E-3</v>
      </c>
      <c r="S13" s="31">
        <v>1.13730667084891E-4</v>
      </c>
    </row>
    <row r="14" spans="1:19">
      <c r="A14" s="30" t="s">
        <v>251</v>
      </c>
      <c r="B14" s="31">
        <v>1.13698648752712E-3</v>
      </c>
      <c r="C14" s="31">
        <v>0</v>
      </c>
      <c r="D14" s="31">
        <v>0</v>
      </c>
      <c r="E14" s="31">
        <v>2.8134753282991899E-2</v>
      </c>
      <c r="F14" s="31">
        <v>0</v>
      </c>
      <c r="G14" s="32" t="s">
        <v>242</v>
      </c>
      <c r="H14" s="31">
        <v>0</v>
      </c>
      <c r="I14" s="31">
        <v>0.21593683609728301</v>
      </c>
      <c r="J14" s="31">
        <v>0</v>
      </c>
      <c r="K14" s="31">
        <v>9.5330201713180407E-2</v>
      </c>
      <c r="L14" s="31">
        <v>1.9432956300762399E-2</v>
      </c>
      <c r="M14" s="31">
        <v>0</v>
      </c>
      <c r="N14" s="31">
        <v>5.7528798372886297E-4</v>
      </c>
      <c r="O14" s="31">
        <v>0</v>
      </c>
      <c r="P14" s="31">
        <v>7.2205436697937598E-3</v>
      </c>
      <c r="Q14" s="31">
        <v>1.74398325776073E-3</v>
      </c>
      <c r="R14" s="31">
        <v>5.4403217988847601E-3</v>
      </c>
      <c r="S14" s="31">
        <v>1.8436394439184801E-3</v>
      </c>
    </row>
    <row r="15" spans="1:19">
      <c r="A15" s="30" t="s">
        <v>252</v>
      </c>
      <c r="B15" s="31">
        <v>0</v>
      </c>
      <c r="C15" s="31">
        <v>0</v>
      </c>
      <c r="D15" s="31">
        <v>0</v>
      </c>
      <c r="E15" s="31">
        <v>0</v>
      </c>
      <c r="F15" s="31">
        <v>0</v>
      </c>
      <c r="G15" s="31">
        <v>0</v>
      </c>
      <c r="H15" s="31">
        <v>0</v>
      </c>
      <c r="I15" s="31">
        <v>0</v>
      </c>
      <c r="J15" s="31">
        <v>0</v>
      </c>
      <c r="K15" s="31">
        <v>1.0146747333308001E-3</v>
      </c>
      <c r="L15" s="31">
        <v>0</v>
      </c>
      <c r="M15" s="31">
        <v>0</v>
      </c>
      <c r="N15" s="31">
        <v>1.4674733330796699E-3</v>
      </c>
      <c r="O15" s="32" t="s">
        <v>242</v>
      </c>
      <c r="P15" s="31">
        <v>0</v>
      </c>
      <c r="Q15" s="31">
        <v>3.1708585416587399E-3</v>
      </c>
      <c r="R15" s="31">
        <v>1.9519805182451201E-2</v>
      </c>
      <c r="S15" s="31">
        <v>0</v>
      </c>
    </row>
    <row r="16" spans="1:19">
      <c r="A16" s="30" t="s">
        <v>253</v>
      </c>
      <c r="B16" s="31">
        <v>0</v>
      </c>
      <c r="C16" s="31">
        <v>0</v>
      </c>
      <c r="D16" s="31">
        <v>0</v>
      </c>
      <c r="E16" s="31">
        <v>0</v>
      </c>
      <c r="F16" s="31">
        <v>7.8854630674218707E-3</v>
      </c>
      <c r="G16" s="31">
        <v>0.22157220781335399</v>
      </c>
      <c r="H16" s="31">
        <v>0.23452855863504701</v>
      </c>
      <c r="I16" s="31">
        <v>0.14085670089903601</v>
      </c>
      <c r="J16" s="31">
        <v>3.5345018085390999E-2</v>
      </c>
      <c r="K16" s="31">
        <v>0.110256917225899</v>
      </c>
      <c r="L16" s="31">
        <v>6.2804573103359997E-3</v>
      </c>
      <c r="M16" s="31">
        <v>3.1402286551680002E-2</v>
      </c>
      <c r="N16" s="31">
        <v>1.1863086030634701E-3</v>
      </c>
      <c r="O16" s="31">
        <v>0</v>
      </c>
      <c r="P16" s="31">
        <v>0</v>
      </c>
      <c r="Q16" s="31">
        <v>0</v>
      </c>
      <c r="R16" s="31">
        <v>3.0239238901617801E-4</v>
      </c>
      <c r="S16" s="31">
        <v>3.1402286551679998E-3</v>
      </c>
    </row>
    <row r="17" spans="1:19">
      <c r="A17" s="30" t="s">
        <v>254</v>
      </c>
      <c r="B17" s="31">
        <v>0</v>
      </c>
      <c r="C17" s="31">
        <v>0</v>
      </c>
      <c r="D17" s="31">
        <v>5.5940139842439998E-3</v>
      </c>
      <c r="E17" s="31">
        <v>7.6755149175815503E-3</v>
      </c>
      <c r="F17" s="31">
        <v>1.2623785870218601E-4</v>
      </c>
      <c r="G17" s="31">
        <v>3.4963773847565402E-3</v>
      </c>
      <c r="H17" s="31">
        <v>0</v>
      </c>
      <c r="I17" s="31">
        <v>0</v>
      </c>
      <c r="J17" s="31">
        <v>5.9350776726674499E-3</v>
      </c>
      <c r="K17" s="31">
        <v>2.1311734742303899E-3</v>
      </c>
      <c r="L17" s="31">
        <v>7.0487550226215698E-3</v>
      </c>
      <c r="M17" s="31">
        <v>8.1573702028031794E-3</v>
      </c>
      <c r="N17" s="31">
        <v>7.5932546587781203E-6</v>
      </c>
      <c r="O17" s="31">
        <v>0</v>
      </c>
      <c r="P17" s="31">
        <v>0</v>
      </c>
      <c r="Q17" s="31">
        <v>9.4187996329926898E-4</v>
      </c>
      <c r="R17" s="31">
        <v>7.8526908596196997E-4</v>
      </c>
      <c r="S17" s="31">
        <v>0</v>
      </c>
    </row>
    <row r="18" spans="1:19">
      <c r="A18" s="30" t="s">
        <v>255</v>
      </c>
      <c r="B18" s="31">
        <v>0</v>
      </c>
      <c r="C18" s="31">
        <v>0</v>
      </c>
      <c r="D18" s="31">
        <v>0</v>
      </c>
      <c r="E18" s="31">
        <v>0</v>
      </c>
      <c r="F18" s="31">
        <v>2.7477744807121701E-2</v>
      </c>
      <c r="G18" s="31">
        <v>0</v>
      </c>
      <c r="H18" s="31">
        <v>0</v>
      </c>
      <c r="I18" s="31">
        <v>0</v>
      </c>
      <c r="J18" s="31">
        <v>0.12137982195845699</v>
      </c>
      <c r="K18" s="31">
        <v>3.1305637982195801E-2</v>
      </c>
      <c r="L18" s="31">
        <v>1.76557863501484E-3</v>
      </c>
      <c r="M18" s="31">
        <v>7.4629080118694402E-3</v>
      </c>
      <c r="N18" s="31">
        <v>6.8545994065281899E-3</v>
      </c>
      <c r="O18" s="31">
        <v>0</v>
      </c>
      <c r="P18" s="31">
        <v>0</v>
      </c>
      <c r="Q18" s="31">
        <v>3.70919881305638E-3</v>
      </c>
      <c r="R18" s="31">
        <v>4.7032640949554901E-3</v>
      </c>
      <c r="S18" s="31">
        <v>3.8575667655786402E-3</v>
      </c>
    </row>
    <row r="19" spans="1:19">
      <c r="A19" s="30" t="s">
        <v>256</v>
      </c>
      <c r="B19" s="31">
        <v>4.4980429926842801E-3</v>
      </c>
      <c r="C19" s="31">
        <v>0</v>
      </c>
      <c r="D19" s="31">
        <v>0</v>
      </c>
      <c r="E19" s="31">
        <v>2.7587655484743501E-2</v>
      </c>
      <c r="F19" s="31">
        <v>1.27436013033054E-2</v>
      </c>
      <c r="G19" s="31">
        <v>0</v>
      </c>
      <c r="H19" s="31">
        <v>0</v>
      </c>
      <c r="I19" s="31">
        <v>0</v>
      </c>
      <c r="J19" s="31">
        <v>0</v>
      </c>
      <c r="K19" s="31">
        <v>2.24774073239206E-2</v>
      </c>
      <c r="L19" s="31">
        <v>4.9980532387958798E-2</v>
      </c>
      <c r="M19" s="31">
        <v>7.9125596836000702E-3</v>
      </c>
      <c r="N19" s="31">
        <v>6.9161253304370995E-4</v>
      </c>
      <c r="O19" s="31">
        <v>4.6676161396749898E-2</v>
      </c>
      <c r="P19" s="31">
        <v>0</v>
      </c>
      <c r="Q19" s="31">
        <v>5.1230558003237804E-4</v>
      </c>
      <c r="R19" s="31">
        <v>0.108275784339843</v>
      </c>
      <c r="S19" s="31">
        <v>8.45304207053423E-5</v>
      </c>
    </row>
    <row r="20" spans="1:19">
      <c r="A20" s="30" t="s">
        <v>257</v>
      </c>
      <c r="B20" s="31">
        <v>0</v>
      </c>
      <c r="C20" s="31">
        <v>0</v>
      </c>
      <c r="D20" s="32" t="s">
        <v>242</v>
      </c>
      <c r="E20" s="31">
        <v>4.6200039566302302E-2</v>
      </c>
      <c r="F20" s="31">
        <v>0</v>
      </c>
      <c r="G20" s="31">
        <v>1.0590367519894801E-2</v>
      </c>
      <c r="H20" s="31">
        <v>2.5481974996649601E-2</v>
      </c>
      <c r="I20" s="31">
        <v>6.8736877708217695E-2</v>
      </c>
      <c r="J20" s="31">
        <v>0</v>
      </c>
      <c r="K20" s="31">
        <v>9.1895927861696605E-3</v>
      </c>
      <c r="L20" s="31">
        <v>0</v>
      </c>
      <c r="M20" s="31">
        <v>5.4339849009885201E-3</v>
      </c>
      <c r="N20" s="31">
        <v>6.5731115067741298E-4</v>
      </c>
      <c r="O20" s="31">
        <v>8.9343263198871702E-5</v>
      </c>
      <c r="P20" s="31">
        <v>0</v>
      </c>
      <c r="Q20" s="31">
        <v>4.7607195961684497E-3</v>
      </c>
      <c r="R20" s="31">
        <v>1.3401489479830799E-4</v>
      </c>
      <c r="S20" s="31">
        <v>4.4671631599435899E-5</v>
      </c>
    </row>
    <row r="21" spans="1:19">
      <c r="A21" s="30" t="s">
        <v>258</v>
      </c>
      <c r="B21" s="32" t="s">
        <v>242</v>
      </c>
      <c r="C21" s="31">
        <v>0</v>
      </c>
      <c r="D21" s="31">
        <v>0</v>
      </c>
      <c r="E21" s="31">
        <v>0</v>
      </c>
      <c r="F21" s="31">
        <v>5.7329529456862101E-5</v>
      </c>
      <c r="G21" s="31">
        <v>1.8045571887498401E-2</v>
      </c>
      <c r="H21" s="31">
        <v>7.7913883583740099E-3</v>
      </c>
      <c r="I21" s="31">
        <v>3.5242395356647402E-3</v>
      </c>
      <c r="J21" s="31">
        <v>2.8183060989799402E-3</v>
      </c>
      <c r="K21" s="31">
        <v>9.6578207315790702E-4</v>
      </c>
      <c r="L21" s="31">
        <v>0</v>
      </c>
      <c r="M21" s="31">
        <v>2.7884540363041799E-4</v>
      </c>
      <c r="N21" s="31">
        <v>1.42475753679776E-5</v>
      </c>
      <c r="O21" s="31">
        <v>9.2914545078310803E-4</v>
      </c>
      <c r="P21" s="31">
        <v>0</v>
      </c>
      <c r="Q21" s="31">
        <v>0</v>
      </c>
      <c r="R21" s="31">
        <v>3.4940482450040198E-5</v>
      </c>
      <c r="S21" s="31">
        <v>1.11945235034109E-5</v>
      </c>
    </row>
    <row r="22" spans="1:19">
      <c r="A22" s="30" t="s">
        <v>259</v>
      </c>
      <c r="B22" s="31">
        <v>9.3753521469752303E-5</v>
      </c>
      <c r="C22" s="31">
        <v>0</v>
      </c>
      <c r="D22" s="31">
        <v>4.1261995521506597E-5</v>
      </c>
      <c r="E22" s="31">
        <v>3.01303970461634E-3</v>
      </c>
      <c r="F22" s="32" t="s">
        <v>242</v>
      </c>
      <c r="G22" s="31">
        <v>4.3338152891101399E-4</v>
      </c>
      <c r="H22" s="31">
        <v>0</v>
      </c>
      <c r="I22" s="31">
        <v>0</v>
      </c>
      <c r="J22" s="31">
        <v>5.0493714139767699E-4</v>
      </c>
      <c r="K22" s="31">
        <v>3.7605869336056598E-4</v>
      </c>
      <c r="L22" s="31">
        <v>3.06657583804615E-3</v>
      </c>
      <c r="M22" s="31">
        <v>1.4008186327681099E-3</v>
      </c>
      <c r="N22" s="31">
        <v>5.4841892781749201E-6</v>
      </c>
      <c r="O22" s="31">
        <v>3.6561261854499499E-6</v>
      </c>
      <c r="P22" s="31">
        <v>0</v>
      </c>
      <c r="Q22" s="31">
        <v>2.4025972075813999E-5</v>
      </c>
      <c r="R22" s="31">
        <v>0</v>
      </c>
      <c r="S22" s="31">
        <v>1.82806309272498E-6</v>
      </c>
    </row>
  </sheetData>
  <phoneticPr fontId="34" type="noConversion"/>
  <conditionalFormatting sqref="B5:S22">
    <cfRule type="colorScale" priority="2">
      <colorScale>
        <cfvo type="num" val="0"/>
        <cfvo type="num" val="0.05"/>
        <cfvo type="num" val="0.2"/>
        <color rgb="FFFFFFFF"/>
        <color rgb="FFFFC000"/>
        <color rgb="FFC00000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450"/>
  <sheetViews>
    <sheetView zoomScaleNormal="100" workbookViewId="0">
      <pane ySplit="1" topLeftCell="A4688" activePane="bottomLeft" state="frozen"/>
      <selection pane="bottomLeft" activeCell="D13" sqref="D13"/>
    </sheetView>
  </sheetViews>
  <sheetFormatPr defaultColWidth="8.7109375" defaultRowHeight="15"/>
  <cols>
    <col min="1" max="1" width="10" customWidth="1"/>
    <col min="2" max="2" width="13" customWidth="1"/>
    <col min="3" max="3" width="15" customWidth="1"/>
    <col min="4" max="4" width="10" customWidth="1"/>
    <col min="5" max="5" width="13" customWidth="1"/>
    <col min="6" max="7" width="10" customWidth="1"/>
    <col min="8" max="8" width="13" customWidth="1"/>
    <col min="9" max="9" width="15" customWidth="1"/>
    <col min="10" max="10" width="8" customWidth="1"/>
  </cols>
  <sheetData>
    <row r="1" spans="1:10">
      <c r="A1" s="12" t="s">
        <v>13</v>
      </c>
      <c r="B1" s="12" t="s">
        <v>260</v>
      </c>
      <c r="C1" s="12" t="s">
        <v>16</v>
      </c>
      <c r="D1" s="12" t="s">
        <v>261</v>
      </c>
      <c r="E1" s="12" t="s">
        <v>262</v>
      </c>
      <c r="F1" s="16" t="s">
        <v>263</v>
      </c>
      <c r="G1" s="16" t="s">
        <v>264</v>
      </c>
      <c r="H1" s="12" t="s">
        <v>265</v>
      </c>
      <c r="I1" s="12" t="s">
        <v>266</v>
      </c>
      <c r="J1" s="16" t="s">
        <v>267</v>
      </c>
    </row>
    <row r="2" spans="1:10">
      <c r="A2" s="33" t="s">
        <v>25</v>
      </c>
      <c r="B2" s="34">
        <v>380.15300000000002</v>
      </c>
      <c r="C2" s="35">
        <v>10044</v>
      </c>
      <c r="D2" s="33" t="s">
        <v>268</v>
      </c>
      <c r="E2" s="34">
        <v>380.02600000000001</v>
      </c>
      <c r="F2" s="36">
        <v>0.12700000000000999</v>
      </c>
      <c r="G2" s="34">
        <v>0.12700000000000999</v>
      </c>
      <c r="H2" s="35">
        <v>58.2</v>
      </c>
      <c r="I2" s="37">
        <f t="shared" ref="I2:I65" si="0">H2/C2</f>
        <v>5.7945041816009563E-3</v>
      </c>
      <c r="J2" s="33"/>
    </row>
    <row r="3" spans="1:10">
      <c r="A3" s="33" t="s">
        <v>25</v>
      </c>
      <c r="B3" s="34">
        <v>380.15300000000002</v>
      </c>
      <c r="C3" s="35">
        <v>10044</v>
      </c>
      <c r="D3" s="33" t="s">
        <v>173</v>
      </c>
      <c r="E3" s="34">
        <v>380.03</v>
      </c>
      <c r="F3" s="36">
        <v>0.123000000000047</v>
      </c>
      <c r="G3" s="34">
        <v>0.123000000000047</v>
      </c>
      <c r="H3" s="35">
        <v>4600.6000000000004</v>
      </c>
      <c r="I3" s="37">
        <f t="shared" si="0"/>
        <v>0.45804460374352851</v>
      </c>
      <c r="J3" s="33"/>
    </row>
    <row r="4" spans="1:10">
      <c r="A4" s="33" t="s">
        <v>25</v>
      </c>
      <c r="B4" s="34">
        <v>380.15300000000002</v>
      </c>
      <c r="C4" s="35">
        <v>10044</v>
      </c>
      <c r="D4" s="33" t="s">
        <v>25</v>
      </c>
      <c r="E4" s="34">
        <v>380.03199999999998</v>
      </c>
      <c r="F4" s="36">
        <v>0.12100000000003799</v>
      </c>
      <c r="G4" s="34">
        <v>0.12100000000003799</v>
      </c>
      <c r="H4" s="35">
        <v>885.5</v>
      </c>
      <c r="I4" s="37">
        <f t="shared" si="0"/>
        <v>8.8162086818000793E-2</v>
      </c>
      <c r="J4" s="33" t="s">
        <v>116</v>
      </c>
    </row>
    <row r="5" spans="1:10">
      <c r="A5" s="33" t="s">
        <v>25</v>
      </c>
      <c r="B5" s="34">
        <v>380.15300000000002</v>
      </c>
      <c r="C5" s="35">
        <v>10044</v>
      </c>
      <c r="D5" s="33" t="s">
        <v>269</v>
      </c>
      <c r="E5" s="34">
        <v>380.03699999999998</v>
      </c>
      <c r="F5" s="36">
        <v>0.116000000000042</v>
      </c>
      <c r="G5" s="34">
        <v>0.116000000000042</v>
      </c>
      <c r="H5" s="35">
        <v>447</v>
      </c>
      <c r="I5" s="37">
        <f t="shared" si="0"/>
        <v>4.4504181600955796E-2</v>
      </c>
      <c r="J5" s="33"/>
    </row>
    <row r="6" spans="1:10">
      <c r="A6" s="33" t="s">
        <v>25</v>
      </c>
      <c r="B6" s="34">
        <v>380.15300000000002</v>
      </c>
      <c r="C6" s="35">
        <v>10044</v>
      </c>
      <c r="D6" s="33" t="s">
        <v>270</v>
      </c>
      <c r="E6" s="34">
        <v>380.03699999999998</v>
      </c>
      <c r="F6" s="36">
        <v>0.116000000000042</v>
      </c>
      <c r="G6" s="34">
        <v>0.116000000000042</v>
      </c>
      <c r="H6" s="35">
        <v>830.5</v>
      </c>
      <c r="I6" s="37">
        <f t="shared" si="0"/>
        <v>8.2686180804460371E-2</v>
      </c>
      <c r="J6" s="33"/>
    </row>
    <row r="7" spans="1:10">
      <c r="A7" s="33" t="s">
        <v>25</v>
      </c>
      <c r="B7" s="34">
        <v>380.15300000000002</v>
      </c>
      <c r="C7" s="35">
        <v>10044</v>
      </c>
      <c r="D7" s="33" t="s">
        <v>271</v>
      </c>
      <c r="E7" s="34">
        <v>380.03699999999998</v>
      </c>
      <c r="F7" s="36">
        <v>0.116000000000042</v>
      </c>
      <c r="G7" s="34">
        <v>0.116000000000042</v>
      </c>
      <c r="H7" s="35">
        <v>383</v>
      </c>
      <c r="I7" s="37">
        <f t="shared" si="0"/>
        <v>3.8132218239745122E-2</v>
      </c>
      <c r="J7" s="33"/>
    </row>
    <row r="8" spans="1:10">
      <c r="A8" s="33" t="s">
        <v>25</v>
      </c>
      <c r="B8" s="34">
        <v>380.15300000000002</v>
      </c>
      <c r="C8" s="35">
        <v>10044</v>
      </c>
      <c r="D8" s="33" t="s">
        <v>240</v>
      </c>
      <c r="E8" s="34">
        <v>380.05599999999998</v>
      </c>
      <c r="F8" s="36">
        <v>9.7000000000036807E-2</v>
      </c>
      <c r="G8" s="34">
        <v>9.7000000000036807E-2</v>
      </c>
      <c r="H8" s="35">
        <v>33.4</v>
      </c>
      <c r="I8" s="37">
        <f t="shared" si="0"/>
        <v>3.3253683791318197E-3</v>
      </c>
      <c r="J8" s="33"/>
    </row>
    <row r="9" spans="1:10">
      <c r="A9" s="33" t="s">
        <v>25</v>
      </c>
      <c r="B9" s="34">
        <v>380.15300000000002</v>
      </c>
      <c r="C9" s="35">
        <v>10044</v>
      </c>
      <c r="D9" s="33" t="s">
        <v>97</v>
      </c>
      <c r="E9" s="34">
        <v>380.06900000000002</v>
      </c>
      <c r="F9" s="36">
        <v>8.4000000000003197E-2</v>
      </c>
      <c r="G9" s="34">
        <v>8.4000000000003197E-2</v>
      </c>
      <c r="H9" s="35">
        <v>0.5</v>
      </c>
      <c r="I9" s="37">
        <f t="shared" si="0"/>
        <v>4.9780963759458382E-5</v>
      </c>
      <c r="J9" s="33"/>
    </row>
    <row r="10" spans="1:10">
      <c r="A10" s="33" t="s">
        <v>25</v>
      </c>
      <c r="B10" s="34">
        <v>380.15300000000002</v>
      </c>
      <c r="C10" s="35">
        <v>10044</v>
      </c>
      <c r="D10" s="33" t="s">
        <v>236</v>
      </c>
      <c r="E10" s="34">
        <v>380.07400000000001</v>
      </c>
      <c r="F10" s="36">
        <v>7.9000000000007703E-2</v>
      </c>
      <c r="G10" s="34">
        <v>7.9000000000007703E-2</v>
      </c>
      <c r="H10" s="35">
        <v>363</v>
      </c>
      <c r="I10" s="37">
        <f t="shared" si="0"/>
        <v>3.614097968936679E-2</v>
      </c>
      <c r="J10" s="33"/>
    </row>
    <row r="11" spans="1:10">
      <c r="A11" s="33" t="s">
        <v>25</v>
      </c>
      <c r="B11" s="34">
        <v>380.15300000000002</v>
      </c>
      <c r="C11" s="35">
        <v>10044</v>
      </c>
      <c r="D11" s="33" t="s">
        <v>116</v>
      </c>
      <c r="E11" s="34">
        <v>380.08699999999999</v>
      </c>
      <c r="F11" s="36">
        <v>6.6000000000000003E-2</v>
      </c>
      <c r="G11" s="34">
        <v>6.6000000000000003E-2</v>
      </c>
      <c r="H11" s="35">
        <v>434.4</v>
      </c>
      <c r="I11" s="37">
        <f t="shared" si="0"/>
        <v>4.3249701314217438E-2</v>
      </c>
      <c r="J11" s="33" t="s">
        <v>116</v>
      </c>
    </row>
    <row r="12" spans="1:10">
      <c r="A12" s="33" t="s">
        <v>25</v>
      </c>
      <c r="B12" s="34">
        <v>380.15300000000002</v>
      </c>
      <c r="C12" s="35">
        <v>10044</v>
      </c>
      <c r="D12" s="33" t="s">
        <v>270</v>
      </c>
      <c r="E12" s="34">
        <v>380.089</v>
      </c>
      <c r="F12" s="36">
        <v>6.4000000000021401E-2</v>
      </c>
      <c r="G12" s="34">
        <v>6.4000000000021401E-2</v>
      </c>
      <c r="H12" s="35">
        <v>4334.7</v>
      </c>
      <c r="I12" s="37">
        <f t="shared" si="0"/>
        <v>0.43157108721624848</v>
      </c>
      <c r="J12" s="33"/>
    </row>
    <row r="13" spans="1:10">
      <c r="A13" s="33" t="s">
        <v>25</v>
      </c>
      <c r="B13" s="34">
        <v>380.15300000000002</v>
      </c>
      <c r="C13" s="35">
        <v>10044</v>
      </c>
      <c r="D13" s="33" t="s">
        <v>272</v>
      </c>
      <c r="E13" s="34">
        <v>380.101</v>
      </c>
      <c r="F13" s="36">
        <v>5.2000000000020898E-2</v>
      </c>
      <c r="G13" s="34">
        <v>5.2000000000020898E-2</v>
      </c>
      <c r="H13" s="35">
        <v>176.5</v>
      </c>
      <c r="I13" s="37">
        <f t="shared" si="0"/>
        <v>1.7572680207088808E-2</v>
      </c>
      <c r="J13" s="33"/>
    </row>
    <row r="14" spans="1:10">
      <c r="A14" s="33" t="s">
        <v>25</v>
      </c>
      <c r="B14" s="34">
        <v>380.15300000000002</v>
      </c>
      <c r="C14" s="35">
        <v>10044</v>
      </c>
      <c r="D14" s="33" t="s">
        <v>27</v>
      </c>
      <c r="E14" s="34">
        <v>380.11099999999999</v>
      </c>
      <c r="F14" s="36">
        <v>4.2000000000029999E-2</v>
      </c>
      <c r="G14" s="34">
        <v>4.2000000000029999E-2</v>
      </c>
      <c r="H14" s="35">
        <v>1744.4</v>
      </c>
      <c r="I14" s="37">
        <f t="shared" si="0"/>
        <v>0.17367582636399842</v>
      </c>
      <c r="J14" s="33" t="s">
        <v>116</v>
      </c>
    </row>
    <row r="15" spans="1:10">
      <c r="A15" s="33" t="s">
        <v>25</v>
      </c>
      <c r="B15" s="34">
        <v>380.15300000000002</v>
      </c>
      <c r="C15" s="35">
        <v>10044</v>
      </c>
      <c r="D15" s="33" t="s">
        <v>239</v>
      </c>
      <c r="E15" s="34">
        <v>380.11900000000003</v>
      </c>
      <c r="F15" s="36">
        <v>3.3999999999991801E-2</v>
      </c>
      <c r="G15" s="34">
        <v>3.3999999999991801E-2</v>
      </c>
      <c r="H15" s="35">
        <v>10.1</v>
      </c>
      <c r="I15" s="37">
        <f t="shared" si="0"/>
        <v>1.0055754679410593E-3</v>
      </c>
      <c r="J15" s="33"/>
    </row>
    <row r="16" spans="1:10">
      <c r="A16" s="33" t="s">
        <v>25</v>
      </c>
      <c r="B16" s="34">
        <v>380.15300000000002</v>
      </c>
      <c r="C16" s="35">
        <v>10044</v>
      </c>
      <c r="D16" s="33" t="s">
        <v>54</v>
      </c>
      <c r="E16" s="34">
        <v>380.12299999999999</v>
      </c>
      <c r="F16" s="36">
        <v>3.00000000000296E-2</v>
      </c>
      <c r="G16" s="34">
        <v>3.00000000000296E-2</v>
      </c>
      <c r="H16" s="35">
        <v>3</v>
      </c>
      <c r="I16" s="37">
        <f t="shared" si="0"/>
        <v>2.9868578255675028E-4</v>
      </c>
      <c r="J16" s="33"/>
    </row>
    <row r="17" spans="1:10">
      <c r="A17" s="33" t="s">
        <v>25</v>
      </c>
      <c r="B17" s="34">
        <v>380.15300000000002</v>
      </c>
      <c r="C17" s="35">
        <v>10044</v>
      </c>
      <c r="D17" s="33" t="s">
        <v>273</v>
      </c>
      <c r="E17" s="34">
        <v>380.12900000000002</v>
      </c>
      <c r="F17" s="36">
        <v>2.4000000000000899E-2</v>
      </c>
      <c r="G17" s="34">
        <v>2.4000000000000899E-2</v>
      </c>
      <c r="H17" s="35">
        <v>922.8</v>
      </c>
      <c r="I17" s="37">
        <f t="shared" si="0"/>
        <v>9.1875746714456391E-2</v>
      </c>
      <c r="J17" s="33"/>
    </row>
    <row r="18" spans="1:10">
      <c r="A18" s="33" t="s">
        <v>25</v>
      </c>
      <c r="B18" s="34">
        <v>380.15300000000002</v>
      </c>
      <c r="C18" s="35">
        <v>10044</v>
      </c>
      <c r="D18" s="33" t="s">
        <v>271</v>
      </c>
      <c r="E18" s="34">
        <v>380.14400000000001</v>
      </c>
      <c r="F18" s="36">
        <v>9.0000000000145502E-3</v>
      </c>
      <c r="G18" s="34">
        <v>9.0000000000145502E-3</v>
      </c>
      <c r="H18" s="35">
        <v>90.5</v>
      </c>
      <c r="I18" s="37">
        <f t="shared" si="0"/>
        <v>9.0103544404619672E-3</v>
      </c>
      <c r="J18" s="33"/>
    </row>
    <row r="19" spans="1:10">
      <c r="A19" s="33" t="s">
        <v>25</v>
      </c>
      <c r="B19" s="34">
        <v>380.15300000000002</v>
      </c>
      <c r="C19" s="35">
        <v>10044</v>
      </c>
      <c r="D19" s="33" t="s">
        <v>274</v>
      </c>
      <c r="E19" s="34">
        <v>380.15100000000001</v>
      </c>
      <c r="F19" s="36">
        <v>2.0000000000095501E-3</v>
      </c>
      <c r="G19" s="34">
        <v>2.0000000000095501E-3</v>
      </c>
      <c r="H19" s="35">
        <v>8.6</v>
      </c>
      <c r="I19" s="37">
        <f t="shared" si="0"/>
        <v>8.5623257666268414E-4</v>
      </c>
      <c r="J19" s="33"/>
    </row>
    <row r="20" spans="1:10">
      <c r="A20" s="33" t="s">
        <v>25</v>
      </c>
      <c r="B20" s="34">
        <v>380.15300000000002</v>
      </c>
      <c r="C20" s="35">
        <v>10044</v>
      </c>
      <c r="D20" s="33" t="s">
        <v>201</v>
      </c>
      <c r="E20" s="34">
        <v>380.18</v>
      </c>
      <c r="F20" s="36">
        <v>2.6999999999986798E-2</v>
      </c>
      <c r="G20" s="34">
        <v>2.6999999999986798E-2</v>
      </c>
      <c r="H20" s="35">
        <v>1462.6</v>
      </c>
      <c r="I20" s="37">
        <f t="shared" si="0"/>
        <v>0.14561927518916765</v>
      </c>
      <c r="J20" s="33"/>
    </row>
    <row r="21" spans="1:10">
      <c r="A21" s="33" t="s">
        <v>25</v>
      </c>
      <c r="B21" s="34">
        <v>380.15300000000002</v>
      </c>
      <c r="C21" s="35">
        <v>10044</v>
      </c>
      <c r="D21" s="33" t="s">
        <v>275</v>
      </c>
      <c r="E21" s="34">
        <v>380.18400000000003</v>
      </c>
      <c r="F21" s="36">
        <v>3.1000000000005901E-2</v>
      </c>
      <c r="G21" s="34">
        <v>3.1000000000005901E-2</v>
      </c>
      <c r="H21" s="35">
        <v>54.4</v>
      </c>
      <c r="I21" s="37">
        <f t="shared" si="0"/>
        <v>5.4161688570290717E-3</v>
      </c>
      <c r="J21" s="33"/>
    </row>
    <row r="22" spans="1:10">
      <c r="A22" s="33" t="s">
        <v>25</v>
      </c>
      <c r="B22" s="34">
        <v>380.15300000000002</v>
      </c>
      <c r="C22" s="35">
        <v>10044</v>
      </c>
      <c r="D22" s="33" t="s">
        <v>240</v>
      </c>
      <c r="E22" s="34">
        <v>380.19</v>
      </c>
      <c r="F22" s="36">
        <v>3.6999999999977697E-2</v>
      </c>
      <c r="G22" s="34">
        <v>3.6999999999977697E-2</v>
      </c>
      <c r="H22" s="35">
        <v>26.5</v>
      </c>
      <c r="I22" s="37">
        <f t="shared" si="0"/>
        <v>2.6383910792512942E-3</v>
      </c>
      <c r="J22" s="33"/>
    </row>
    <row r="23" spans="1:10">
      <c r="A23" s="33" t="s">
        <v>25</v>
      </c>
      <c r="B23" s="34">
        <v>380.15300000000002</v>
      </c>
      <c r="C23" s="35">
        <v>10044</v>
      </c>
      <c r="D23" s="33" t="s">
        <v>274</v>
      </c>
      <c r="E23" s="34">
        <v>380.19099999999997</v>
      </c>
      <c r="F23" s="36">
        <v>3.7999999999954098E-2</v>
      </c>
      <c r="G23" s="34">
        <v>3.7999999999954098E-2</v>
      </c>
      <c r="H23" s="35">
        <v>8.6</v>
      </c>
      <c r="I23" s="37">
        <f t="shared" si="0"/>
        <v>8.5623257666268414E-4</v>
      </c>
      <c r="J23" s="33"/>
    </row>
    <row r="24" spans="1:10">
      <c r="A24" s="33" t="s">
        <v>25</v>
      </c>
      <c r="B24" s="34">
        <v>380.15300000000002</v>
      </c>
      <c r="C24" s="35">
        <v>10044</v>
      </c>
      <c r="D24" s="33" t="s">
        <v>276</v>
      </c>
      <c r="E24" s="34">
        <v>380.19200000000001</v>
      </c>
      <c r="F24" s="36">
        <v>3.8999999999987302E-2</v>
      </c>
      <c r="G24" s="34">
        <v>3.8999999999987302E-2</v>
      </c>
      <c r="H24" s="35">
        <v>17</v>
      </c>
      <c r="I24" s="37">
        <f t="shared" si="0"/>
        <v>1.6925527678215851E-3</v>
      </c>
      <c r="J24" s="33"/>
    </row>
    <row r="25" spans="1:10">
      <c r="A25" s="33" t="s">
        <v>25</v>
      </c>
      <c r="B25" s="34">
        <v>380.15300000000002</v>
      </c>
      <c r="C25" s="35">
        <v>10044</v>
      </c>
      <c r="D25" s="33" t="s">
        <v>33</v>
      </c>
      <c r="E25" s="34">
        <v>380.19299999999998</v>
      </c>
      <c r="F25" s="36">
        <v>3.9999999999963599E-2</v>
      </c>
      <c r="G25" s="34">
        <v>3.9999999999963599E-2</v>
      </c>
      <c r="H25" s="35">
        <v>584</v>
      </c>
      <c r="I25" s="37">
        <f t="shared" si="0"/>
        <v>5.8144165671047389E-2</v>
      </c>
      <c r="J25" s="33" t="s">
        <v>116</v>
      </c>
    </row>
    <row r="26" spans="1:10">
      <c r="A26" s="33" t="s">
        <v>25</v>
      </c>
      <c r="B26" s="34">
        <v>380.15300000000002</v>
      </c>
      <c r="C26" s="35">
        <v>10044</v>
      </c>
      <c r="D26" s="33" t="s">
        <v>271</v>
      </c>
      <c r="E26" s="34">
        <v>380.21499999999997</v>
      </c>
      <c r="F26" s="36">
        <v>6.1999999999955001E-2</v>
      </c>
      <c r="G26" s="34">
        <v>6.1999999999955001E-2</v>
      </c>
      <c r="H26" s="35">
        <v>181.8</v>
      </c>
      <c r="I26" s="37">
        <f t="shared" si="0"/>
        <v>1.810035842293907E-2</v>
      </c>
      <c r="J26" s="33"/>
    </row>
    <row r="27" spans="1:10">
      <c r="A27" s="33" t="s">
        <v>25</v>
      </c>
      <c r="B27" s="34">
        <v>380.15300000000002</v>
      </c>
      <c r="C27" s="35">
        <v>10044</v>
      </c>
      <c r="D27" s="33" t="s">
        <v>277</v>
      </c>
      <c r="E27" s="34">
        <v>380.22800000000001</v>
      </c>
      <c r="F27" s="36">
        <v>7.4999999999988604E-2</v>
      </c>
      <c r="G27" s="34">
        <v>7.4999999999988604E-2</v>
      </c>
      <c r="H27" s="35">
        <v>235</v>
      </c>
      <c r="I27" s="37">
        <f t="shared" si="0"/>
        <v>2.3397052966945438E-2</v>
      </c>
      <c r="J27" s="33"/>
    </row>
    <row r="28" spans="1:10">
      <c r="A28" s="33" t="s">
        <v>25</v>
      </c>
      <c r="B28" s="34">
        <v>380.15300000000002</v>
      </c>
      <c r="C28" s="35">
        <v>10044</v>
      </c>
      <c r="D28" s="33" t="s">
        <v>27</v>
      </c>
      <c r="E28" s="34">
        <v>380.22899999999998</v>
      </c>
      <c r="F28" s="36">
        <v>7.5999999999964998E-2</v>
      </c>
      <c r="G28" s="34">
        <v>7.5999999999964998E-2</v>
      </c>
      <c r="H28" s="35">
        <v>1176.4000000000001</v>
      </c>
      <c r="I28" s="37">
        <f t="shared" si="0"/>
        <v>0.11712465153325369</v>
      </c>
      <c r="J28" s="33" t="s">
        <v>116</v>
      </c>
    </row>
    <row r="29" spans="1:10">
      <c r="A29" s="33" t="s">
        <v>25</v>
      </c>
      <c r="B29" s="34">
        <v>380.15300000000002</v>
      </c>
      <c r="C29" s="35">
        <v>10044</v>
      </c>
      <c r="D29" s="33" t="s">
        <v>273</v>
      </c>
      <c r="E29" s="34">
        <v>380.29199999999997</v>
      </c>
      <c r="F29" s="36">
        <v>0.13899999999995299</v>
      </c>
      <c r="G29" s="34">
        <v>0.13899999999995299</v>
      </c>
      <c r="H29" s="35">
        <v>654.4</v>
      </c>
      <c r="I29" s="37">
        <f t="shared" si="0"/>
        <v>6.5153325368379131E-2</v>
      </c>
      <c r="J29" s="33"/>
    </row>
    <row r="30" spans="1:10">
      <c r="A30" s="33" t="s">
        <v>25</v>
      </c>
      <c r="B30" s="34">
        <v>380.15300000000002</v>
      </c>
      <c r="C30" s="35">
        <v>10044</v>
      </c>
      <c r="D30" s="33" t="s">
        <v>275</v>
      </c>
      <c r="E30" s="34">
        <v>380.30599999999998</v>
      </c>
      <c r="F30" s="36">
        <v>0.152999999999963</v>
      </c>
      <c r="G30" s="34">
        <v>0.152999999999963</v>
      </c>
      <c r="H30" s="35">
        <v>5.8</v>
      </c>
      <c r="I30" s="37">
        <f t="shared" si="0"/>
        <v>5.7745917960971718E-4</v>
      </c>
      <c r="J30" s="33"/>
    </row>
    <row r="31" spans="1:10">
      <c r="A31" s="33" t="s">
        <v>25</v>
      </c>
      <c r="B31" s="34">
        <v>380.15300000000002</v>
      </c>
      <c r="C31" s="35">
        <v>10044</v>
      </c>
      <c r="D31" s="33" t="s">
        <v>271</v>
      </c>
      <c r="E31" s="34">
        <v>380.30799999999999</v>
      </c>
      <c r="F31" s="36">
        <v>0.15499999999997299</v>
      </c>
      <c r="G31" s="34">
        <v>0.15499999999997299</v>
      </c>
      <c r="H31" s="35">
        <v>86</v>
      </c>
      <c r="I31" s="37">
        <f t="shared" si="0"/>
        <v>8.5623257666268427E-3</v>
      </c>
      <c r="J31" s="33"/>
    </row>
    <row r="32" spans="1:10">
      <c r="A32" s="33" t="s">
        <v>25</v>
      </c>
      <c r="B32" s="34">
        <v>380.15300000000002</v>
      </c>
      <c r="C32" s="35">
        <v>10044</v>
      </c>
      <c r="D32" s="33" t="s">
        <v>25</v>
      </c>
      <c r="E32" s="34">
        <v>380.31</v>
      </c>
      <c r="F32" s="36">
        <v>0.15699999999998199</v>
      </c>
      <c r="G32" s="34">
        <v>0.15699999999998199</v>
      </c>
      <c r="H32" s="35">
        <v>3015.5</v>
      </c>
      <c r="I32" s="37">
        <f t="shared" si="0"/>
        <v>0.30022899243329348</v>
      </c>
      <c r="J32" s="33" t="s">
        <v>116</v>
      </c>
    </row>
    <row r="33" spans="1:10">
      <c r="A33" s="33" t="s">
        <v>25</v>
      </c>
      <c r="B33" s="34">
        <v>380.15300000000002</v>
      </c>
      <c r="C33" s="35">
        <v>10044</v>
      </c>
      <c r="D33" s="33" t="s">
        <v>268</v>
      </c>
      <c r="E33" s="34">
        <v>380.31900000000002</v>
      </c>
      <c r="F33" s="36">
        <v>0.16599999999999701</v>
      </c>
      <c r="G33" s="34">
        <v>0.16599999999999701</v>
      </c>
      <c r="H33" s="35">
        <v>17.600000000000001</v>
      </c>
      <c r="I33" s="37">
        <f t="shared" si="0"/>
        <v>1.7522899243329353E-3</v>
      </c>
      <c r="J33" s="33"/>
    </row>
    <row r="34" spans="1:10">
      <c r="A34" s="33" t="s">
        <v>25</v>
      </c>
      <c r="B34" s="34">
        <v>380.15300000000002</v>
      </c>
      <c r="C34" s="35">
        <v>10044</v>
      </c>
      <c r="D34" s="33" t="s">
        <v>277</v>
      </c>
      <c r="E34" s="34">
        <v>380.33499999999998</v>
      </c>
      <c r="F34" s="36">
        <v>0.18199999999996</v>
      </c>
      <c r="G34" s="34">
        <v>0.18199999999996</v>
      </c>
      <c r="H34" s="35">
        <v>79.7</v>
      </c>
      <c r="I34" s="37">
        <f t="shared" si="0"/>
        <v>7.9350856232576674E-3</v>
      </c>
      <c r="J34" s="33"/>
    </row>
    <row r="35" spans="1:10">
      <c r="A35" s="33" t="s">
        <v>25</v>
      </c>
      <c r="B35" s="34">
        <v>380.15300000000002</v>
      </c>
      <c r="C35" s="35">
        <v>10044</v>
      </c>
      <c r="D35" s="33" t="s">
        <v>27</v>
      </c>
      <c r="E35" s="34">
        <v>380.34699999999998</v>
      </c>
      <c r="F35" s="36">
        <v>0.19399999999996001</v>
      </c>
      <c r="G35" s="34">
        <v>0.19399999999996001</v>
      </c>
      <c r="H35" s="35">
        <v>3167.1</v>
      </c>
      <c r="I35" s="37">
        <f t="shared" si="0"/>
        <v>0.31532258064516128</v>
      </c>
      <c r="J35" s="33" t="s">
        <v>116</v>
      </c>
    </row>
    <row r="36" spans="1:10">
      <c r="A36" s="33" t="s">
        <v>25</v>
      </c>
      <c r="B36" s="34">
        <v>380.15300000000002</v>
      </c>
      <c r="C36" s="35">
        <v>10044</v>
      </c>
      <c r="D36" s="33" t="s">
        <v>278</v>
      </c>
      <c r="E36" s="34">
        <v>380.34800000000001</v>
      </c>
      <c r="F36" s="36">
        <v>0.19499999999999301</v>
      </c>
      <c r="G36" s="34">
        <v>0.19499999999999301</v>
      </c>
      <c r="H36" s="35">
        <v>272.2</v>
      </c>
      <c r="I36" s="37">
        <f t="shared" si="0"/>
        <v>2.7100756670649144E-2</v>
      </c>
      <c r="J36" s="33"/>
    </row>
    <row r="37" spans="1:10">
      <c r="A37" s="33" t="s">
        <v>25</v>
      </c>
      <c r="B37" s="34">
        <v>380.15300000000002</v>
      </c>
      <c r="C37" s="35">
        <v>10044</v>
      </c>
      <c r="D37" s="33" t="s">
        <v>25</v>
      </c>
      <c r="E37" s="34">
        <v>380.38400000000001</v>
      </c>
      <c r="F37" s="36">
        <v>0.23099999999999499</v>
      </c>
      <c r="G37" s="34">
        <v>0.23099999999999499</v>
      </c>
      <c r="H37" s="35">
        <v>163</v>
      </c>
      <c r="I37" s="37">
        <f t="shared" si="0"/>
        <v>1.6228594185583433E-2</v>
      </c>
      <c r="J37" s="33" t="s">
        <v>116</v>
      </c>
    </row>
    <row r="38" spans="1:10">
      <c r="A38" s="33" t="s">
        <v>25</v>
      </c>
      <c r="B38" s="34">
        <v>380.15300000000002</v>
      </c>
      <c r="C38" s="35">
        <v>10044</v>
      </c>
      <c r="D38" s="33" t="s">
        <v>273</v>
      </c>
      <c r="E38" s="34">
        <v>380.387</v>
      </c>
      <c r="F38" s="36">
        <v>0.23399999999998</v>
      </c>
      <c r="G38" s="34">
        <v>0.23399999999998</v>
      </c>
      <c r="H38" s="35">
        <v>502.5</v>
      </c>
      <c r="I38" s="37">
        <f t="shared" si="0"/>
        <v>5.0029868578255678E-2</v>
      </c>
      <c r="J38" s="33"/>
    </row>
    <row r="39" spans="1:10">
      <c r="A39" s="33" t="s">
        <v>25</v>
      </c>
      <c r="B39" s="34">
        <v>394.274</v>
      </c>
      <c r="C39" s="35">
        <v>6991.4</v>
      </c>
      <c r="D39" s="33" t="s">
        <v>275</v>
      </c>
      <c r="E39" s="34">
        <v>394.149</v>
      </c>
      <c r="F39" s="36">
        <v>0.125</v>
      </c>
      <c r="G39" s="34">
        <v>0.125</v>
      </c>
      <c r="H39" s="35">
        <v>181.4</v>
      </c>
      <c r="I39" s="37">
        <f t="shared" si="0"/>
        <v>2.5946162428125984E-2</v>
      </c>
      <c r="J39" s="33"/>
    </row>
    <row r="40" spans="1:10">
      <c r="A40" s="33" t="s">
        <v>25</v>
      </c>
      <c r="B40" s="34">
        <v>394.274</v>
      </c>
      <c r="C40" s="35">
        <v>6991.4</v>
      </c>
      <c r="D40" s="33" t="s">
        <v>279</v>
      </c>
      <c r="E40" s="34">
        <v>394.15</v>
      </c>
      <c r="F40" s="36">
        <v>0.12400000000002399</v>
      </c>
      <c r="G40" s="34">
        <v>0.12400000000002399</v>
      </c>
      <c r="H40" s="35">
        <v>1.2</v>
      </c>
      <c r="I40" s="37">
        <f t="shared" si="0"/>
        <v>1.7163944274394257E-4</v>
      </c>
      <c r="J40" s="33"/>
    </row>
    <row r="41" spans="1:10">
      <c r="A41" s="33" t="s">
        <v>25</v>
      </c>
      <c r="B41" s="34">
        <v>394.274</v>
      </c>
      <c r="C41" s="35">
        <v>6991.4</v>
      </c>
      <c r="D41" s="33" t="s">
        <v>27</v>
      </c>
      <c r="E41" s="34">
        <v>394.15100000000001</v>
      </c>
      <c r="F41" s="36">
        <v>0.12299999999999101</v>
      </c>
      <c r="G41" s="34">
        <v>0.12299999999999101</v>
      </c>
      <c r="H41" s="35">
        <v>6233.3</v>
      </c>
      <c r="I41" s="37">
        <f t="shared" si="0"/>
        <v>0.89156678204651441</v>
      </c>
      <c r="J41" s="33" t="s">
        <v>116</v>
      </c>
    </row>
    <row r="42" spans="1:10">
      <c r="A42" s="33" t="s">
        <v>25</v>
      </c>
      <c r="B42" s="34">
        <v>394.274</v>
      </c>
      <c r="C42" s="35">
        <v>6991.4</v>
      </c>
      <c r="D42" s="33" t="s">
        <v>280</v>
      </c>
      <c r="E42" s="34">
        <v>394.15600000000001</v>
      </c>
      <c r="F42" s="36">
        <v>0.117999999999995</v>
      </c>
      <c r="G42" s="34">
        <v>0.117999999999995</v>
      </c>
      <c r="H42" s="35">
        <v>245.6</v>
      </c>
      <c r="I42" s="37">
        <f t="shared" si="0"/>
        <v>3.5128872614926913E-2</v>
      </c>
      <c r="J42" s="33"/>
    </row>
    <row r="43" spans="1:10">
      <c r="A43" s="33" t="s">
        <v>25</v>
      </c>
      <c r="B43" s="34">
        <v>394.274</v>
      </c>
      <c r="C43" s="35">
        <v>6991.4</v>
      </c>
      <c r="D43" s="33" t="s">
        <v>268</v>
      </c>
      <c r="E43" s="34">
        <v>394.16800000000001</v>
      </c>
      <c r="F43" s="36">
        <v>0.105999999999995</v>
      </c>
      <c r="G43" s="34">
        <v>0.105999999999995</v>
      </c>
      <c r="H43" s="35">
        <v>3.6</v>
      </c>
      <c r="I43" s="37">
        <f t="shared" si="0"/>
        <v>5.1491832823182774E-4</v>
      </c>
      <c r="J43" s="33"/>
    </row>
    <row r="44" spans="1:10">
      <c r="A44" s="33" t="s">
        <v>25</v>
      </c>
      <c r="B44" s="34">
        <v>394.274</v>
      </c>
      <c r="C44" s="35">
        <v>6991.4</v>
      </c>
      <c r="D44" s="33" t="s">
        <v>54</v>
      </c>
      <c r="E44" s="34">
        <v>394.173</v>
      </c>
      <c r="F44" s="36">
        <v>0.10099999999999899</v>
      </c>
      <c r="G44" s="34">
        <v>0.10099999999999899</v>
      </c>
      <c r="H44" s="35">
        <v>28.1</v>
      </c>
      <c r="I44" s="37">
        <f t="shared" si="0"/>
        <v>4.0192236175873221E-3</v>
      </c>
      <c r="J44" s="33"/>
    </row>
    <row r="45" spans="1:10">
      <c r="A45" s="33" t="s">
        <v>25</v>
      </c>
      <c r="B45" s="34">
        <v>394.274</v>
      </c>
      <c r="C45" s="35">
        <v>6991.4</v>
      </c>
      <c r="D45" s="33" t="s">
        <v>281</v>
      </c>
      <c r="E45" s="34">
        <v>394.185</v>
      </c>
      <c r="F45" s="36">
        <v>8.8999999999998594E-2</v>
      </c>
      <c r="G45" s="34">
        <v>8.8999999999998594E-2</v>
      </c>
      <c r="H45" s="35">
        <v>9.9</v>
      </c>
      <c r="I45" s="37">
        <f t="shared" si="0"/>
        <v>1.4160254026375262E-3</v>
      </c>
      <c r="J45" s="33"/>
    </row>
    <row r="46" spans="1:10">
      <c r="A46" s="33" t="s">
        <v>25</v>
      </c>
      <c r="B46" s="34">
        <v>394.274</v>
      </c>
      <c r="C46" s="35">
        <v>6991.4</v>
      </c>
      <c r="D46" s="33" t="s">
        <v>270</v>
      </c>
      <c r="E46" s="34">
        <v>394.18799999999999</v>
      </c>
      <c r="F46" s="36">
        <v>8.6000000000012705E-2</v>
      </c>
      <c r="G46" s="34">
        <v>8.6000000000012705E-2</v>
      </c>
      <c r="H46" s="35">
        <v>2187.9</v>
      </c>
      <c r="I46" s="37">
        <f t="shared" si="0"/>
        <v>0.31294161398289327</v>
      </c>
      <c r="J46" s="33"/>
    </row>
    <row r="47" spans="1:10">
      <c r="A47" s="33" t="s">
        <v>25</v>
      </c>
      <c r="B47" s="34">
        <v>394.274</v>
      </c>
      <c r="C47" s="35">
        <v>6991.4</v>
      </c>
      <c r="D47" s="33" t="s">
        <v>236</v>
      </c>
      <c r="E47" s="34">
        <v>394.19</v>
      </c>
      <c r="F47" s="36">
        <v>8.4000000000003197E-2</v>
      </c>
      <c r="G47" s="34">
        <v>8.4000000000003197E-2</v>
      </c>
      <c r="H47" s="35">
        <v>64</v>
      </c>
      <c r="I47" s="37">
        <f t="shared" si="0"/>
        <v>9.1541036130102695E-3</v>
      </c>
      <c r="J47" s="33"/>
    </row>
    <row r="48" spans="1:10">
      <c r="A48" s="33" t="s">
        <v>25</v>
      </c>
      <c r="B48" s="34">
        <v>394.274</v>
      </c>
      <c r="C48" s="35">
        <v>6991.4</v>
      </c>
      <c r="D48" s="33" t="s">
        <v>268</v>
      </c>
      <c r="E48" s="34">
        <v>394.20699999999999</v>
      </c>
      <c r="F48" s="36">
        <v>6.7000000000007304E-2</v>
      </c>
      <c r="G48" s="34">
        <v>6.7000000000007304E-2</v>
      </c>
      <c r="H48" s="35">
        <v>1</v>
      </c>
      <c r="I48" s="37">
        <f t="shared" si="0"/>
        <v>1.4303286895328546E-4</v>
      </c>
      <c r="J48" s="33"/>
    </row>
    <row r="49" spans="1:10">
      <c r="A49" s="33" t="s">
        <v>25</v>
      </c>
      <c r="B49" s="34">
        <v>394.274</v>
      </c>
      <c r="C49" s="35">
        <v>6991.4</v>
      </c>
      <c r="D49" s="33" t="s">
        <v>271</v>
      </c>
      <c r="E49" s="34">
        <v>394.20699999999999</v>
      </c>
      <c r="F49" s="36">
        <v>6.7000000000007304E-2</v>
      </c>
      <c r="G49" s="34">
        <v>6.7000000000007304E-2</v>
      </c>
      <c r="H49" s="35">
        <v>59.3</v>
      </c>
      <c r="I49" s="37">
        <f t="shared" si="0"/>
        <v>8.4818491289298283E-3</v>
      </c>
      <c r="J49" s="33"/>
    </row>
    <row r="50" spans="1:10">
      <c r="A50" s="33" t="s">
        <v>25</v>
      </c>
      <c r="B50" s="34">
        <v>394.274</v>
      </c>
      <c r="C50" s="35">
        <v>6991.4</v>
      </c>
      <c r="D50" s="33" t="s">
        <v>25</v>
      </c>
      <c r="E50" s="34">
        <v>394.21499999999997</v>
      </c>
      <c r="F50" s="36">
        <v>5.90000000000259E-2</v>
      </c>
      <c r="G50" s="34">
        <v>5.90000000000259E-2</v>
      </c>
      <c r="H50" s="35">
        <v>3974.5</v>
      </c>
      <c r="I50" s="37">
        <f t="shared" si="0"/>
        <v>0.56848413765483308</v>
      </c>
      <c r="J50" s="33" t="s">
        <v>116</v>
      </c>
    </row>
    <row r="51" spans="1:10">
      <c r="A51" s="33" t="s">
        <v>25</v>
      </c>
      <c r="B51" s="34">
        <v>394.274</v>
      </c>
      <c r="C51" s="35">
        <v>6991.4</v>
      </c>
      <c r="D51" s="33" t="s">
        <v>97</v>
      </c>
      <c r="E51" s="34">
        <v>394.24400000000003</v>
      </c>
      <c r="F51" s="36">
        <v>2.9999999999972701E-2</v>
      </c>
      <c r="G51" s="34">
        <v>2.9999999999972701E-2</v>
      </c>
      <c r="H51" s="35">
        <v>4</v>
      </c>
      <c r="I51" s="37">
        <f t="shared" si="0"/>
        <v>5.7213147581314185E-4</v>
      </c>
      <c r="J51" s="33"/>
    </row>
    <row r="52" spans="1:10">
      <c r="A52" s="33" t="s">
        <v>25</v>
      </c>
      <c r="B52" s="34">
        <v>394.274</v>
      </c>
      <c r="C52" s="35">
        <v>6991.4</v>
      </c>
      <c r="D52" s="33" t="s">
        <v>33</v>
      </c>
      <c r="E52" s="34">
        <v>394.25299999999999</v>
      </c>
      <c r="F52" s="36">
        <v>2.1000000000015E-2</v>
      </c>
      <c r="G52" s="34">
        <v>2.1000000000015E-2</v>
      </c>
      <c r="H52" s="35">
        <v>673.9</v>
      </c>
      <c r="I52" s="37">
        <f t="shared" si="0"/>
        <v>9.6389850387619075E-2</v>
      </c>
      <c r="J52" s="33" t="s">
        <v>116</v>
      </c>
    </row>
    <row r="53" spans="1:10">
      <c r="A53" s="33" t="s">
        <v>25</v>
      </c>
      <c r="B53" s="34">
        <v>394.274</v>
      </c>
      <c r="C53" s="35">
        <v>6991.4</v>
      </c>
      <c r="D53" s="33" t="s">
        <v>277</v>
      </c>
      <c r="E53" s="34">
        <v>394.25400000000002</v>
      </c>
      <c r="F53" s="36">
        <v>1.99999999999818E-2</v>
      </c>
      <c r="G53" s="34">
        <v>1.99999999999818E-2</v>
      </c>
      <c r="H53" s="35">
        <v>93.1</v>
      </c>
      <c r="I53" s="37">
        <f t="shared" si="0"/>
        <v>1.3316360099550877E-2</v>
      </c>
      <c r="J53" s="33"/>
    </row>
    <row r="54" spans="1:10">
      <c r="A54" s="33" t="s">
        <v>25</v>
      </c>
      <c r="B54" s="34">
        <v>394.274</v>
      </c>
      <c r="C54" s="35">
        <v>6991.4</v>
      </c>
      <c r="D54" s="33" t="s">
        <v>27</v>
      </c>
      <c r="E54" s="34">
        <v>394.262</v>
      </c>
      <c r="F54" s="36">
        <v>1.20000000000005E-2</v>
      </c>
      <c r="G54" s="34">
        <v>1.20000000000005E-2</v>
      </c>
      <c r="H54" s="35">
        <v>653.29999999999995</v>
      </c>
      <c r="I54" s="37">
        <f t="shared" si="0"/>
        <v>9.3443373287181386E-2</v>
      </c>
      <c r="J54" s="33" t="s">
        <v>116</v>
      </c>
    </row>
    <row r="55" spans="1:10">
      <c r="A55" s="33" t="s">
        <v>25</v>
      </c>
      <c r="B55" s="34">
        <v>394.274</v>
      </c>
      <c r="C55" s="35">
        <v>6991.4</v>
      </c>
      <c r="D55" s="33" t="s">
        <v>36</v>
      </c>
      <c r="E55" s="34">
        <v>394.26400000000001</v>
      </c>
      <c r="F55" s="36">
        <v>0.01</v>
      </c>
      <c r="G55" s="34">
        <v>0.01</v>
      </c>
      <c r="H55" s="35">
        <v>165.6</v>
      </c>
      <c r="I55" s="37">
        <f t="shared" si="0"/>
        <v>2.3686243098664073E-2</v>
      </c>
      <c r="J55" s="33" t="s">
        <v>116</v>
      </c>
    </row>
    <row r="56" spans="1:10">
      <c r="A56" s="33" t="s">
        <v>25</v>
      </c>
      <c r="B56" s="34">
        <v>394.274</v>
      </c>
      <c r="C56" s="35">
        <v>6991.4</v>
      </c>
      <c r="D56" s="33" t="s">
        <v>54</v>
      </c>
      <c r="E56" s="34">
        <v>394.26799999999997</v>
      </c>
      <c r="F56" s="36">
        <v>6.00000000002865E-3</v>
      </c>
      <c r="G56" s="34">
        <v>6.00000000002865E-3</v>
      </c>
      <c r="H56" s="35">
        <v>3.7</v>
      </c>
      <c r="I56" s="37">
        <f t="shared" si="0"/>
        <v>5.2922161512715632E-4</v>
      </c>
      <c r="J56" s="33"/>
    </row>
    <row r="57" spans="1:10">
      <c r="A57" s="33" t="s">
        <v>25</v>
      </c>
      <c r="B57" s="34">
        <v>394.274</v>
      </c>
      <c r="C57" s="35">
        <v>6991.4</v>
      </c>
      <c r="D57" s="33" t="s">
        <v>282</v>
      </c>
      <c r="E57" s="34">
        <v>394.27100000000002</v>
      </c>
      <c r="F57" s="36">
        <v>2.9999999999858998E-3</v>
      </c>
      <c r="G57" s="34">
        <v>2.9999999999858998E-3</v>
      </c>
      <c r="H57" s="35">
        <v>144.6</v>
      </c>
      <c r="I57" s="37">
        <f t="shared" si="0"/>
        <v>2.0682552850645079E-2</v>
      </c>
      <c r="J57" s="33"/>
    </row>
    <row r="58" spans="1:10">
      <c r="A58" s="33" t="s">
        <v>25</v>
      </c>
      <c r="B58" s="34">
        <v>394.274</v>
      </c>
      <c r="C58" s="35">
        <v>6991.4</v>
      </c>
      <c r="D58" s="33" t="s">
        <v>240</v>
      </c>
      <c r="E58" s="34">
        <v>394.29</v>
      </c>
      <c r="F58" s="36">
        <v>1.6000000000019599E-2</v>
      </c>
      <c r="G58" s="34">
        <v>1.6000000000019599E-2</v>
      </c>
      <c r="H58" s="35">
        <v>10.9</v>
      </c>
      <c r="I58" s="37">
        <f t="shared" si="0"/>
        <v>1.5590582715908118E-3</v>
      </c>
      <c r="J58" s="33"/>
    </row>
    <row r="59" spans="1:10">
      <c r="A59" s="33" t="s">
        <v>25</v>
      </c>
      <c r="B59" s="34">
        <v>394.274</v>
      </c>
      <c r="C59" s="35">
        <v>6991.4</v>
      </c>
      <c r="D59" s="33" t="s">
        <v>280</v>
      </c>
      <c r="E59" s="34">
        <v>394.30700000000002</v>
      </c>
      <c r="F59" s="36">
        <v>3.3000000000015503E-2</v>
      </c>
      <c r="G59" s="34">
        <v>3.3000000000015503E-2</v>
      </c>
      <c r="H59" s="35">
        <v>951.7</v>
      </c>
      <c r="I59" s="37">
        <f t="shared" si="0"/>
        <v>0.1361243813828418</v>
      </c>
      <c r="J59" s="33"/>
    </row>
    <row r="60" spans="1:10">
      <c r="A60" s="33" t="s">
        <v>25</v>
      </c>
      <c r="B60" s="34">
        <v>394.274</v>
      </c>
      <c r="C60" s="35">
        <v>6991.4</v>
      </c>
      <c r="D60" s="33" t="s">
        <v>275</v>
      </c>
      <c r="E60" s="34">
        <v>394.30799999999999</v>
      </c>
      <c r="F60" s="36">
        <v>3.3999999999991801E-2</v>
      </c>
      <c r="G60" s="34">
        <v>3.3999999999991801E-2</v>
      </c>
      <c r="H60" s="35">
        <v>31.4</v>
      </c>
      <c r="I60" s="37">
        <f t="shared" si="0"/>
        <v>4.4912320851331639E-3</v>
      </c>
      <c r="J60" s="33"/>
    </row>
    <row r="61" spans="1:10">
      <c r="A61" s="33" t="s">
        <v>25</v>
      </c>
      <c r="B61" s="34">
        <v>394.274</v>
      </c>
      <c r="C61" s="35">
        <v>6991.4</v>
      </c>
      <c r="D61" s="33" t="s">
        <v>25</v>
      </c>
      <c r="E61" s="34">
        <v>394.31299999999999</v>
      </c>
      <c r="F61" s="36">
        <v>3.8999999999987302E-2</v>
      </c>
      <c r="G61" s="34">
        <v>3.8999999999987302E-2</v>
      </c>
      <c r="H61" s="35">
        <v>361.3</v>
      </c>
      <c r="I61" s="37">
        <f t="shared" si="0"/>
        <v>5.167777555282204E-2</v>
      </c>
      <c r="J61" s="33" t="s">
        <v>116</v>
      </c>
    </row>
    <row r="62" spans="1:10">
      <c r="A62" s="33" t="s">
        <v>25</v>
      </c>
      <c r="B62" s="34">
        <v>394.274</v>
      </c>
      <c r="C62" s="35">
        <v>6991.4</v>
      </c>
      <c r="D62" s="33" t="s">
        <v>84</v>
      </c>
      <c r="E62" s="34">
        <v>394.31799999999998</v>
      </c>
      <c r="F62" s="36">
        <v>4.3999999999999997E-2</v>
      </c>
      <c r="G62" s="34">
        <v>4.3999999999999997E-2</v>
      </c>
      <c r="H62" s="35">
        <v>408.5</v>
      </c>
      <c r="I62" s="37">
        <f t="shared" si="0"/>
        <v>5.8428926967417118E-2</v>
      </c>
      <c r="J62" s="33" t="s">
        <v>116</v>
      </c>
    </row>
    <row r="63" spans="1:10">
      <c r="A63" s="33" t="s">
        <v>25</v>
      </c>
      <c r="B63" s="34">
        <v>394.274</v>
      </c>
      <c r="C63" s="35">
        <v>6991.4</v>
      </c>
      <c r="D63" s="33" t="s">
        <v>270</v>
      </c>
      <c r="E63" s="34">
        <v>394.32400000000001</v>
      </c>
      <c r="F63" s="36">
        <v>5.0000000000011403E-2</v>
      </c>
      <c r="G63" s="34">
        <v>5.0000000000011403E-2</v>
      </c>
      <c r="H63" s="35">
        <v>1402.6</v>
      </c>
      <c r="I63" s="37">
        <f t="shared" si="0"/>
        <v>0.20061790199387819</v>
      </c>
      <c r="J63" s="33"/>
    </row>
    <row r="64" spans="1:10">
      <c r="A64" s="33" t="s">
        <v>25</v>
      </c>
      <c r="B64" s="34">
        <v>394.274</v>
      </c>
      <c r="C64" s="35">
        <v>6991.4</v>
      </c>
      <c r="D64" s="33" t="s">
        <v>271</v>
      </c>
      <c r="E64" s="34">
        <v>394.339</v>
      </c>
      <c r="F64" s="36">
        <v>6.4999999999997699E-2</v>
      </c>
      <c r="G64" s="34">
        <v>6.4999999999997699E-2</v>
      </c>
      <c r="H64" s="35">
        <v>587.9</v>
      </c>
      <c r="I64" s="37">
        <f t="shared" si="0"/>
        <v>8.4089023657636527E-2</v>
      </c>
      <c r="J64" s="33"/>
    </row>
    <row r="65" spans="1:10">
      <c r="A65" s="33" t="s">
        <v>25</v>
      </c>
      <c r="B65" s="34">
        <v>394.274</v>
      </c>
      <c r="C65" s="35">
        <v>6991.4</v>
      </c>
      <c r="D65" s="33" t="s">
        <v>273</v>
      </c>
      <c r="E65" s="34">
        <v>394.36599999999999</v>
      </c>
      <c r="F65" s="36">
        <v>9.1999999999984497E-2</v>
      </c>
      <c r="G65" s="34">
        <v>9.1999999999984497E-2</v>
      </c>
      <c r="H65" s="35">
        <v>84.4</v>
      </c>
      <c r="I65" s="37">
        <f t="shared" si="0"/>
        <v>1.2071974139657295E-2</v>
      </c>
      <c r="J65" s="33"/>
    </row>
    <row r="66" spans="1:10">
      <c r="A66" s="33" t="s">
        <v>25</v>
      </c>
      <c r="B66" s="34">
        <v>394.274</v>
      </c>
      <c r="C66" s="35">
        <v>6991.4</v>
      </c>
      <c r="D66" s="33" t="s">
        <v>278</v>
      </c>
      <c r="E66" s="34">
        <v>394.36599999999999</v>
      </c>
      <c r="F66" s="36">
        <v>9.1999999999984497E-2</v>
      </c>
      <c r="G66" s="34">
        <v>9.1999999999984497E-2</v>
      </c>
      <c r="H66" s="35">
        <v>26.9</v>
      </c>
      <c r="I66" s="37">
        <f t="shared" ref="I66:I129" si="1">H66/C66</f>
        <v>3.8475841748433792E-3</v>
      </c>
      <c r="J66" s="33"/>
    </row>
    <row r="67" spans="1:10">
      <c r="A67" s="33" t="s">
        <v>25</v>
      </c>
      <c r="B67" s="34">
        <v>394.274</v>
      </c>
      <c r="C67" s="35">
        <v>6991.4</v>
      </c>
      <c r="D67" s="33" t="s">
        <v>271</v>
      </c>
      <c r="E67" s="34">
        <v>394.36900000000003</v>
      </c>
      <c r="F67" s="36">
        <v>9.5000000000027299E-2</v>
      </c>
      <c r="G67" s="34">
        <v>9.5000000000027299E-2</v>
      </c>
      <c r="H67" s="35">
        <v>322.10000000000002</v>
      </c>
      <c r="I67" s="37">
        <f t="shared" si="1"/>
        <v>4.6070887089853255E-2</v>
      </c>
      <c r="J67" s="33"/>
    </row>
    <row r="68" spans="1:10">
      <c r="A68" s="33" t="s">
        <v>25</v>
      </c>
      <c r="B68" s="34">
        <v>394.274</v>
      </c>
      <c r="C68" s="35">
        <v>6991.4</v>
      </c>
      <c r="D68" s="33" t="s">
        <v>239</v>
      </c>
      <c r="E68" s="34">
        <v>394.38</v>
      </c>
      <c r="F68" s="36">
        <v>0.105999999999995</v>
      </c>
      <c r="G68" s="34">
        <v>0.105999999999995</v>
      </c>
      <c r="H68" s="35">
        <v>1.8</v>
      </c>
      <c r="I68" s="37">
        <f t="shared" si="1"/>
        <v>2.5745916411591387E-4</v>
      </c>
      <c r="J68" s="33"/>
    </row>
    <row r="69" spans="1:10">
      <c r="A69" s="33" t="s">
        <v>25</v>
      </c>
      <c r="B69" s="34">
        <v>394.274</v>
      </c>
      <c r="C69" s="35">
        <v>6991.4</v>
      </c>
      <c r="D69" s="33" t="s">
        <v>25</v>
      </c>
      <c r="E69" s="34">
        <v>394.38799999999998</v>
      </c>
      <c r="F69" s="36">
        <v>0.113999999999976</v>
      </c>
      <c r="G69" s="34">
        <v>0.113999999999976</v>
      </c>
      <c r="H69" s="35">
        <v>2695.2</v>
      </c>
      <c r="I69" s="37">
        <f t="shared" si="1"/>
        <v>0.38550218840289496</v>
      </c>
      <c r="J69" s="33" t="s">
        <v>116</v>
      </c>
    </row>
    <row r="70" spans="1:10">
      <c r="A70" s="33" t="s">
        <v>25</v>
      </c>
      <c r="B70" s="34">
        <v>394.274</v>
      </c>
      <c r="C70" s="35">
        <v>6991.4</v>
      </c>
      <c r="D70" s="33" t="s">
        <v>283</v>
      </c>
      <c r="E70" s="34">
        <v>394.40100000000001</v>
      </c>
      <c r="F70" s="36">
        <v>0.12700000000000999</v>
      </c>
      <c r="G70" s="34">
        <v>0.12700000000000999</v>
      </c>
      <c r="H70" s="35">
        <v>7581.6</v>
      </c>
      <c r="I70" s="37">
        <f t="shared" si="1"/>
        <v>1.0844179992562293</v>
      </c>
      <c r="J70" s="33"/>
    </row>
    <row r="71" spans="1:10">
      <c r="A71" s="33" t="s">
        <v>25</v>
      </c>
      <c r="B71" s="34">
        <v>394.274</v>
      </c>
      <c r="C71" s="35">
        <v>6991.4</v>
      </c>
      <c r="D71" s="33" t="s">
        <v>36</v>
      </c>
      <c r="E71" s="34">
        <v>394.40499999999997</v>
      </c>
      <c r="F71" s="36">
        <v>0.13100000000000001</v>
      </c>
      <c r="G71" s="34">
        <v>0.13100000000000001</v>
      </c>
      <c r="H71" s="35">
        <v>3.9</v>
      </c>
      <c r="I71" s="37">
        <f t="shared" si="1"/>
        <v>5.5782818891781337E-4</v>
      </c>
      <c r="J71" s="33" t="s">
        <v>116</v>
      </c>
    </row>
    <row r="72" spans="1:10">
      <c r="A72" s="33" t="s">
        <v>25</v>
      </c>
      <c r="B72" s="34">
        <v>394.274</v>
      </c>
      <c r="C72" s="35">
        <v>6991.4</v>
      </c>
      <c r="D72" s="33" t="s">
        <v>165</v>
      </c>
      <c r="E72" s="34">
        <v>394.41</v>
      </c>
      <c r="F72" s="36">
        <v>0.13600000000002399</v>
      </c>
      <c r="G72" s="34">
        <v>0.13600000000002399</v>
      </c>
      <c r="H72" s="35">
        <v>75</v>
      </c>
      <c r="I72" s="37">
        <f t="shared" si="1"/>
        <v>1.0727465171496411E-2</v>
      </c>
      <c r="J72" s="33"/>
    </row>
    <row r="73" spans="1:10">
      <c r="A73" s="33" t="s">
        <v>25</v>
      </c>
      <c r="B73" s="34">
        <v>394.274</v>
      </c>
      <c r="C73" s="35">
        <v>6991.4</v>
      </c>
      <c r="D73" s="33" t="s">
        <v>277</v>
      </c>
      <c r="E73" s="34">
        <v>394.41300000000001</v>
      </c>
      <c r="F73" s="36">
        <v>0.13900000000001</v>
      </c>
      <c r="G73" s="34">
        <v>0.13900000000001</v>
      </c>
      <c r="H73" s="35">
        <v>232.9</v>
      </c>
      <c r="I73" s="37">
        <f t="shared" si="1"/>
        <v>3.3312355179220189E-2</v>
      </c>
      <c r="J73" s="33"/>
    </row>
    <row r="74" spans="1:10">
      <c r="A74" s="33" t="s">
        <v>25</v>
      </c>
      <c r="B74" s="34">
        <v>394.274</v>
      </c>
      <c r="C74" s="35">
        <v>6991.4</v>
      </c>
      <c r="D74" s="33" t="s">
        <v>268</v>
      </c>
      <c r="E74" s="34">
        <v>394.42</v>
      </c>
      <c r="F74" s="36">
        <v>0.14600000000001501</v>
      </c>
      <c r="G74" s="34">
        <v>0.14600000000001501</v>
      </c>
      <c r="H74" s="35">
        <v>49</v>
      </c>
      <c r="I74" s="37">
        <f t="shared" si="1"/>
        <v>7.0086105787109882E-3</v>
      </c>
      <c r="J74" s="33"/>
    </row>
    <row r="75" spans="1:10">
      <c r="A75" s="33" t="s">
        <v>25</v>
      </c>
      <c r="B75" s="34">
        <v>394.274</v>
      </c>
      <c r="C75" s="35">
        <v>6991.4</v>
      </c>
      <c r="D75" s="33" t="s">
        <v>84</v>
      </c>
      <c r="E75" s="34">
        <v>394.44200000000001</v>
      </c>
      <c r="F75" s="36">
        <v>0.16800000000000001</v>
      </c>
      <c r="G75" s="34">
        <v>0.16800000000000001</v>
      </c>
      <c r="H75" s="35">
        <v>243.1</v>
      </c>
      <c r="I75" s="37">
        <f t="shared" si="1"/>
        <v>3.4771290442543699E-2</v>
      </c>
      <c r="J75" s="33" t="s">
        <v>116</v>
      </c>
    </row>
    <row r="76" spans="1:10">
      <c r="A76" s="33" t="s">
        <v>25</v>
      </c>
      <c r="B76" s="34">
        <v>394.274</v>
      </c>
      <c r="C76" s="35">
        <v>6991.4</v>
      </c>
      <c r="D76" s="33" t="s">
        <v>133</v>
      </c>
      <c r="E76" s="34">
        <v>394.45100000000002</v>
      </c>
      <c r="F76" s="36">
        <v>0.177000000000021</v>
      </c>
      <c r="G76" s="34">
        <v>0.177000000000021</v>
      </c>
      <c r="H76" s="35">
        <v>13.3</v>
      </c>
      <c r="I76" s="37">
        <f t="shared" si="1"/>
        <v>1.9023371570786969E-3</v>
      </c>
      <c r="J76" s="33"/>
    </row>
    <row r="77" spans="1:10">
      <c r="A77" s="33" t="s">
        <v>25</v>
      </c>
      <c r="B77" s="34">
        <v>394.274</v>
      </c>
      <c r="C77" s="35">
        <v>6991.4</v>
      </c>
      <c r="D77" s="33" t="s">
        <v>280</v>
      </c>
      <c r="E77" s="34">
        <v>394.459</v>
      </c>
      <c r="F77" s="36">
        <v>0.185000000000002</v>
      </c>
      <c r="G77" s="34">
        <v>0.185000000000002</v>
      </c>
      <c r="H77" s="35">
        <v>147.69999999999999</v>
      </c>
      <c r="I77" s="37">
        <f t="shared" si="1"/>
        <v>2.1125954744400263E-2</v>
      </c>
      <c r="J77" s="33"/>
    </row>
    <row r="78" spans="1:10">
      <c r="A78" s="33" t="s">
        <v>25</v>
      </c>
      <c r="B78" s="34">
        <v>399.92399999999998</v>
      </c>
      <c r="C78" s="35">
        <v>7989</v>
      </c>
      <c r="D78" s="33" t="s">
        <v>36</v>
      </c>
      <c r="E78" s="34">
        <v>399.77699999999999</v>
      </c>
      <c r="F78" s="36">
        <v>0.14699999999999999</v>
      </c>
      <c r="G78" s="34">
        <v>0.14699999999999999</v>
      </c>
      <c r="H78" s="35">
        <v>1181</v>
      </c>
      <c r="I78" s="37">
        <f t="shared" si="1"/>
        <v>0.14782826386281137</v>
      </c>
      <c r="J78" s="33" t="s">
        <v>116</v>
      </c>
    </row>
    <row r="79" spans="1:10">
      <c r="A79" s="33" t="s">
        <v>25</v>
      </c>
      <c r="B79" s="34">
        <v>399.92399999999998</v>
      </c>
      <c r="C79" s="35">
        <v>7989</v>
      </c>
      <c r="D79" s="33" t="s">
        <v>271</v>
      </c>
      <c r="E79" s="34">
        <v>399.78699999999998</v>
      </c>
      <c r="F79" s="36">
        <v>0.13700000000000101</v>
      </c>
      <c r="G79" s="34">
        <v>0.13700000000000101</v>
      </c>
      <c r="H79" s="35">
        <v>915</v>
      </c>
      <c r="I79" s="37">
        <f t="shared" si="1"/>
        <v>0.11453248216297408</v>
      </c>
      <c r="J79" s="33"/>
    </row>
    <row r="80" spans="1:10">
      <c r="A80" s="33" t="s">
        <v>25</v>
      </c>
      <c r="B80" s="34">
        <v>399.92399999999998</v>
      </c>
      <c r="C80" s="35">
        <v>7989</v>
      </c>
      <c r="D80" s="33" t="s">
        <v>54</v>
      </c>
      <c r="E80" s="34">
        <v>399.79</v>
      </c>
      <c r="F80" s="36">
        <v>0.13399999999995801</v>
      </c>
      <c r="G80" s="34">
        <v>0.13399999999995801</v>
      </c>
      <c r="H80" s="35">
        <v>172.4</v>
      </c>
      <c r="I80" s="37">
        <f t="shared" si="1"/>
        <v>2.157967204906747E-2</v>
      </c>
      <c r="J80" s="33"/>
    </row>
    <row r="81" spans="1:10">
      <c r="A81" s="33" t="s">
        <v>25</v>
      </c>
      <c r="B81" s="34">
        <v>399.92399999999998</v>
      </c>
      <c r="C81" s="35">
        <v>7989</v>
      </c>
      <c r="D81" s="33" t="s">
        <v>27</v>
      </c>
      <c r="E81" s="34">
        <v>399.79199999999997</v>
      </c>
      <c r="F81" s="36">
        <v>0.132000000000005</v>
      </c>
      <c r="G81" s="34">
        <v>0.132000000000005</v>
      </c>
      <c r="H81" s="35">
        <v>2114</v>
      </c>
      <c r="I81" s="37">
        <f t="shared" si="1"/>
        <v>0.26461384403554888</v>
      </c>
      <c r="J81" s="33" t="s">
        <v>116</v>
      </c>
    </row>
    <row r="82" spans="1:10">
      <c r="A82" s="33" t="s">
        <v>25</v>
      </c>
      <c r="B82" s="34">
        <v>399.92399999999998</v>
      </c>
      <c r="C82" s="35">
        <v>7989</v>
      </c>
      <c r="D82" s="33" t="s">
        <v>173</v>
      </c>
      <c r="E82" s="34">
        <v>399.79599999999999</v>
      </c>
      <c r="F82" s="36">
        <v>0.12799999999998601</v>
      </c>
      <c r="G82" s="34">
        <v>0.12799999999998601</v>
      </c>
      <c r="H82" s="35">
        <v>919.3</v>
      </c>
      <c r="I82" s="37">
        <f t="shared" si="1"/>
        <v>0.11507072224308423</v>
      </c>
      <c r="J82" s="33"/>
    </row>
    <row r="83" spans="1:10">
      <c r="A83" s="33" t="s">
        <v>25</v>
      </c>
      <c r="B83" s="34">
        <v>399.92399999999998</v>
      </c>
      <c r="C83" s="35">
        <v>7989</v>
      </c>
      <c r="D83" s="33" t="s">
        <v>97</v>
      </c>
      <c r="E83" s="34">
        <v>399.80500000000001</v>
      </c>
      <c r="F83" s="36">
        <v>0.118999999999971</v>
      </c>
      <c r="G83" s="34">
        <v>0.118999999999971</v>
      </c>
      <c r="H83" s="35">
        <v>15.8</v>
      </c>
      <c r="I83" s="37">
        <f t="shared" si="1"/>
        <v>1.9777193641256729E-3</v>
      </c>
      <c r="J83" s="33"/>
    </row>
    <row r="84" spans="1:10">
      <c r="A84" s="33" t="s">
        <v>25</v>
      </c>
      <c r="B84" s="34">
        <v>399.92399999999998</v>
      </c>
      <c r="C84" s="35">
        <v>7989</v>
      </c>
      <c r="D84" s="33" t="s">
        <v>33</v>
      </c>
      <c r="E84" s="34">
        <v>399.80599999999998</v>
      </c>
      <c r="F84" s="36">
        <v>0.117999999999995</v>
      </c>
      <c r="G84" s="34">
        <v>0.117999999999995</v>
      </c>
      <c r="H84" s="35">
        <v>158.1</v>
      </c>
      <c r="I84" s="37">
        <f t="shared" si="1"/>
        <v>1.9789710852422079E-2</v>
      </c>
      <c r="J84" s="33" t="s">
        <v>116</v>
      </c>
    </row>
    <row r="85" spans="1:10">
      <c r="A85" s="33" t="s">
        <v>25</v>
      </c>
      <c r="B85" s="34">
        <v>399.92399999999998</v>
      </c>
      <c r="C85" s="35">
        <v>7989</v>
      </c>
      <c r="D85" s="33" t="s">
        <v>277</v>
      </c>
      <c r="E85" s="34">
        <v>399.82400000000001</v>
      </c>
      <c r="F85" s="36">
        <v>9.9999999999965894E-2</v>
      </c>
      <c r="G85" s="34">
        <v>9.9999999999965894E-2</v>
      </c>
      <c r="H85" s="35">
        <v>334.1</v>
      </c>
      <c r="I85" s="37">
        <f t="shared" si="1"/>
        <v>4.1820002503442234E-2</v>
      </c>
      <c r="J85" s="33"/>
    </row>
    <row r="86" spans="1:10">
      <c r="A86" s="33" t="s">
        <v>25</v>
      </c>
      <c r="B86" s="34">
        <v>399.92399999999998</v>
      </c>
      <c r="C86" s="35">
        <v>7989</v>
      </c>
      <c r="D86" s="33" t="s">
        <v>269</v>
      </c>
      <c r="E86" s="34">
        <v>399.851</v>
      </c>
      <c r="F86" s="36">
        <v>7.2999999999979095E-2</v>
      </c>
      <c r="G86" s="34">
        <v>7.2999999999979095E-2</v>
      </c>
      <c r="H86" s="35">
        <v>133</v>
      </c>
      <c r="I86" s="37">
        <f t="shared" si="1"/>
        <v>1.6647890849918637E-2</v>
      </c>
      <c r="J86" s="33"/>
    </row>
    <row r="87" spans="1:10">
      <c r="A87" s="33" t="s">
        <v>25</v>
      </c>
      <c r="B87" s="34">
        <v>399.92399999999998</v>
      </c>
      <c r="C87" s="35">
        <v>7989</v>
      </c>
      <c r="D87" s="33" t="s">
        <v>237</v>
      </c>
      <c r="E87" s="34">
        <v>399.86399999999998</v>
      </c>
      <c r="F87" s="36">
        <v>6.0000000000002301E-2</v>
      </c>
      <c r="G87" s="34">
        <v>6.0000000000002301E-2</v>
      </c>
      <c r="H87" s="35">
        <v>3679.7</v>
      </c>
      <c r="I87" s="37">
        <f t="shared" si="1"/>
        <v>0.46059581925147075</v>
      </c>
      <c r="J87" s="33"/>
    </row>
    <row r="88" spans="1:10">
      <c r="A88" s="33" t="s">
        <v>25</v>
      </c>
      <c r="B88" s="34">
        <v>399.92399999999998</v>
      </c>
      <c r="C88" s="35">
        <v>7989</v>
      </c>
      <c r="D88" s="33" t="s">
        <v>278</v>
      </c>
      <c r="E88" s="34">
        <v>399.87200000000001</v>
      </c>
      <c r="F88" s="36">
        <v>5.1999999999964103E-2</v>
      </c>
      <c r="G88" s="34">
        <v>5.1999999999964103E-2</v>
      </c>
      <c r="H88" s="35">
        <v>198.2</v>
      </c>
      <c r="I88" s="37">
        <f t="shared" si="1"/>
        <v>2.4809112529728373E-2</v>
      </c>
      <c r="J88" s="33"/>
    </row>
    <row r="89" spans="1:10">
      <c r="A89" s="33" t="s">
        <v>25</v>
      </c>
      <c r="B89" s="34">
        <v>399.92399999999998</v>
      </c>
      <c r="C89" s="35">
        <v>7989</v>
      </c>
      <c r="D89" s="33" t="s">
        <v>274</v>
      </c>
      <c r="E89" s="34">
        <v>399.87599999999998</v>
      </c>
      <c r="F89" s="36">
        <v>4.8000000000001798E-2</v>
      </c>
      <c r="G89" s="34">
        <v>4.8000000000001798E-2</v>
      </c>
      <c r="H89" s="35">
        <v>5.3</v>
      </c>
      <c r="I89" s="37">
        <f t="shared" si="1"/>
        <v>6.6341219176367498E-4</v>
      </c>
      <c r="J89" s="33"/>
    </row>
    <row r="90" spans="1:10">
      <c r="A90" s="33" t="s">
        <v>25</v>
      </c>
      <c r="B90" s="34">
        <v>399.92399999999998</v>
      </c>
      <c r="C90" s="35">
        <v>7989</v>
      </c>
      <c r="D90" s="33" t="s">
        <v>239</v>
      </c>
      <c r="E90" s="34">
        <v>399.88499999999999</v>
      </c>
      <c r="F90" s="36">
        <v>3.8999999999987302E-2</v>
      </c>
      <c r="G90" s="34">
        <v>3.8999999999987302E-2</v>
      </c>
      <c r="H90" s="35">
        <v>21</v>
      </c>
      <c r="I90" s="37">
        <f t="shared" si="1"/>
        <v>2.6286143447239955E-3</v>
      </c>
      <c r="J90" s="33"/>
    </row>
    <row r="91" spans="1:10">
      <c r="A91" s="33" t="s">
        <v>25</v>
      </c>
      <c r="B91" s="34">
        <v>399.92399999999998</v>
      </c>
      <c r="C91" s="35">
        <v>7989</v>
      </c>
      <c r="D91" s="33" t="s">
        <v>284</v>
      </c>
      <c r="E91" s="34">
        <v>399.89299999999997</v>
      </c>
      <c r="F91" s="36">
        <v>3.1000000000005901E-2</v>
      </c>
      <c r="G91" s="34">
        <v>3.1000000000005901E-2</v>
      </c>
      <c r="H91" s="35">
        <v>0.3</v>
      </c>
      <c r="I91" s="37">
        <f t="shared" si="1"/>
        <v>3.7551633496057078E-5</v>
      </c>
      <c r="J91" s="33"/>
    </row>
    <row r="92" spans="1:10">
      <c r="A92" s="33" t="s">
        <v>25</v>
      </c>
      <c r="B92" s="34">
        <v>399.92399999999998</v>
      </c>
      <c r="C92" s="35">
        <v>7989</v>
      </c>
      <c r="D92" s="33" t="s">
        <v>236</v>
      </c>
      <c r="E92" s="34">
        <v>399.89499999999998</v>
      </c>
      <c r="F92" s="36">
        <v>2.89999999999964E-2</v>
      </c>
      <c r="G92" s="34">
        <v>2.89999999999964E-2</v>
      </c>
      <c r="H92" s="35">
        <v>9754.6</v>
      </c>
      <c r="I92" s="37">
        <f t="shared" si="1"/>
        <v>1.2210038803354613</v>
      </c>
      <c r="J92" s="33"/>
    </row>
    <row r="93" spans="1:10">
      <c r="A93" s="33" t="s">
        <v>25</v>
      </c>
      <c r="B93" s="34">
        <v>399.92399999999998</v>
      </c>
      <c r="C93" s="35">
        <v>7989</v>
      </c>
      <c r="D93" s="33" t="s">
        <v>84</v>
      </c>
      <c r="E93" s="34">
        <v>399.90699999999998</v>
      </c>
      <c r="F93" s="36">
        <v>1.7000000000000001E-2</v>
      </c>
      <c r="G93" s="34">
        <v>1.7000000000000001E-2</v>
      </c>
      <c r="H93" s="35">
        <v>393.1</v>
      </c>
      <c r="I93" s="37">
        <f t="shared" si="1"/>
        <v>4.920515709100013E-2</v>
      </c>
      <c r="J93" s="33" t="s">
        <v>116</v>
      </c>
    </row>
    <row r="94" spans="1:10">
      <c r="A94" s="33" t="s">
        <v>25</v>
      </c>
      <c r="B94" s="34">
        <v>399.92399999999998</v>
      </c>
      <c r="C94" s="35">
        <v>7989</v>
      </c>
      <c r="D94" s="33" t="s">
        <v>173</v>
      </c>
      <c r="E94" s="34">
        <v>399.91199999999998</v>
      </c>
      <c r="F94" s="36">
        <v>1.20000000000005E-2</v>
      </c>
      <c r="G94" s="34">
        <v>1.20000000000005E-2</v>
      </c>
      <c r="H94" s="35">
        <v>1685.3</v>
      </c>
      <c r="I94" s="37">
        <f t="shared" si="1"/>
        <v>0.2109525597696833</v>
      </c>
      <c r="J94" s="33"/>
    </row>
    <row r="95" spans="1:10">
      <c r="A95" s="33" t="s">
        <v>25</v>
      </c>
      <c r="B95" s="34">
        <v>399.92399999999998</v>
      </c>
      <c r="C95" s="35">
        <v>7989</v>
      </c>
      <c r="D95" s="33" t="s">
        <v>273</v>
      </c>
      <c r="E95" s="34">
        <v>399.91800000000001</v>
      </c>
      <c r="F95" s="36">
        <v>5.99999999997181E-3</v>
      </c>
      <c r="G95" s="34">
        <v>5.99999999997181E-3</v>
      </c>
      <c r="H95" s="35">
        <v>36.700000000000003</v>
      </c>
      <c r="I95" s="37">
        <f t="shared" si="1"/>
        <v>4.5938164976843162E-3</v>
      </c>
      <c r="J95" s="33"/>
    </row>
    <row r="96" spans="1:10">
      <c r="A96" s="33" t="s">
        <v>25</v>
      </c>
      <c r="B96" s="34">
        <v>399.92399999999998</v>
      </c>
      <c r="C96" s="35">
        <v>7989</v>
      </c>
      <c r="D96" s="33" t="s">
        <v>277</v>
      </c>
      <c r="E96" s="34">
        <v>399.91800000000001</v>
      </c>
      <c r="F96" s="36">
        <v>5.99999999997181E-3</v>
      </c>
      <c r="G96" s="34">
        <v>5.99999999997181E-3</v>
      </c>
      <c r="H96" s="35">
        <v>31.6</v>
      </c>
      <c r="I96" s="37">
        <f t="shared" si="1"/>
        <v>3.9554387282513459E-3</v>
      </c>
      <c r="J96" s="33"/>
    </row>
    <row r="97" spans="1:10">
      <c r="A97" s="33" t="s">
        <v>25</v>
      </c>
      <c r="B97" s="34">
        <v>399.92399999999998</v>
      </c>
      <c r="C97" s="35">
        <v>7989</v>
      </c>
      <c r="D97" s="33" t="s">
        <v>278</v>
      </c>
      <c r="E97" s="34">
        <v>399.92</v>
      </c>
      <c r="F97" s="36">
        <v>3.9999999999622603E-3</v>
      </c>
      <c r="G97" s="34">
        <v>3.9999999999622603E-3</v>
      </c>
      <c r="H97" s="35">
        <v>449</v>
      </c>
      <c r="I97" s="37">
        <f t="shared" si="1"/>
        <v>5.6202278132432094E-2</v>
      </c>
      <c r="J97" s="33"/>
    </row>
    <row r="98" spans="1:10">
      <c r="A98" s="33" t="s">
        <v>25</v>
      </c>
      <c r="B98" s="34">
        <v>399.92399999999998</v>
      </c>
      <c r="C98" s="35">
        <v>7989</v>
      </c>
      <c r="D98" s="33" t="s">
        <v>193</v>
      </c>
      <c r="E98" s="34">
        <v>399.928</v>
      </c>
      <c r="F98" s="36">
        <v>4.0000000000191003E-3</v>
      </c>
      <c r="G98" s="34">
        <v>4.0000000000191003E-3</v>
      </c>
      <c r="H98" s="35">
        <v>38.1</v>
      </c>
      <c r="I98" s="37">
        <f t="shared" si="1"/>
        <v>4.7690574539992489E-3</v>
      </c>
      <c r="J98" s="33"/>
    </row>
    <row r="99" spans="1:10">
      <c r="A99" s="33" t="s">
        <v>25</v>
      </c>
      <c r="B99" s="34">
        <v>399.92399999999998</v>
      </c>
      <c r="C99" s="35">
        <v>7989</v>
      </c>
      <c r="D99" s="33" t="s">
        <v>201</v>
      </c>
      <c r="E99" s="34">
        <v>399.94</v>
      </c>
      <c r="F99" s="36">
        <v>1.6000000000019599E-2</v>
      </c>
      <c r="G99" s="34">
        <v>1.6000000000019599E-2</v>
      </c>
      <c r="H99" s="35">
        <v>1313.9</v>
      </c>
      <c r="I99" s="37">
        <f t="shared" si="1"/>
        <v>0.16446363750156467</v>
      </c>
      <c r="J99" s="33"/>
    </row>
    <row r="100" spans="1:10">
      <c r="A100" s="33" t="s">
        <v>25</v>
      </c>
      <c r="B100" s="34">
        <v>399.92399999999998</v>
      </c>
      <c r="C100" s="35">
        <v>7989</v>
      </c>
      <c r="D100" s="33" t="s">
        <v>285</v>
      </c>
      <c r="E100" s="34">
        <v>399.94499999999999</v>
      </c>
      <c r="F100" s="36">
        <v>2.1000000000015E-2</v>
      </c>
      <c r="G100" s="34">
        <v>2.1000000000015E-2</v>
      </c>
      <c r="H100" s="35">
        <v>1</v>
      </c>
      <c r="I100" s="37">
        <f t="shared" si="1"/>
        <v>1.2517211165352359E-4</v>
      </c>
      <c r="J100" s="33"/>
    </row>
    <row r="101" spans="1:10">
      <c r="A101" s="33" t="s">
        <v>25</v>
      </c>
      <c r="B101" s="34">
        <v>399.92399999999998</v>
      </c>
      <c r="C101" s="35">
        <v>7989</v>
      </c>
      <c r="D101" s="33" t="s">
        <v>201</v>
      </c>
      <c r="E101" s="34">
        <v>400</v>
      </c>
      <c r="F101" s="36">
        <v>7.60000000000218E-2</v>
      </c>
      <c r="G101" s="34">
        <v>7.60000000000218E-2</v>
      </c>
      <c r="H101" s="35">
        <v>524.4</v>
      </c>
      <c r="I101" s="37">
        <f t="shared" si="1"/>
        <v>6.5640255351107776E-2</v>
      </c>
      <c r="J101" s="33"/>
    </row>
    <row r="102" spans="1:10">
      <c r="A102" s="33" t="s">
        <v>25</v>
      </c>
      <c r="B102" s="34">
        <v>399.92399999999998</v>
      </c>
      <c r="C102" s="35">
        <v>7989</v>
      </c>
      <c r="D102" s="33" t="s">
        <v>173</v>
      </c>
      <c r="E102" s="34">
        <v>400.017</v>
      </c>
      <c r="F102" s="36">
        <v>9.3000000000017694E-2</v>
      </c>
      <c r="G102" s="34">
        <v>9.3000000000017694E-2</v>
      </c>
      <c r="H102" s="35">
        <v>2321.3000000000002</v>
      </c>
      <c r="I102" s="37">
        <f t="shared" si="1"/>
        <v>0.29056202278132437</v>
      </c>
      <c r="J102" s="33"/>
    </row>
    <row r="103" spans="1:10">
      <c r="A103" s="33" t="s">
        <v>25</v>
      </c>
      <c r="B103" s="34">
        <v>399.92399999999998</v>
      </c>
      <c r="C103" s="35">
        <v>7989</v>
      </c>
      <c r="D103" s="33" t="s">
        <v>33</v>
      </c>
      <c r="E103" s="34">
        <v>400.04500000000002</v>
      </c>
      <c r="F103" s="36">
        <v>0.12100000000003799</v>
      </c>
      <c r="G103" s="34">
        <v>0.12100000000003799</v>
      </c>
      <c r="H103" s="35">
        <v>24743.5</v>
      </c>
      <c r="I103" s="37">
        <f t="shared" si="1"/>
        <v>3.0971961446989611</v>
      </c>
      <c r="J103" s="33" t="s">
        <v>116</v>
      </c>
    </row>
    <row r="104" spans="1:10">
      <c r="A104" s="33" t="s">
        <v>25</v>
      </c>
      <c r="B104" s="34">
        <v>399.92399999999998</v>
      </c>
      <c r="C104" s="35">
        <v>7989</v>
      </c>
      <c r="D104" s="33" t="s">
        <v>97</v>
      </c>
      <c r="E104" s="34">
        <v>400.04599999999999</v>
      </c>
      <c r="F104" s="36">
        <v>0.122000000000014</v>
      </c>
      <c r="G104" s="34">
        <v>0.122000000000014</v>
      </c>
      <c r="H104" s="35">
        <v>1.6</v>
      </c>
      <c r="I104" s="37">
        <f t="shared" si="1"/>
        <v>2.0027537864563777E-4</v>
      </c>
      <c r="J104" s="33"/>
    </row>
    <row r="105" spans="1:10">
      <c r="A105" s="33" t="s">
        <v>25</v>
      </c>
      <c r="B105" s="34">
        <v>399.92399999999998</v>
      </c>
      <c r="C105" s="35">
        <v>7989</v>
      </c>
      <c r="D105" s="33" t="s">
        <v>275</v>
      </c>
      <c r="E105" s="34">
        <v>400.04899999999998</v>
      </c>
      <c r="F105" s="36">
        <v>0.125</v>
      </c>
      <c r="G105" s="34">
        <v>0.125</v>
      </c>
      <c r="H105" s="35">
        <v>14.7</v>
      </c>
      <c r="I105" s="37">
        <f t="shared" si="1"/>
        <v>1.8400300413067968E-3</v>
      </c>
      <c r="J105" s="33"/>
    </row>
    <row r="106" spans="1:10">
      <c r="A106" s="33" t="s">
        <v>25</v>
      </c>
      <c r="B106" s="34">
        <v>399.92399999999998</v>
      </c>
      <c r="C106" s="35">
        <v>7989</v>
      </c>
      <c r="D106" s="33" t="s">
        <v>27</v>
      </c>
      <c r="E106" s="34">
        <v>400.04899999999998</v>
      </c>
      <c r="F106" s="36">
        <v>0.125</v>
      </c>
      <c r="G106" s="34">
        <v>0.125</v>
      </c>
      <c r="H106" s="35">
        <v>2015.6</v>
      </c>
      <c r="I106" s="37">
        <f t="shared" si="1"/>
        <v>0.25229690824884216</v>
      </c>
      <c r="J106" s="33" t="s">
        <v>116</v>
      </c>
    </row>
    <row r="107" spans="1:10">
      <c r="A107" s="33" t="s">
        <v>25</v>
      </c>
      <c r="B107" s="34">
        <v>399.92399999999998</v>
      </c>
      <c r="C107" s="35">
        <v>7989</v>
      </c>
      <c r="D107" s="33" t="s">
        <v>273</v>
      </c>
      <c r="E107" s="34">
        <v>400.06</v>
      </c>
      <c r="F107" s="36">
        <v>0.13600000000002399</v>
      </c>
      <c r="G107" s="34">
        <v>0.13600000000002399</v>
      </c>
      <c r="H107" s="35">
        <v>310.8</v>
      </c>
      <c r="I107" s="37">
        <f t="shared" si="1"/>
        <v>3.8903492301915137E-2</v>
      </c>
      <c r="J107" s="33"/>
    </row>
    <row r="108" spans="1:10">
      <c r="A108" s="33" t="s">
        <v>25</v>
      </c>
      <c r="B108" s="34">
        <v>399.92399999999998</v>
      </c>
      <c r="C108" s="35">
        <v>7989</v>
      </c>
      <c r="D108" s="33" t="s">
        <v>25</v>
      </c>
      <c r="E108" s="34">
        <v>400.10500000000002</v>
      </c>
      <c r="F108" s="36">
        <v>0.18100000000003999</v>
      </c>
      <c r="G108" s="34">
        <v>0.18100000000003999</v>
      </c>
      <c r="H108" s="35">
        <v>542.20000000000005</v>
      </c>
      <c r="I108" s="37">
        <f t="shared" si="1"/>
        <v>6.7868318938540492E-2</v>
      </c>
      <c r="J108" s="33" t="s">
        <v>116</v>
      </c>
    </row>
    <row r="109" spans="1:10">
      <c r="A109" s="33" t="s">
        <v>25</v>
      </c>
      <c r="B109" s="34">
        <v>399.92399999999998</v>
      </c>
      <c r="C109" s="35">
        <v>7989</v>
      </c>
      <c r="D109" s="33" t="s">
        <v>240</v>
      </c>
      <c r="E109" s="34">
        <v>400.10500000000002</v>
      </c>
      <c r="F109" s="36">
        <v>0.18100000000003999</v>
      </c>
      <c r="G109" s="34">
        <v>0.18100000000003999</v>
      </c>
      <c r="H109" s="35">
        <v>2.1</v>
      </c>
      <c r="I109" s="37">
        <f t="shared" si="1"/>
        <v>2.6286143447239955E-4</v>
      </c>
      <c r="J109" s="33"/>
    </row>
    <row r="110" spans="1:10">
      <c r="A110" s="33" t="s">
        <v>25</v>
      </c>
      <c r="B110" s="34">
        <v>399.92399999999998</v>
      </c>
      <c r="C110" s="35">
        <v>7989</v>
      </c>
      <c r="D110" s="33" t="s">
        <v>36</v>
      </c>
      <c r="E110" s="34">
        <v>400.125</v>
      </c>
      <c r="F110" s="36">
        <v>0.20100000000000001</v>
      </c>
      <c r="G110" s="34">
        <v>0.20100000000000001</v>
      </c>
      <c r="H110" s="35">
        <v>1697</v>
      </c>
      <c r="I110" s="37">
        <f t="shared" si="1"/>
        <v>0.21241707347602953</v>
      </c>
      <c r="J110" s="33" t="s">
        <v>116</v>
      </c>
    </row>
    <row r="111" spans="1:10">
      <c r="A111" s="33" t="s">
        <v>25</v>
      </c>
      <c r="B111" s="34">
        <v>399.92399999999998</v>
      </c>
      <c r="C111" s="35">
        <v>7989</v>
      </c>
      <c r="D111" s="33" t="s">
        <v>274</v>
      </c>
      <c r="E111" s="34">
        <v>400.137</v>
      </c>
      <c r="F111" s="36">
        <v>0.21300000000002201</v>
      </c>
      <c r="G111" s="34">
        <v>0.21300000000002201</v>
      </c>
      <c r="H111" s="35">
        <v>6.1</v>
      </c>
      <c r="I111" s="37">
        <f t="shared" si="1"/>
        <v>7.6354988108649389E-4</v>
      </c>
      <c r="J111" s="33"/>
    </row>
    <row r="112" spans="1:10">
      <c r="A112" s="33" t="s">
        <v>25</v>
      </c>
      <c r="B112" s="34">
        <v>399.92399999999998</v>
      </c>
      <c r="C112" s="35">
        <v>7989</v>
      </c>
      <c r="D112" s="33" t="s">
        <v>239</v>
      </c>
      <c r="E112" s="34">
        <v>400.14499999999998</v>
      </c>
      <c r="F112" s="36">
        <v>0.221000000000004</v>
      </c>
      <c r="G112" s="34">
        <v>0.221000000000004</v>
      </c>
      <c r="H112" s="35">
        <v>33</v>
      </c>
      <c r="I112" s="37">
        <f t="shared" si="1"/>
        <v>4.1306796845662786E-3</v>
      </c>
      <c r="J112" s="33"/>
    </row>
    <row r="113" spans="1:10">
      <c r="A113" s="33" t="s">
        <v>25</v>
      </c>
      <c r="B113" s="34">
        <v>399.92399999999998</v>
      </c>
      <c r="C113" s="35">
        <v>7989</v>
      </c>
      <c r="D113" s="33" t="s">
        <v>84</v>
      </c>
      <c r="E113" s="34">
        <v>400.154</v>
      </c>
      <c r="F113" s="36">
        <v>0.23</v>
      </c>
      <c r="G113" s="34">
        <v>0.23</v>
      </c>
      <c r="H113" s="35">
        <v>136.19999999999999</v>
      </c>
      <c r="I113" s="37">
        <f t="shared" si="1"/>
        <v>1.7048441607209912E-2</v>
      </c>
      <c r="J113" s="33" t="s">
        <v>116</v>
      </c>
    </row>
    <row r="114" spans="1:10">
      <c r="A114" s="33" t="s">
        <v>25</v>
      </c>
      <c r="B114" s="34">
        <v>399.92399999999998</v>
      </c>
      <c r="C114" s="35">
        <v>7989</v>
      </c>
      <c r="D114" s="33" t="s">
        <v>25</v>
      </c>
      <c r="E114" s="34">
        <v>400.15600000000001</v>
      </c>
      <c r="F114" s="36">
        <v>0.23200000000002799</v>
      </c>
      <c r="G114" s="34">
        <v>0.23200000000002799</v>
      </c>
      <c r="H114" s="35">
        <v>1545.9</v>
      </c>
      <c r="I114" s="37">
        <f t="shared" si="1"/>
        <v>0.19350356740518213</v>
      </c>
      <c r="J114" s="33" t="s">
        <v>116</v>
      </c>
    </row>
    <row r="115" spans="1:10">
      <c r="A115" s="33" t="s">
        <v>25</v>
      </c>
      <c r="B115" s="34">
        <v>399.92399999999998</v>
      </c>
      <c r="C115" s="35">
        <v>7989</v>
      </c>
      <c r="D115" s="33" t="s">
        <v>97</v>
      </c>
      <c r="E115" s="34">
        <v>400.166</v>
      </c>
      <c r="F115" s="36">
        <v>0.24200000000001901</v>
      </c>
      <c r="G115" s="34">
        <v>0.24200000000001901</v>
      </c>
      <c r="H115" s="35">
        <v>25</v>
      </c>
      <c r="I115" s="37">
        <f t="shared" si="1"/>
        <v>3.1293027913380897E-3</v>
      </c>
      <c r="J115" s="33"/>
    </row>
    <row r="116" spans="1:10">
      <c r="A116" s="33" t="s">
        <v>25</v>
      </c>
      <c r="B116" s="34">
        <v>399.92399999999998</v>
      </c>
      <c r="C116" s="35">
        <v>7989</v>
      </c>
      <c r="D116" s="33" t="s">
        <v>271</v>
      </c>
      <c r="E116" s="34">
        <v>400.173</v>
      </c>
      <c r="F116" s="36">
        <v>0.24900000000002401</v>
      </c>
      <c r="G116" s="34">
        <v>0.24900000000002401</v>
      </c>
      <c r="H116" s="35">
        <v>162.9</v>
      </c>
      <c r="I116" s="37">
        <f t="shared" si="1"/>
        <v>2.0390536988358993E-2</v>
      </c>
      <c r="J116" s="33"/>
    </row>
    <row r="117" spans="1:10">
      <c r="A117" s="33" t="s">
        <v>25</v>
      </c>
      <c r="B117" s="34">
        <v>407.34699999999998</v>
      </c>
      <c r="C117" s="35">
        <v>10588</v>
      </c>
      <c r="D117" s="33" t="s">
        <v>283</v>
      </c>
      <c r="E117" s="34">
        <v>407.14699999999999</v>
      </c>
      <c r="F117" s="36">
        <v>0.19999999999998899</v>
      </c>
      <c r="G117" s="34">
        <v>0.19999999999998899</v>
      </c>
      <c r="H117" s="35">
        <v>59.3</v>
      </c>
      <c r="I117" s="37">
        <f t="shared" si="1"/>
        <v>5.6006800151114471E-3</v>
      </c>
      <c r="J117" s="33"/>
    </row>
    <row r="118" spans="1:10">
      <c r="A118" s="33" t="s">
        <v>25</v>
      </c>
      <c r="B118" s="34">
        <v>407.34699999999998</v>
      </c>
      <c r="C118" s="35">
        <v>10588</v>
      </c>
      <c r="D118" s="33" t="s">
        <v>27</v>
      </c>
      <c r="E118" s="34">
        <v>407.14800000000002</v>
      </c>
      <c r="F118" s="36">
        <v>0.19899999999995499</v>
      </c>
      <c r="G118" s="34">
        <v>0.19899999999995499</v>
      </c>
      <c r="H118" s="35">
        <v>743.1</v>
      </c>
      <c r="I118" s="37">
        <f t="shared" si="1"/>
        <v>7.0183226293917642E-2</v>
      </c>
      <c r="J118" s="33" t="s">
        <v>116</v>
      </c>
    </row>
    <row r="119" spans="1:10">
      <c r="A119" s="33" t="s">
        <v>25</v>
      </c>
      <c r="B119" s="34">
        <v>407.34699999999998</v>
      </c>
      <c r="C119" s="35">
        <v>10588</v>
      </c>
      <c r="D119" s="33" t="s">
        <v>278</v>
      </c>
      <c r="E119" s="34">
        <v>407.15300000000002</v>
      </c>
      <c r="F119" s="36">
        <v>0.19399999999996001</v>
      </c>
      <c r="G119" s="34">
        <v>0.19399999999996001</v>
      </c>
      <c r="H119" s="35">
        <v>60.5</v>
      </c>
      <c r="I119" s="37">
        <f t="shared" si="1"/>
        <v>5.7140158670192674E-3</v>
      </c>
      <c r="J119" s="33"/>
    </row>
    <row r="120" spans="1:10">
      <c r="A120" s="33" t="s">
        <v>25</v>
      </c>
      <c r="B120" s="34">
        <v>407.34699999999998</v>
      </c>
      <c r="C120" s="35">
        <v>10588</v>
      </c>
      <c r="D120" s="33" t="s">
        <v>284</v>
      </c>
      <c r="E120" s="34">
        <v>407.15699999999998</v>
      </c>
      <c r="F120" s="36">
        <v>0.189999999999998</v>
      </c>
      <c r="G120" s="34">
        <v>0.189999999999998</v>
      </c>
      <c r="H120" s="35">
        <v>1</v>
      </c>
      <c r="I120" s="37">
        <f t="shared" si="1"/>
        <v>9.4446543256516808E-5</v>
      </c>
      <c r="J120" s="33"/>
    </row>
    <row r="121" spans="1:10">
      <c r="A121" s="33" t="s">
        <v>25</v>
      </c>
      <c r="B121" s="34">
        <v>407.34699999999998</v>
      </c>
      <c r="C121" s="35">
        <v>10588</v>
      </c>
      <c r="D121" s="33" t="s">
        <v>97</v>
      </c>
      <c r="E121" s="34">
        <v>407.17399999999998</v>
      </c>
      <c r="F121" s="36">
        <v>0.17300000000000201</v>
      </c>
      <c r="G121" s="34">
        <v>0.17300000000000201</v>
      </c>
      <c r="H121" s="35">
        <v>781.1</v>
      </c>
      <c r="I121" s="37">
        <f t="shared" si="1"/>
        <v>7.3772194937665278E-2</v>
      </c>
      <c r="J121" s="33"/>
    </row>
    <row r="122" spans="1:10">
      <c r="A122" s="33" t="s">
        <v>25</v>
      </c>
      <c r="B122" s="34">
        <v>407.34699999999998</v>
      </c>
      <c r="C122" s="35">
        <v>10588</v>
      </c>
      <c r="D122" s="33" t="s">
        <v>25</v>
      </c>
      <c r="E122" s="34">
        <v>407.17700000000002</v>
      </c>
      <c r="F122" s="36">
        <v>0.16999999999995899</v>
      </c>
      <c r="G122" s="34">
        <v>0.16999999999995899</v>
      </c>
      <c r="H122" s="35">
        <v>5615.5</v>
      </c>
      <c r="I122" s="37">
        <f t="shared" si="1"/>
        <v>0.53036456365697016</v>
      </c>
      <c r="J122" s="33" t="s">
        <v>116</v>
      </c>
    </row>
    <row r="123" spans="1:10">
      <c r="A123" s="33" t="s">
        <v>25</v>
      </c>
      <c r="B123" s="34">
        <v>407.34699999999998</v>
      </c>
      <c r="C123" s="35">
        <v>10588</v>
      </c>
      <c r="D123" s="33" t="s">
        <v>274</v>
      </c>
      <c r="E123" s="34">
        <v>407.19200000000001</v>
      </c>
      <c r="F123" s="36">
        <v>0.15499999999997299</v>
      </c>
      <c r="G123" s="34">
        <v>0.15499999999997299</v>
      </c>
      <c r="H123" s="35">
        <v>10.3</v>
      </c>
      <c r="I123" s="37">
        <f t="shared" si="1"/>
        <v>9.7279939554212325E-4</v>
      </c>
      <c r="J123" s="33"/>
    </row>
    <row r="124" spans="1:10">
      <c r="A124" s="33" t="s">
        <v>25</v>
      </c>
      <c r="B124" s="34">
        <v>407.34699999999998</v>
      </c>
      <c r="C124" s="35">
        <v>10588</v>
      </c>
      <c r="D124" s="33" t="s">
        <v>273</v>
      </c>
      <c r="E124" s="34">
        <v>407.20600000000002</v>
      </c>
      <c r="F124" s="36">
        <v>0.14099999999996299</v>
      </c>
      <c r="G124" s="34">
        <v>0.14099999999996299</v>
      </c>
      <c r="H124" s="35">
        <v>266.39999999999998</v>
      </c>
      <c r="I124" s="37">
        <f t="shared" si="1"/>
        <v>2.5160559123536076E-2</v>
      </c>
      <c r="J124" s="33"/>
    </row>
    <row r="125" spans="1:10">
      <c r="A125" s="33" t="s">
        <v>25</v>
      </c>
      <c r="B125" s="34">
        <v>407.34699999999998</v>
      </c>
      <c r="C125" s="35">
        <v>10588</v>
      </c>
      <c r="D125" s="33" t="s">
        <v>97</v>
      </c>
      <c r="E125" s="34">
        <v>407.25</v>
      </c>
      <c r="F125" s="36">
        <v>9.6999999999980005E-2</v>
      </c>
      <c r="G125" s="34">
        <v>9.6999999999980005E-2</v>
      </c>
      <c r="H125" s="35">
        <v>1.1000000000000001</v>
      </c>
      <c r="I125" s="37">
        <f t="shared" si="1"/>
        <v>1.0389119758216851E-4</v>
      </c>
      <c r="J125" s="33"/>
    </row>
    <row r="126" spans="1:10">
      <c r="A126" s="33" t="s">
        <v>25</v>
      </c>
      <c r="B126" s="34">
        <v>407.34699999999998</v>
      </c>
      <c r="C126" s="35">
        <v>10588</v>
      </c>
      <c r="D126" s="33" t="s">
        <v>173</v>
      </c>
      <c r="E126" s="34">
        <v>407.25099999999998</v>
      </c>
      <c r="F126" s="36">
        <v>9.6000000000003596E-2</v>
      </c>
      <c r="G126" s="34">
        <v>9.6000000000003596E-2</v>
      </c>
      <c r="H126" s="35">
        <v>788.2</v>
      </c>
      <c r="I126" s="37">
        <f t="shared" si="1"/>
        <v>7.4442765394786559E-2</v>
      </c>
      <c r="J126" s="33"/>
    </row>
    <row r="127" spans="1:10">
      <c r="A127" s="33" t="s">
        <v>25</v>
      </c>
      <c r="B127" s="34">
        <v>407.34699999999998</v>
      </c>
      <c r="C127" s="35">
        <v>10588</v>
      </c>
      <c r="D127" s="33" t="s">
        <v>33</v>
      </c>
      <c r="E127" s="34">
        <v>407.26100000000002</v>
      </c>
      <c r="F127" s="36">
        <v>8.5999999999955903E-2</v>
      </c>
      <c r="G127" s="34">
        <v>8.5999999999955903E-2</v>
      </c>
      <c r="H127" s="35">
        <v>333.8</v>
      </c>
      <c r="I127" s="37">
        <f t="shared" si="1"/>
        <v>3.1526256139025315E-2</v>
      </c>
      <c r="J127" s="33" t="s">
        <v>116</v>
      </c>
    </row>
    <row r="128" spans="1:10">
      <c r="A128" s="33" t="s">
        <v>25</v>
      </c>
      <c r="B128" s="34">
        <v>407.34699999999998</v>
      </c>
      <c r="C128" s="35">
        <v>10588</v>
      </c>
      <c r="D128" s="33" t="s">
        <v>236</v>
      </c>
      <c r="E128" s="34">
        <v>407.27</v>
      </c>
      <c r="F128" s="36">
        <v>7.6999999999998195E-2</v>
      </c>
      <c r="G128" s="34">
        <v>7.6999999999998195E-2</v>
      </c>
      <c r="H128" s="35">
        <v>763</v>
      </c>
      <c r="I128" s="37">
        <f t="shared" si="1"/>
        <v>7.206271250472232E-2</v>
      </c>
      <c r="J128" s="33"/>
    </row>
    <row r="129" spans="1:10">
      <c r="A129" s="33" t="s">
        <v>25</v>
      </c>
      <c r="B129" s="34">
        <v>407.34699999999998</v>
      </c>
      <c r="C129" s="35">
        <v>10588</v>
      </c>
      <c r="D129" s="33" t="s">
        <v>271</v>
      </c>
      <c r="E129" s="34">
        <v>407.291</v>
      </c>
      <c r="F129" s="36">
        <v>5.5999999999983202E-2</v>
      </c>
      <c r="G129" s="34">
        <v>5.5999999999983202E-2</v>
      </c>
      <c r="H129" s="35">
        <v>202</v>
      </c>
      <c r="I129" s="37">
        <f t="shared" si="1"/>
        <v>1.9078201737816394E-2</v>
      </c>
      <c r="J129" s="33"/>
    </row>
    <row r="130" spans="1:10">
      <c r="A130" s="33" t="s">
        <v>25</v>
      </c>
      <c r="B130" s="34">
        <v>407.34699999999998</v>
      </c>
      <c r="C130" s="35">
        <v>10588</v>
      </c>
      <c r="D130" s="33" t="s">
        <v>25</v>
      </c>
      <c r="E130" s="34">
        <v>407.29199999999997</v>
      </c>
      <c r="F130" s="36">
        <v>5.50000000000068E-2</v>
      </c>
      <c r="G130" s="34">
        <v>5.50000000000068E-2</v>
      </c>
      <c r="H130" s="35">
        <v>2218</v>
      </c>
      <c r="I130" s="37">
        <f t="shared" ref="I130:I193" si="2">H130/C130</f>
        <v>0.20948243294295429</v>
      </c>
      <c r="J130" s="33" t="s">
        <v>116</v>
      </c>
    </row>
    <row r="131" spans="1:10">
      <c r="A131" s="33" t="s">
        <v>25</v>
      </c>
      <c r="B131" s="34">
        <v>407.34699999999998</v>
      </c>
      <c r="C131" s="35">
        <v>10588</v>
      </c>
      <c r="D131" s="33" t="s">
        <v>193</v>
      </c>
      <c r="E131" s="34">
        <v>407.298</v>
      </c>
      <c r="F131" s="36">
        <v>4.89999999999782E-2</v>
      </c>
      <c r="G131" s="34">
        <v>4.89999999999782E-2</v>
      </c>
      <c r="H131" s="35">
        <v>40.6</v>
      </c>
      <c r="I131" s="37">
        <f t="shared" si="2"/>
        <v>3.8345296562145828E-3</v>
      </c>
      <c r="J131" s="33"/>
    </row>
    <row r="132" spans="1:10">
      <c r="A132" s="33" t="s">
        <v>25</v>
      </c>
      <c r="B132" s="34">
        <v>407.34699999999998</v>
      </c>
      <c r="C132" s="35">
        <v>10588</v>
      </c>
      <c r="D132" s="33" t="s">
        <v>268</v>
      </c>
      <c r="E132" s="34">
        <v>407.3</v>
      </c>
      <c r="F132" s="36">
        <v>4.6999999999968602E-2</v>
      </c>
      <c r="G132" s="34">
        <v>4.6999999999968602E-2</v>
      </c>
      <c r="H132" s="35">
        <v>19.8</v>
      </c>
      <c r="I132" s="37">
        <f t="shared" si="2"/>
        <v>1.870041556479033E-3</v>
      </c>
      <c r="J132" s="33"/>
    </row>
    <row r="133" spans="1:10">
      <c r="A133" s="33" t="s">
        <v>25</v>
      </c>
      <c r="B133" s="34">
        <v>407.34699999999998</v>
      </c>
      <c r="C133" s="35">
        <v>10588</v>
      </c>
      <c r="D133" s="33" t="s">
        <v>273</v>
      </c>
      <c r="E133" s="34">
        <v>407.30900000000003</v>
      </c>
      <c r="F133" s="36">
        <v>3.7999999999954098E-2</v>
      </c>
      <c r="G133" s="34">
        <v>3.7999999999954098E-2</v>
      </c>
      <c r="H133" s="35">
        <v>155.80000000000001</v>
      </c>
      <c r="I133" s="37">
        <f t="shared" si="2"/>
        <v>1.471477143936532E-2</v>
      </c>
      <c r="J133" s="33"/>
    </row>
    <row r="134" spans="1:10">
      <c r="A134" s="33" t="s">
        <v>25</v>
      </c>
      <c r="B134" s="34">
        <v>407.34699999999998</v>
      </c>
      <c r="C134" s="35">
        <v>10588</v>
      </c>
      <c r="D134" s="33" t="s">
        <v>33</v>
      </c>
      <c r="E134" s="34">
        <v>407.31200000000001</v>
      </c>
      <c r="F134" s="36">
        <v>3.4999999999968202E-2</v>
      </c>
      <c r="G134" s="34">
        <v>3.4999999999968202E-2</v>
      </c>
      <c r="H134" s="35">
        <v>7213</v>
      </c>
      <c r="I134" s="37">
        <f t="shared" si="2"/>
        <v>0.68124291650925572</v>
      </c>
      <c r="J134" s="33" t="s">
        <v>116</v>
      </c>
    </row>
    <row r="135" spans="1:10">
      <c r="A135" s="33" t="s">
        <v>25</v>
      </c>
      <c r="B135" s="34">
        <v>407.34699999999998</v>
      </c>
      <c r="C135" s="35">
        <v>10588</v>
      </c>
      <c r="D135" s="33" t="s">
        <v>274</v>
      </c>
      <c r="E135" s="34">
        <v>407.315</v>
      </c>
      <c r="F135" s="36">
        <v>3.19999999999823E-2</v>
      </c>
      <c r="G135" s="34">
        <v>3.19999999999823E-2</v>
      </c>
      <c r="H135" s="35">
        <v>6.1</v>
      </c>
      <c r="I135" s="37">
        <f t="shared" si="2"/>
        <v>5.7612391386475253E-4</v>
      </c>
      <c r="J135" s="33"/>
    </row>
    <row r="136" spans="1:10">
      <c r="A136" s="33" t="s">
        <v>25</v>
      </c>
      <c r="B136" s="34">
        <v>407.34699999999998</v>
      </c>
      <c r="C136" s="35">
        <v>10588</v>
      </c>
      <c r="D136" s="33" t="s">
        <v>36</v>
      </c>
      <c r="E136" s="34">
        <v>407.31900000000002</v>
      </c>
      <c r="F136" s="36">
        <v>2.8000000000000001E-2</v>
      </c>
      <c r="G136" s="34">
        <v>2.8000000000000001E-2</v>
      </c>
      <c r="H136" s="35">
        <v>2069</v>
      </c>
      <c r="I136" s="37">
        <f t="shared" si="2"/>
        <v>0.19540989799773328</v>
      </c>
      <c r="J136" s="33" t="s">
        <v>116</v>
      </c>
    </row>
    <row r="137" spans="1:10">
      <c r="A137" s="33" t="s">
        <v>25</v>
      </c>
      <c r="B137" s="34">
        <v>407.34699999999998</v>
      </c>
      <c r="C137" s="35">
        <v>10588</v>
      </c>
      <c r="D137" s="33" t="s">
        <v>271</v>
      </c>
      <c r="E137" s="34">
        <v>407.37099999999998</v>
      </c>
      <c r="F137" s="36">
        <v>2.4000000000000899E-2</v>
      </c>
      <c r="G137" s="34">
        <v>2.4000000000000899E-2</v>
      </c>
      <c r="H137" s="35">
        <v>197.7</v>
      </c>
      <c r="I137" s="37">
        <f t="shared" si="2"/>
        <v>1.8672081601813374E-2</v>
      </c>
      <c r="J137" s="33"/>
    </row>
    <row r="138" spans="1:10">
      <c r="A138" s="33" t="s">
        <v>25</v>
      </c>
      <c r="B138" s="34">
        <v>407.34699999999998</v>
      </c>
      <c r="C138" s="35">
        <v>10588</v>
      </c>
      <c r="D138" s="33" t="s">
        <v>25</v>
      </c>
      <c r="E138" s="34">
        <v>407.37299999999999</v>
      </c>
      <c r="F138" s="36">
        <v>2.6000000000010501E-2</v>
      </c>
      <c r="G138" s="34">
        <v>2.6000000000010501E-2</v>
      </c>
      <c r="H138" s="35">
        <v>3285.5</v>
      </c>
      <c r="I138" s="37">
        <f t="shared" si="2"/>
        <v>0.31030411786928597</v>
      </c>
      <c r="J138" s="33" t="s">
        <v>116</v>
      </c>
    </row>
    <row r="139" spans="1:10">
      <c r="A139" s="33" t="s">
        <v>25</v>
      </c>
      <c r="B139" s="34">
        <v>407.34699999999998</v>
      </c>
      <c r="C139" s="35">
        <v>10588</v>
      </c>
      <c r="D139" s="33" t="s">
        <v>36</v>
      </c>
      <c r="E139" s="34">
        <v>407.375</v>
      </c>
      <c r="F139" s="36">
        <v>2.8000000000000001E-2</v>
      </c>
      <c r="G139" s="34">
        <v>2.8000000000000001E-2</v>
      </c>
      <c r="H139" s="35">
        <v>8404.6</v>
      </c>
      <c r="I139" s="37">
        <f t="shared" si="2"/>
        <v>0.79378541745372122</v>
      </c>
      <c r="J139" s="33" t="s">
        <v>116</v>
      </c>
    </row>
    <row r="140" spans="1:10">
      <c r="A140" s="33" t="s">
        <v>25</v>
      </c>
      <c r="B140" s="34">
        <v>407.34699999999998</v>
      </c>
      <c r="C140" s="35">
        <v>10588</v>
      </c>
      <c r="D140" s="33" t="s">
        <v>33</v>
      </c>
      <c r="E140" s="34">
        <v>407.399</v>
      </c>
      <c r="F140" s="36">
        <v>5.2000000000020898E-2</v>
      </c>
      <c r="G140" s="34">
        <v>5.2000000000020898E-2</v>
      </c>
      <c r="H140" s="35">
        <v>324.39999999999998</v>
      </c>
      <c r="I140" s="37">
        <f t="shared" si="2"/>
        <v>3.0638458632414052E-2</v>
      </c>
      <c r="J140" s="33" t="s">
        <v>116</v>
      </c>
    </row>
    <row r="141" spans="1:10">
      <c r="A141" s="33" t="s">
        <v>25</v>
      </c>
      <c r="B141" s="34">
        <v>407.34699999999998</v>
      </c>
      <c r="C141" s="35">
        <v>10588</v>
      </c>
      <c r="D141" s="33" t="s">
        <v>84</v>
      </c>
      <c r="E141" s="34">
        <v>407.4</v>
      </c>
      <c r="F141" s="36">
        <v>5.2999999999999999E-2</v>
      </c>
      <c r="G141" s="34">
        <v>5.2999999999999999E-2</v>
      </c>
      <c r="H141" s="35">
        <v>4771</v>
      </c>
      <c r="I141" s="37">
        <f t="shared" si="2"/>
        <v>0.45060445787684172</v>
      </c>
      <c r="J141" s="33" t="s">
        <v>116</v>
      </c>
    </row>
    <row r="142" spans="1:10">
      <c r="A142" s="33" t="s">
        <v>25</v>
      </c>
      <c r="B142" s="34">
        <v>407.34699999999998</v>
      </c>
      <c r="C142" s="35">
        <v>10588</v>
      </c>
      <c r="D142" s="33" t="s">
        <v>274</v>
      </c>
      <c r="E142" s="34">
        <v>407.43599999999998</v>
      </c>
      <c r="F142" s="36">
        <v>8.8999999999998594E-2</v>
      </c>
      <c r="G142" s="34">
        <v>8.8999999999998594E-2</v>
      </c>
      <c r="H142" s="35">
        <v>872.2</v>
      </c>
      <c r="I142" s="37">
        <f t="shared" si="2"/>
        <v>8.2376275028333973E-2</v>
      </c>
      <c r="J142" s="33"/>
    </row>
    <row r="143" spans="1:10">
      <c r="A143" s="33" t="s">
        <v>25</v>
      </c>
      <c r="B143" s="34">
        <v>407.34699999999998</v>
      </c>
      <c r="C143" s="35">
        <v>10588</v>
      </c>
      <c r="D143" s="33" t="s">
        <v>27</v>
      </c>
      <c r="E143" s="34">
        <v>407.44099999999997</v>
      </c>
      <c r="F143" s="36">
        <v>9.3999999999994102E-2</v>
      </c>
      <c r="G143" s="34">
        <v>9.3999999999994102E-2</v>
      </c>
      <c r="H143" s="35">
        <v>632.9</v>
      </c>
      <c r="I143" s="37">
        <f t="shared" si="2"/>
        <v>5.9775217227049489E-2</v>
      </c>
      <c r="J143" s="33" t="s">
        <v>116</v>
      </c>
    </row>
    <row r="144" spans="1:10">
      <c r="A144" s="33" t="s">
        <v>25</v>
      </c>
      <c r="B144" s="34">
        <v>407.34699999999998</v>
      </c>
      <c r="C144" s="35">
        <v>10588</v>
      </c>
      <c r="D144" s="33" t="s">
        <v>184</v>
      </c>
      <c r="E144" s="34">
        <v>407.44600000000003</v>
      </c>
      <c r="F144" s="36">
        <v>9.9000000000046398E-2</v>
      </c>
      <c r="G144" s="34">
        <v>9.9000000000046398E-2</v>
      </c>
      <c r="H144" s="35">
        <v>21</v>
      </c>
      <c r="I144" s="37">
        <f t="shared" si="2"/>
        <v>1.9833774083868531E-3</v>
      </c>
      <c r="J144" s="33"/>
    </row>
    <row r="145" spans="1:10">
      <c r="A145" s="33" t="s">
        <v>25</v>
      </c>
      <c r="B145" s="34">
        <v>407.34699999999998</v>
      </c>
      <c r="C145" s="35">
        <v>10588</v>
      </c>
      <c r="D145" s="33" t="s">
        <v>277</v>
      </c>
      <c r="E145" s="34">
        <v>407.44900000000001</v>
      </c>
      <c r="F145" s="36">
        <v>0.102000000000032</v>
      </c>
      <c r="G145" s="34">
        <v>0.102000000000032</v>
      </c>
      <c r="H145" s="35">
        <v>240</v>
      </c>
      <c r="I145" s="37">
        <f t="shared" si="2"/>
        <v>2.2667170381564034E-2</v>
      </c>
      <c r="J145" s="33"/>
    </row>
    <row r="146" spans="1:10">
      <c r="A146" s="33" t="s">
        <v>25</v>
      </c>
      <c r="B146" s="34">
        <v>407.34699999999998</v>
      </c>
      <c r="C146" s="35">
        <v>10588</v>
      </c>
      <c r="D146" s="33" t="s">
        <v>25</v>
      </c>
      <c r="E146" s="34">
        <v>407.464</v>
      </c>
      <c r="F146" s="36">
        <v>0.11700000000001901</v>
      </c>
      <c r="G146" s="34">
        <v>0.11700000000001901</v>
      </c>
      <c r="H146" s="35">
        <v>206</v>
      </c>
      <c r="I146" s="37">
        <f t="shared" si="2"/>
        <v>1.9455987910842461E-2</v>
      </c>
      <c r="J146" s="33" t="s">
        <v>116</v>
      </c>
    </row>
    <row r="147" spans="1:10">
      <c r="A147" s="33" t="s">
        <v>25</v>
      </c>
      <c r="B147" s="34">
        <v>407.34699999999998</v>
      </c>
      <c r="C147" s="35">
        <v>10588</v>
      </c>
      <c r="D147" s="33" t="s">
        <v>284</v>
      </c>
      <c r="E147" s="34">
        <v>407.46800000000002</v>
      </c>
      <c r="F147" s="36">
        <v>0.12100000000003799</v>
      </c>
      <c r="G147" s="34">
        <v>0.12100000000003799</v>
      </c>
      <c r="H147" s="35">
        <v>1.2</v>
      </c>
      <c r="I147" s="37">
        <f t="shared" si="2"/>
        <v>1.1333585190782016E-4</v>
      </c>
      <c r="J147" s="33"/>
    </row>
    <row r="148" spans="1:10">
      <c r="A148" s="33" t="s">
        <v>25</v>
      </c>
      <c r="B148" s="34">
        <v>407.34699999999998</v>
      </c>
      <c r="C148" s="35">
        <v>10588</v>
      </c>
      <c r="D148" s="33" t="s">
        <v>236</v>
      </c>
      <c r="E148" s="34">
        <v>407.49400000000003</v>
      </c>
      <c r="F148" s="36">
        <v>0.14700000000004801</v>
      </c>
      <c r="G148" s="34">
        <v>0.14700000000004801</v>
      </c>
      <c r="H148" s="35">
        <v>136.4</v>
      </c>
      <c r="I148" s="37">
        <f t="shared" si="2"/>
        <v>1.2882508500188893E-2</v>
      </c>
      <c r="J148" s="33"/>
    </row>
    <row r="149" spans="1:10">
      <c r="A149" s="33" t="s">
        <v>25</v>
      </c>
      <c r="B149" s="34">
        <v>407.34699999999998</v>
      </c>
      <c r="C149" s="35">
        <v>10588</v>
      </c>
      <c r="D149" s="33" t="s">
        <v>184</v>
      </c>
      <c r="E149" s="34">
        <v>407.49599999999998</v>
      </c>
      <c r="F149" s="36">
        <v>0.14900000000000099</v>
      </c>
      <c r="G149" s="34">
        <v>0.14900000000000099</v>
      </c>
      <c r="H149" s="35">
        <v>81.3</v>
      </c>
      <c r="I149" s="37">
        <f t="shared" si="2"/>
        <v>7.6785039667548165E-3</v>
      </c>
      <c r="J149" s="33"/>
    </row>
    <row r="150" spans="1:10">
      <c r="A150" s="33" t="s">
        <v>25</v>
      </c>
      <c r="B150" s="34">
        <v>407.34699999999998</v>
      </c>
      <c r="C150" s="35">
        <v>10588</v>
      </c>
      <c r="D150" s="33" t="s">
        <v>27</v>
      </c>
      <c r="E150" s="34">
        <v>407.51100000000002</v>
      </c>
      <c r="F150" s="36">
        <v>0.164000000000044</v>
      </c>
      <c r="G150" s="34">
        <v>0.164000000000044</v>
      </c>
      <c r="H150" s="35">
        <v>4918</v>
      </c>
      <c r="I150" s="37">
        <f t="shared" si="2"/>
        <v>0.46448809973554966</v>
      </c>
      <c r="J150" s="33" t="s">
        <v>116</v>
      </c>
    </row>
    <row r="151" spans="1:10">
      <c r="A151" s="33" t="s">
        <v>25</v>
      </c>
      <c r="B151" s="34">
        <v>407.34699999999998</v>
      </c>
      <c r="C151" s="35">
        <v>10588</v>
      </c>
      <c r="D151" s="33" t="s">
        <v>201</v>
      </c>
      <c r="E151" s="34">
        <v>407.52199999999999</v>
      </c>
      <c r="F151" s="36">
        <v>0.17500000000001101</v>
      </c>
      <c r="G151" s="34">
        <v>0.17500000000001101</v>
      </c>
      <c r="H151" s="35">
        <v>471.9</v>
      </c>
      <c r="I151" s="37">
        <f t="shared" si="2"/>
        <v>4.4569323762750281E-2</v>
      </c>
      <c r="J151" s="33"/>
    </row>
    <row r="152" spans="1:10">
      <c r="A152" s="33" t="s">
        <v>25</v>
      </c>
      <c r="B152" s="34">
        <v>407.34699999999998</v>
      </c>
      <c r="C152" s="35">
        <v>10588</v>
      </c>
      <c r="D152" s="33" t="s">
        <v>275</v>
      </c>
      <c r="E152" s="34">
        <v>407.524</v>
      </c>
      <c r="F152" s="36">
        <v>0.177000000000021</v>
      </c>
      <c r="G152" s="34">
        <v>0.177000000000021</v>
      </c>
      <c r="H152" s="35">
        <v>23.9</v>
      </c>
      <c r="I152" s="37">
        <f t="shared" si="2"/>
        <v>2.2572723838307517E-3</v>
      </c>
      <c r="J152" s="33"/>
    </row>
    <row r="153" spans="1:10">
      <c r="A153" s="33" t="s">
        <v>25</v>
      </c>
      <c r="B153" s="34">
        <v>407.34699999999998</v>
      </c>
      <c r="C153" s="35">
        <v>10588</v>
      </c>
      <c r="D153" s="33" t="s">
        <v>286</v>
      </c>
      <c r="E153" s="34">
        <v>407.55799999999999</v>
      </c>
      <c r="F153" s="36">
        <v>0.21100000000001301</v>
      </c>
      <c r="G153" s="34">
        <v>0.21100000000001301</v>
      </c>
      <c r="H153" s="35">
        <v>3.1</v>
      </c>
      <c r="I153" s="37">
        <f t="shared" si="2"/>
        <v>2.9278428409520215E-4</v>
      </c>
      <c r="J153" s="33"/>
    </row>
    <row r="154" spans="1:10">
      <c r="A154" s="33" t="s">
        <v>25</v>
      </c>
      <c r="B154" s="34">
        <v>407.34699999999998</v>
      </c>
      <c r="C154" s="35">
        <v>10588</v>
      </c>
      <c r="D154" s="33" t="s">
        <v>25</v>
      </c>
      <c r="E154" s="34">
        <v>407.57</v>
      </c>
      <c r="F154" s="36">
        <v>0.22300000000001299</v>
      </c>
      <c r="G154" s="34">
        <v>0.22300000000001299</v>
      </c>
      <c r="H154" s="35">
        <v>11561.2</v>
      </c>
      <c r="I154" s="37">
        <f t="shared" si="2"/>
        <v>1.0919153758972422</v>
      </c>
      <c r="J154" s="33" t="s">
        <v>116</v>
      </c>
    </row>
    <row r="155" spans="1:10">
      <c r="A155" s="33" t="s">
        <v>25</v>
      </c>
      <c r="B155" s="34">
        <v>407.34699999999998</v>
      </c>
      <c r="C155" s="35">
        <v>10588</v>
      </c>
      <c r="D155" s="33" t="s">
        <v>271</v>
      </c>
      <c r="E155" s="34">
        <v>407.57100000000003</v>
      </c>
      <c r="F155" s="36">
        <v>0.224000000000046</v>
      </c>
      <c r="G155" s="34">
        <v>0.224000000000046</v>
      </c>
      <c r="H155" s="35">
        <v>265</v>
      </c>
      <c r="I155" s="37">
        <f t="shared" si="2"/>
        <v>2.5028333962976955E-2</v>
      </c>
      <c r="J155" s="33"/>
    </row>
    <row r="156" spans="1:10">
      <c r="A156" s="33" t="s">
        <v>25</v>
      </c>
      <c r="B156" s="34">
        <v>407.34699999999998</v>
      </c>
      <c r="C156" s="35">
        <v>10588</v>
      </c>
      <c r="D156" s="33" t="s">
        <v>270</v>
      </c>
      <c r="E156" s="34">
        <v>407.58300000000003</v>
      </c>
      <c r="F156" s="36">
        <v>0.23600000000004701</v>
      </c>
      <c r="G156" s="34">
        <v>0.23600000000004701</v>
      </c>
      <c r="H156" s="35">
        <v>5804.7</v>
      </c>
      <c r="I156" s="37">
        <f t="shared" si="2"/>
        <v>0.54823384964110311</v>
      </c>
      <c r="J156" s="33"/>
    </row>
    <row r="157" spans="1:10">
      <c r="A157" s="33" t="s">
        <v>25</v>
      </c>
      <c r="B157" s="34">
        <v>407.57</v>
      </c>
      <c r="C157" s="35">
        <v>11561.2</v>
      </c>
      <c r="D157" s="33" t="s">
        <v>274</v>
      </c>
      <c r="E157" s="34">
        <v>407.315</v>
      </c>
      <c r="F157" s="36">
        <v>0.25499999999999601</v>
      </c>
      <c r="G157" s="34">
        <v>0.25499999999999601</v>
      </c>
      <c r="H157" s="35">
        <v>6.1</v>
      </c>
      <c r="I157" s="37">
        <f t="shared" si="2"/>
        <v>5.2762688994222051E-4</v>
      </c>
      <c r="J157" s="33"/>
    </row>
    <row r="158" spans="1:10">
      <c r="A158" s="33" t="s">
        <v>25</v>
      </c>
      <c r="B158" s="34">
        <v>407.57</v>
      </c>
      <c r="C158" s="35">
        <v>11561.2</v>
      </c>
      <c r="D158" s="33" t="s">
        <v>36</v>
      </c>
      <c r="E158" s="34">
        <v>407.31900000000002</v>
      </c>
      <c r="F158" s="36">
        <v>0.251</v>
      </c>
      <c r="G158" s="34">
        <v>0.251</v>
      </c>
      <c r="H158" s="35">
        <v>2069</v>
      </c>
      <c r="I158" s="37">
        <f t="shared" si="2"/>
        <v>0.17896066152302528</v>
      </c>
      <c r="J158" s="33" t="s">
        <v>116</v>
      </c>
    </row>
    <row r="159" spans="1:10">
      <c r="A159" s="33" t="s">
        <v>25</v>
      </c>
      <c r="B159" s="34">
        <v>407.57</v>
      </c>
      <c r="C159" s="35">
        <v>11561.2</v>
      </c>
      <c r="D159" s="33" t="s">
        <v>25</v>
      </c>
      <c r="E159" s="34">
        <v>407.34699999999998</v>
      </c>
      <c r="F159" s="36">
        <v>0.22300000000001299</v>
      </c>
      <c r="G159" s="34">
        <v>0.22300000000001299</v>
      </c>
      <c r="H159" s="35">
        <v>10588</v>
      </c>
      <c r="I159" s="37">
        <f t="shared" si="2"/>
        <v>0.91582188700134926</v>
      </c>
      <c r="J159" s="33" t="s">
        <v>116</v>
      </c>
    </row>
    <row r="160" spans="1:10">
      <c r="A160" s="33" t="s">
        <v>25</v>
      </c>
      <c r="B160" s="34">
        <v>407.57</v>
      </c>
      <c r="C160" s="35">
        <v>11561.2</v>
      </c>
      <c r="D160" s="33" t="s">
        <v>271</v>
      </c>
      <c r="E160" s="34">
        <v>407.37099999999998</v>
      </c>
      <c r="F160" s="36">
        <v>0.199000000000012</v>
      </c>
      <c r="G160" s="34">
        <v>0.199000000000012</v>
      </c>
      <c r="H160" s="35">
        <v>197.7</v>
      </c>
      <c r="I160" s="37">
        <f t="shared" si="2"/>
        <v>1.71003010068159E-2</v>
      </c>
      <c r="J160" s="33"/>
    </row>
    <row r="161" spans="1:10">
      <c r="A161" s="33" t="s">
        <v>25</v>
      </c>
      <c r="B161" s="34">
        <v>407.57</v>
      </c>
      <c r="C161" s="35">
        <v>11561.2</v>
      </c>
      <c r="D161" s="33" t="s">
        <v>25</v>
      </c>
      <c r="E161" s="34">
        <v>407.37299999999999</v>
      </c>
      <c r="F161" s="36">
        <v>0.19700000000000301</v>
      </c>
      <c r="G161" s="34">
        <v>0.19700000000000301</v>
      </c>
      <c r="H161" s="35">
        <v>3285.5</v>
      </c>
      <c r="I161" s="37">
        <f t="shared" si="2"/>
        <v>0.28418330277133858</v>
      </c>
      <c r="J161" s="33" t="s">
        <v>116</v>
      </c>
    </row>
    <row r="162" spans="1:10">
      <c r="A162" s="33" t="s">
        <v>25</v>
      </c>
      <c r="B162" s="34">
        <v>407.57</v>
      </c>
      <c r="C162" s="35">
        <v>11561.2</v>
      </c>
      <c r="D162" s="33" t="s">
        <v>36</v>
      </c>
      <c r="E162" s="34">
        <v>407.375</v>
      </c>
      <c r="F162" s="36">
        <v>0.19500000000000001</v>
      </c>
      <c r="G162" s="34">
        <v>0.19500000000000001</v>
      </c>
      <c r="H162" s="35">
        <v>8404.6</v>
      </c>
      <c r="I162" s="37">
        <f t="shared" si="2"/>
        <v>0.7269660588866208</v>
      </c>
      <c r="J162" s="33" t="s">
        <v>116</v>
      </c>
    </row>
    <row r="163" spans="1:10">
      <c r="A163" s="33" t="s">
        <v>25</v>
      </c>
      <c r="B163" s="34">
        <v>407.57</v>
      </c>
      <c r="C163" s="35">
        <v>11561.2</v>
      </c>
      <c r="D163" s="33" t="s">
        <v>33</v>
      </c>
      <c r="E163" s="34">
        <v>407.399</v>
      </c>
      <c r="F163" s="36">
        <v>0.17099999999999199</v>
      </c>
      <c r="G163" s="34">
        <v>0.17099999999999199</v>
      </c>
      <c r="H163" s="35">
        <v>324.39999999999998</v>
      </c>
      <c r="I163" s="37">
        <f t="shared" si="2"/>
        <v>2.8059370999550217E-2</v>
      </c>
      <c r="J163" s="33" t="s">
        <v>116</v>
      </c>
    </row>
    <row r="164" spans="1:10">
      <c r="A164" s="33" t="s">
        <v>25</v>
      </c>
      <c r="B164" s="34">
        <v>407.57</v>
      </c>
      <c r="C164" s="35">
        <v>11561.2</v>
      </c>
      <c r="D164" s="33" t="s">
        <v>84</v>
      </c>
      <c r="E164" s="34">
        <v>407.4</v>
      </c>
      <c r="F164" s="36">
        <v>0.17</v>
      </c>
      <c r="G164" s="34">
        <v>0.17</v>
      </c>
      <c r="H164" s="35">
        <v>4771</v>
      </c>
      <c r="I164" s="37">
        <f t="shared" si="2"/>
        <v>0.41267342490398917</v>
      </c>
      <c r="J164" s="33" t="s">
        <v>116</v>
      </c>
    </row>
    <row r="165" spans="1:10">
      <c r="A165" s="33" t="s">
        <v>25</v>
      </c>
      <c r="B165" s="34">
        <v>407.57</v>
      </c>
      <c r="C165" s="35">
        <v>11561.2</v>
      </c>
      <c r="D165" s="33" t="s">
        <v>274</v>
      </c>
      <c r="E165" s="34">
        <v>407.43599999999998</v>
      </c>
      <c r="F165" s="36">
        <v>0.134000000000015</v>
      </c>
      <c r="G165" s="34">
        <v>0.134000000000015</v>
      </c>
      <c r="H165" s="35">
        <v>872.2</v>
      </c>
      <c r="I165" s="37">
        <f t="shared" si="2"/>
        <v>7.5441995640590939E-2</v>
      </c>
      <c r="J165" s="33"/>
    </row>
    <row r="166" spans="1:10">
      <c r="A166" s="33" t="s">
        <v>25</v>
      </c>
      <c r="B166" s="34">
        <v>407.57</v>
      </c>
      <c r="C166" s="35">
        <v>11561.2</v>
      </c>
      <c r="D166" s="33" t="s">
        <v>27</v>
      </c>
      <c r="E166" s="34">
        <v>407.44099999999997</v>
      </c>
      <c r="F166" s="36">
        <v>0.12900000000001899</v>
      </c>
      <c r="G166" s="34">
        <v>0.12900000000001899</v>
      </c>
      <c r="H166" s="35">
        <v>632.9</v>
      </c>
      <c r="I166" s="37">
        <f t="shared" si="2"/>
        <v>5.4743452236792021E-2</v>
      </c>
      <c r="J166" s="33" t="s">
        <v>116</v>
      </c>
    </row>
    <row r="167" spans="1:10">
      <c r="A167" s="33" t="s">
        <v>25</v>
      </c>
      <c r="B167" s="34">
        <v>407.57</v>
      </c>
      <c r="C167" s="35">
        <v>11561.2</v>
      </c>
      <c r="D167" s="33" t="s">
        <v>184</v>
      </c>
      <c r="E167" s="34">
        <v>407.44600000000003</v>
      </c>
      <c r="F167" s="36">
        <v>0.123999999999967</v>
      </c>
      <c r="G167" s="34">
        <v>0.123999999999967</v>
      </c>
      <c r="H167" s="35">
        <v>21</v>
      </c>
      <c r="I167" s="37">
        <f t="shared" si="2"/>
        <v>1.8164204407846935E-3</v>
      </c>
      <c r="J167" s="33"/>
    </row>
    <row r="168" spans="1:10">
      <c r="A168" s="33" t="s">
        <v>25</v>
      </c>
      <c r="B168" s="34">
        <v>407.57</v>
      </c>
      <c r="C168" s="35">
        <v>11561.2</v>
      </c>
      <c r="D168" s="33" t="s">
        <v>277</v>
      </c>
      <c r="E168" s="34">
        <v>407.44900000000001</v>
      </c>
      <c r="F168" s="36">
        <v>0.120999999999981</v>
      </c>
      <c r="G168" s="34">
        <v>0.120999999999981</v>
      </c>
      <c r="H168" s="35">
        <v>240</v>
      </c>
      <c r="I168" s="37">
        <f t="shared" si="2"/>
        <v>2.0759090751825068E-2</v>
      </c>
      <c r="J168" s="33"/>
    </row>
    <row r="169" spans="1:10">
      <c r="A169" s="33" t="s">
        <v>25</v>
      </c>
      <c r="B169" s="34">
        <v>407.57</v>
      </c>
      <c r="C169" s="35">
        <v>11561.2</v>
      </c>
      <c r="D169" s="33" t="s">
        <v>25</v>
      </c>
      <c r="E169" s="34">
        <v>407.464</v>
      </c>
      <c r="F169" s="36">
        <v>0.105999999999995</v>
      </c>
      <c r="G169" s="34">
        <v>0.105999999999995</v>
      </c>
      <c r="H169" s="35">
        <v>206</v>
      </c>
      <c r="I169" s="37">
        <f t="shared" si="2"/>
        <v>1.7818219561983185E-2</v>
      </c>
      <c r="J169" s="33" t="s">
        <v>116</v>
      </c>
    </row>
    <row r="170" spans="1:10">
      <c r="A170" s="33" t="s">
        <v>25</v>
      </c>
      <c r="B170" s="34">
        <v>407.57</v>
      </c>
      <c r="C170" s="35">
        <v>11561.2</v>
      </c>
      <c r="D170" s="33" t="s">
        <v>284</v>
      </c>
      <c r="E170" s="34">
        <v>407.46800000000002</v>
      </c>
      <c r="F170" s="36">
        <v>0.101999999999975</v>
      </c>
      <c r="G170" s="34">
        <v>0.101999999999975</v>
      </c>
      <c r="H170" s="35">
        <v>1.2</v>
      </c>
      <c r="I170" s="37">
        <f t="shared" si="2"/>
        <v>1.0379545375912534E-4</v>
      </c>
      <c r="J170" s="33"/>
    </row>
    <row r="171" spans="1:10">
      <c r="A171" s="33" t="s">
        <v>25</v>
      </c>
      <c r="B171" s="34">
        <v>407.57</v>
      </c>
      <c r="C171" s="35">
        <v>11561.2</v>
      </c>
      <c r="D171" s="33" t="s">
        <v>236</v>
      </c>
      <c r="E171" s="34">
        <v>407.49400000000003</v>
      </c>
      <c r="F171" s="36">
        <v>7.5999999999964998E-2</v>
      </c>
      <c r="G171" s="34">
        <v>7.5999999999964998E-2</v>
      </c>
      <c r="H171" s="35">
        <v>136.4</v>
      </c>
      <c r="I171" s="37">
        <f t="shared" si="2"/>
        <v>1.1798083243953915E-2</v>
      </c>
      <c r="J171" s="33"/>
    </row>
    <row r="172" spans="1:10">
      <c r="A172" s="33" t="s">
        <v>25</v>
      </c>
      <c r="B172" s="34">
        <v>407.57</v>
      </c>
      <c r="C172" s="35">
        <v>11561.2</v>
      </c>
      <c r="D172" s="33" t="s">
        <v>184</v>
      </c>
      <c r="E172" s="34">
        <v>407.49599999999998</v>
      </c>
      <c r="F172" s="36">
        <v>7.4000000000012306E-2</v>
      </c>
      <c r="G172" s="34">
        <v>7.4000000000012306E-2</v>
      </c>
      <c r="H172" s="35">
        <v>81.3</v>
      </c>
      <c r="I172" s="37">
        <f t="shared" si="2"/>
        <v>7.0321419921807416E-3</v>
      </c>
      <c r="J172" s="33"/>
    </row>
    <row r="173" spans="1:10">
      <c r="A173" s="33" t="s">
        <v>25</v>
      </c>
      <c r="B173" s="34">
        <v>407.57</v>
      </c>
      <c r="C173" s="35">
        <v>11561.2</v>
      </c>
      <c r="D173" s="33" t="s">
        <v>27</v>
      </c>
      <c r="E173" s="34">
        <v>407.51100000000002</v>
      </c>
      <c r="F173" s="36">
        <v>5.8999999999969098E-2</v>
      </c>
      <c r="G173" s="34">
        <v>5.8999999999969098E-2</v>
      </c>
      <c r="H173" s="35">
        <v>4918</v>
      </c>
      <c r="I173" s="37">
        <f t="shared" si="2"/>
        <v>0.42538836798948204</v>
      </c>
      <c r="J173" s="33" t="s">
        <v>116</v>
      </c>
    </row>
    <row r="174" spans="1:10">
      <c r="A174" s="33" t="s">
        <v>25</v>
      </c>
      <c r="B174" s="34">
        <v>407.57</v>
      </c>
      <c r="C174" s="35">
        <v>11561.2</v>
      </c>
      <c r="D174" s="33" t="s">
        <v>201</v>
      </c>
      <c r="E174" s="34">
        <v>407.52199999999999</v>
      </c>
      <c r="F174" s="36">
        <v>4.8000000000001798E-2</v>
      </c>
      <c r="G174" s="34">
        <v>4.8000000000001798E-2</v>
      </c>
      <c r="H174" s="35">
        <v>471.9</v>
      </c>
      <c r="I174" s="37">
        <f t="shared" si="2"/>
        <v>4.0817562190776042E-2</v>
      </c>
      <c r="J174" s="33"/>
    </row>
    <row r="175" spans="1:10">
      <c r="A175" s="33" t="s">
        <v>25</v>
      </c>
      <c r="B175" s="34">
        <v>407.57</v>
      </c>
      <c r="C175" s="35">
        <v>11561.2</v>
      </c>
      <c r="D175" s="33" t="s">
        <v>275</v>
      </c>
      <c r="E175" s="34">
        <v>407.524</v>
      </c>
      <c r="F175" s="36">
        <v>4.5999999999992297E-2</v>
      </c>
      <c r="G175" s="34">
        <v>4.5999999999992297E-2</v>
      </c>
      <c r="H175" s="35">
        <v>23.9</v>
      </c>
      <c r="I175" s="37">
        <f t="shared" si="2"/>
        <v>2.0672594540359131E-3</v>
      </c>
      <c r="J175" s="33"/>
    </row>
    <row r="176" spans="1:10">
      <c r="A176" s="33" t="s">
        <v>25</v>
      </c>
      <c r="B176" s="34">
        <v>407.57</v>
      </c>
      <c r="C176" s="35">
        <v>11561.2</v>
      </c>
      <c r="D176" s="33" t="s">
        <v>286</v>
      </c>
      <c r="E176" s="34">
        <v>407.55799999999999</v>
      </c>
      <c r="F176" s="36">
        <v>1.20000000000005E-2</v>
      </c>
      <c r="G176" s="34">
        <v>1.20000000000005E-2</v>
      </c>
      <c r="H176" s="35">
        <v>3.1</v>
      </c>
      <c r="I176" s="37">
        <f t="shared" si="2"/>
        <v>2.6813825554440715E-4</v>
      </c>
      <c r="J176" s="33"/>
    </row>
    <row r="177" spans="1:10">
      <c r="A177" s="33" t="s">
        <v>25</v>
      </c>
      <c r="B177" s="34">
        <v>407.57</v>
      </c>
      <c r="C177" s="35">
        <v>11561.2</v>
      </c>
      <c r="D177" s="33" t="s">
        <v>271</v>
      </c>
      <c r="E177" s="34">
        <v>407.57100000000003</v>
      </c>
      <c r="F177" s="36">
        <v>1.0000000000332E-3</v>
      </c>
      <c r="G177" s="34">
        <v>1.0000000000332E-3</v>
      </c>
      <c r="H177" s="35">
        <v>265</v>
      </c>
      <c r="I177" s="37">
        <f t="shared" si="2"/>
        <v>2.2921496038473512E-2</v>
      </c>
      <c r="J177" s="33"/>
    </row>
    <row r="178" spans="1:10">
      <c r="A178" s="33" t="s">
        <v>25</v>
      </c>
      <c r="B178" s="34">
        <v>407.57</v>
      </c>
      <c r="C178" s="35">
        <v>11561.2</v>
      </c>
      <c r="D178" s="33" t="s">
        <v>270</v>
      </c>
      <c r="E178" s="34">
        <v>407.58300000000003</v>
      </c>
      <c r="F178" s="36">
        <v>1.30000000000337E-2</v>
      </c>
      <c r="G178" s="34">
        <v>1.30000000000337E-2</v>
      </c>
      <c r="H178" s="35">
        <v>5804.7</v>
      </c>
      <c r="I178" s="37">
        <f t="shared" si="2"/>
        <v>0.50208455869632906</v>
      </c>
      <c r="J178" s="33"/>
    </row>
    <row r="179" spans="1:10">
      <c r="A179" s="33" t="s">
        <v>25</v>
      </c>
      <c r="B179" s="34">
        <v>407.57</v>
      </c>
      <c r="C179" s="35">
        <v>11561.2</v>
      </c>
      <c r="D179" s="33" t="s">
        <v>239</v>
      </c>
      <c r="E179" s="34">
        <v>407.60500000000002</v>
      </c>
      <c r="F179" s="36">
        <v>3.5000000000024997E-2</v>
      </c>
      <c r="G179" s="34">
        <v>3.5000000000024997E-2</v>
      </c>
      <c r="H179" s="35">
        <v>14.2</v>
      </c>
      <c r="I179" s="37">
        <f t="shared" si="2"/>
        <v>1.2282462028163166E-3</v>
      </c>
      <c r="J179" s="33"/>
    </row>
    <row r="180" spans="1:10">
      <c r="A180" s="33" t="s">
        <v>25</v>
      </c>
      <c r="B180" s="34">
        <v>407.57</v>
      </c>
      <c r="C180" s="35">
        <v>11561.2</v>
      </c>
      <c r="D180" s="33" t="s">
        <v>275</v>
      </c>
      <c r="E180" s="34">
        <v>407.61900000000003</v>
      </c>
      <c r="F180" s="36">
        <v>4.9000000000035002E-2</v>
      </c>
      <c r="G180" s="34">
        <v>4.9000000000035002E-2</v>
      </c>
      <c r="H180" s="35">
        <v>21.1</v>
      </c>
      <c r="I180" s="37">
        <f t="shared" si="2"/>
        <v>1.8250700619312874E-3</v>
      </c>
      <c r="J180" s="33"/>
    </row>
    <row r="181" spans="1:10">
      <c r="A181" s="33" t="s">
        <v>25</v>
      </c>
      <c r="B181" s="34">
        <v>407.57</v>
      </c>
      <c r="C181" s="35">
        <v>11561.2</v>
      </c>
      <c r="D181" s="33" t="s">
        <v>25</v>
      </c>
      <c r="E181" s="34">
        <v>407.62400000000002</v>
      </c>
      <c r="F181" s="36">
        <v>5.4000000000030503E-2</v>
      </c>
      <c r="G181" s="34">
        <v>5.4000000000030503E-2</v>
      </c>
      <c r="H181" s="35">
        <v>1873.6</v>
      </c>
      <c r="I181" s="37">
        <f t="shared" si="2"/>
        <v>0.16205930180258102</v>
      </c>
      <c r="J181" s="33" t="s">
        <v>116</v>
      </c>
    </row>
    <row r="182" spans="1:10">
      <c r="A182" s="33" t="s">
        <v>25</v>
      </c>
      <c r="B182" s="34">
        <v>407.57</v>
      </c>
      <c r="C182" s="35">
        <v>11561.2</v>
      </c>
      <c r="D182" s="33" t="s">
        <v>276</v>
      </c>
      <c r="E182" s="34">
        <v>407.63499999999999</v>
      </c>
      <c r="F182" s="36">
        <v>6.4999999999997699E-2</v>
      </c>
      <c r="G182" s="34">
        <v>6.4999999999997699E-2</v>
      </c>
      <c r="H182" s="35">
        <v>0.3</v>
      </c>
      <c r="I182" s="37">
        <f t="shared" si="2"/>
        <v>2.5948863439781336E-5</v>
      </c>
      <c r="J182" s="33"/>
    </row>
    <row r="183" spans="1:10">
      <c r="A183" s="33" t="s">
        <v>25</v>
      </c>
      <c r="B183" s="34">
        <v>407.57</v>
      </c>
      <c r="C183" s="35">
        <v>11561.2</v>
      </c>
      <c r="D183" s="33" t="s">
        <v>236</v>
      </c>
      <c r="E183" s="34">
        <v>407.65300000000002</v>
      </c>
      <c r="F183" s="36">
        <v>8.3000000000026802E-2</v>
      </c>
      <c r="G183" s="34">
        <v>8.3000000000026802E-2</v>
      </c>
      <c r="H183" s="35">
        <v>73.900000000000006</v>
      </c>
      <c r="I183" s="37">
        <f t="shared" si="2"/>
        <v>6.3920700273328033E-3</v>
      </c>
      <c r="J183" s="33"/>
    </row>
    <row r="184" spans="1:10">
      <c r="A184" s="33" t="s">
        <v>25</v>
      </c>
      <c r="B184" s="34">
        <v>407.57</v>
      </c>
      <c r="C184" s="35">
        <v>11561.2</v>
      </c>
      <c r="D184" s="33" t="s">
        <v>54</v>
      </c>
      <c r="E184" s="34">
        <v>407.65600000000001</v>
      </c>
      <c r="F184" s="36">
        <v>8.6000000000012705E-2</v>
      </c>
      <c r="G184" s="34">
        <v>8.6000000000012705E-2</v>
      </c>
      <c r="H184" s="35">
        <v>3.2</v>
      </c>
      <c r="I184" s="37">
        <f t="shared" si="2"/>
        <v>2.7678787669100095E-4</v>
      </c>
      <c r="J184" s="33"/>
    </row>
    <row r="185" spans="1:10">
      <c r="A185" s="33" t="s">
        <v>25</v>
      </c>
      <c r="B185" s="34">
        <v>407.57</v>
      </c>
      <c r="C185" s="35">
        <v>11561.2</v>
      </c>
      <c r="D185" s="33" t="s">
        <v>270</v>
      </c>
      <c r="E185" s="34">
        <v>407.66199999999998</v>
      </c>
      <c r="F185" s="36">
        <v>9.1999999999984497E-2</v>
      </c>
      <c r="G185" s="34">
        <v>9.1999999999984497E-2</v>
      </c>
      <c r="H185" s="35">
        <v>1708.5</v>
      </c>
      <c r="I185" s="37">
        <f t="shared" si="2"/>
        <v>0.14777877728955471</v>
      </c>
      <c r="J185" s="33"/>
    </row>
    <row r="186" spans="1:10">
      <c r="A186" s="33" t="s">
        <v>25</v>
      </c>
      <c r="B186" s="34">
        <v>407.57</v>
      </c>
      <c r="C186" s="35">
        <v>11561.2</v>
      </c>
      <c r="D186" s="33" t="s">
        <v>97</v>
      </c>
      <c r="E186" s="34">
        <v>407.66300000000001</v>
      </c>
      <c r="F186" s="36">
        <v>9.3000000000017694E-2</v>
      </c>
      <c r="G186" s="34">
        <v>9.3000000000017694E-2</v>
      </c>
      <c r="H186" s="35">
        <v>20.8</v>
      </c>
      <c r="I186" s="37">
        <f t="shared" si="2"/>
        <v>1.7991211984915061E-3</v>
      </c>
      <c r="J186" s="33"/>
    </row>
    <row r="187" spans="1:10">
      <c r="A187" s="33" t="s">
        <v>25</v>
      </c>
      <c r="B187" s="34">
        <v>407.57</v>
      </c>
      <c r="C187" s="35">
        <v>11561.2</v>
      </c>
      <c r="D187" s="33" t="s">
        <v>277</v>
      </c>
      <c r="E187" s="34">
        <v>407.66800000000001</v>
      </c>
      <c r="F187" s="36">
        <v>9.8000000000013202E-2</v>
      </c>
      <c r="G187" s="34">
        <v>9.8000000000013202E-2</v>
      </c>
      <c r="H187" s="35">
        <v>290.10000000000002</v>
      </c>
      <c r="I187" s="37">
        <f t="shared" si="2"/>
        <v>2.5092550946268555E-2</v>
      </c>
      <c r="J187" s="33"/>
    </row>
    <row r="188" spans="1:10">
      <c r="A188" s="33" t="s">
        <v>25</v>
      </c>
      <c r="B188" s="34">
        <v>407.57</v>
      </c>
      <c r="C188" s="35">
        <v>11561.2</v>
      </c>
      <c r="D188" s="33" t="s">
        <v>133</v>
      </c>
      <c r="E188" s="34">
        <v>407.67</v>
      </c>
      <c r="F188" s="36">
        <v>0.100000000000023</v>
      </c>
      <c r="G188" s="34">
        <v>0.100000000000023</v>
      </c>
      <c r="H188" s="35">
        <v>1924.2</v>
      </c>
      <c r="I188" s="37">
        <f t="shared" si="2"/>
        <v>0.16643601010275749</v>
      </c>
      <c r="J188" s="33"/>
    </row>
    <row r="189" spans="1:10">
      <c r="A189" s="33" t="s">
        <v>25</v>
      </c>
      <c r="B189" s="34">
        <v>407.57</v>
      </c>
      <c r="C189" s="35">
        <v>11561.2</v>
      </c>
      <c r="D189" s="33" t="s">
        <v>268</v>
      </c>
      <c r="E189" s="34">
        <v>407.67200000000003</v>
      </c>
      <c r="F189" s="36">
        <v>0.102000000000032</v>
      </c>
      <c r="G189" s="34">
        <v>0.102000000000032</v>
      </c>
      <c r="H189" s="35">
        <v>141.30000000000001</v>
      </c>
      <c r="I189" s="37">
        <f t="shared" si="2"/>
        <v>1.222191468013701E-2</v>
      </c>
      <c r="J189" s="33"/>
    </row>
    <row r="190" spans="1:10">
      <c r="A190" s="33" t="s">
        <v>25</v>
      </c>
      <c r="B190" s="34">
        <v>407.57</v>
      </c>
      <c r="C190" s="35">
        <v>11561.2</v>
      </c>
      <c r="D190" s="33" t="s">
        <v>236</v>
      </c>
      <c r="E190" s="34">
        <v>407.70400000000001</v>
      </c>
      <c r="F190" s="36">
        <v>0.134000000000015</v>
      </c>
      <c r="G190" s="34">
        <v>0.134000000000015</v>
      </c>
      <c r="H190" s="35">
        <v>4727</v>
      </c>
      <c r="I190" s="37">
        <f t="shared" si="2"/>
        <v>0.40886759159948793</v>
      </c>
      <c r="J190" s="33"/>
    </row>
    <row r="191" spans="1:10">
      <c r="A191" s="33" t="s">
        <v>25</v>
      </c>
      <c r="B191" s="34">
        <v>407.57</v>
      </c>
      <c r="C191" s="35">
        <v>11561.2</v>
      </c>
      <c r="D191" s="33" t="s">
        <v>63</v>
      </c>
      <c r="E191" s="34">
        <v>407.726</v>
      </c>
      <c r="F191" s="36">
        <v>0.156</v>
      </c>
      <c r="G191" s="34">
        <v>0.156</v>
      </c>
      <c r="H191" s="35">
        <v>234.3</v>
      </c>
      <c r="I191" s="37">
        <f t="shared" si="2"/>
        <v>2.0266062346469223E-2</v>
      </c>
      <c r="J191" s="33" t="s">
        <v>116</v>
      </c>
    </row>
    <row r="192" spans="1:10">
      <c r="A192" s="33" t="s">
        <v>25</v>
      </c>
      <c r="B192" s="34">
        <v>407.57</v>
      </c>
      <c r="C192" s="35">
        <v>11561.2</v>
      </c>
      <c r="D192" s="33" t="s">
        <v>63</v>
      </c>
      <c r="E192" s="34">
        <v>407.72800000000001</v>
      </c>
      <c r="F192" s="36">
        <v>0.15800000000001599</v>
      </c>
      <c r="G192" s="34">
        <v>0.15800000000001599</v>
      </c>
      <c r="H192" s="35">
        <v>204.3</v>
      </c>
      <c r="I192" s="37">
        <f t="shared" si="2"/>
        <v>1.7671176002491091E-2</v>
      </c>
      <c r="J192" s="33" t="s">
        <v>116</v>
      </c>
    </row>
    <row r="193" spans="1:10">
      <c r="A193" s="33" t="s">
        <v>25</v>
      </c>
      <c r="B193" s="34">
        <v>407.57</v>
      </c>
      <c r="C193" s="35">
        <v>11561.2</v>
      </c>
      <c r="D193" s="33" t="s">
        <v>133</v>
      </c>
      <c r="E193" s="34">
        <v>407.73399999999998</v>
      </c>
      <c r="F193" s="36">
        <v>0.16399999999998699</v>
      </c>
      <c r="G193" s="34">
        <v>0.16399999999998699</v>
      </c>
      <c r="H193" s="35">
        <v>65306.5</v>
      </c>
      <c r="I193" s="37">
        <f t="shared" si="2"/>
        <v>5.6487648341002661</v>
      </c>
      <c r="J193" s="33"/>
    </row>
    <row r="194" spans="1:10">
      <c r="A194" s="33" t="s">
        <v>25</v>
      </c>
      <c r="B194" s="34">
        <v>407.57</v>
      </c>
      <c r="C194" s="35">
        <v>11561.2</v>
      </c>
      <c r="D194" s="33" t="s">
        <v>116</v>
      </c>
      <c r="E194" s="34">
        <v>407.73599999999999</v>
      </c>
      <c r="F194" s="36">
        <v>0.16600000000000001</v>
      </c>
      <c r="G194" s="34">
        <v>0.16600000000000001</v>
      </c>
      <c r="H194" s="35">
        <v>5065.5</v>
      </c>
      <c r="I194" s="37">
        <f t="shared" ref="I194:I257" si="3">H194/C194</f>
        <v>0.43814655918070788</v>
      </c>
      <c r="J194" s="33" t="s">
        <v>116</v>
      </c>
    </row>
    <row r="195" spans="1:10">
      <c r="A195" s="33" t="s">
        <v>25</v>
      </c>
      <c r="B195" s="34">
        <v>407.57</v>
      </c>
      <c r="C195" s="35">
        <v>11561.2</v>
      </c>
      <c r="D195" s="33" t="s">
        <v>54</v>
      </c>
      <c r="E195" s="34">
        <v>407.73899999999998</v>
      </c>
      <c r="F195" s="36">
        <v>0.168999999999983</v>
      </c>
      <c r="G195" s="34">
        <v>0.168999999999983</v>
      </c>
      <c r="H195" s="35">
        <v>13.7</v>
      </c>
      <c r="I195" s="37">
        <f t="shared" si="3"/>
        <v>1.1849980970833477E-3</v>
      </c>
      <c r="J195" s="33"/>
    </row>
    <row r="196" spans="1:10">
      <c r="A196" s="33" t="s">
        <v>25</v>
      </c>
      <c r="B196" s="34">
        <v>407.57</v>
      </c>
      <c r="C196" s="35">
        <v>11561.2</v>
      </c>
      <c r="D196" s="33" t="s">
        <v>25</v>
      </c>
      <c r="E196" s="34">
        <v>407.74700000000001</v>
      </c>
      <c r="F196" s="36">
        <v>0.177000000000021</v>
      </c>
      <c r="G196" s="34">
        <v>0.177000000000021</v>
      </c>
      <c r="H196" s="35">
        <v>3523</v>
      </c>
      <c r="I196" s="37">
        <f t="shared" si="3"/>
        <v>0.30472615299449884</v>
      </c>
      <c r="J196" s="33" t="s">
        <v>116</v>
      </c>
    </row>
    <row r="197" spans="1:10">
      <c r="A197" s="33" t="s">
        <v>25</v>
      </c>
      <c r="B197" s="34">
        <v>407.57</v>
      </c>
      <c r="C197" s="35">
        <v>11561.2</v>
      </c>
      <c r="D197" s="33" t="s">
        <v>282</v>
      </c>
      <c r="E197" s="34">
        <v>407.75799999999998</v>
      </c>
      <c r="F197" s="36">
        <v>0.18799999999998801</v>
      </c>
      <c r="G197" s="34">
        <v>0.18799999999998801</v>
      </c>
      <c r="H197" s="35">
        <v>21.4</v>
      </c>
      <c r="I197" s="37">
        <f t="shared" si="3"/>
        <v>1.8510189253710685E-3</v>
      </c>
      <c r="J197" s="33"/>
    </row>
    <row r="198" spans="1:10">
      <c r="A198" s="33" t="s">
        <v>25</v>
      </c>
      <c r="B198" s="34">
        <v>408.322</v>
      </c>
      <c r="C198" s="35">
        <v>9540.5</v>
      </c>
      <c r="D198" s="33" t="s">
        <v>274</v>
      </c>
      <c r="E198" s="34">
        <v>408.13099999999997</v>
      </c>
      <c r="F198" s="36">
        <v>0.19100000000003101</v>
      </c>
      <c r="G198" s="34">
        <v>0.19100000000003101</v>
      </c>
      <c r="H198" s="35">
        <v>61.7</v>
      </c>
      <c r="I198" s="37">
        <f t="shared" si="3"/>
        <v>6.4671662910748915E-3</v>
      </c>
      <c r="J198" s="33"/>
    </row>
    <row r="199" spans="1:10">
      <c r="A199" s="33" t="s">
        <v>25</v>
      </c>
      <c r="B199" s="34">
        <v>408.322</v>
      </c>
      <c r="C199" s="35">
        <v>9540.5</v>
      </c>
      <c r="D199" s="33" t="s">
        <v>279</v>
      </c>
      <c r="E199" s="34">
        <v>408.14299999999997</v>
      </c>
      <c r="F199" s="36">
        <v>0.179000000000031</v>
      </c>
      <c r="G199" s="34">
        <v>0.179000000000031</v>
      </c>
      <c r="H199" s="35">
        <v>14.5</v>
      </c>
      <c r="I199" s="37">
        <f t="shared" si="3"/>
        <v>1.5198364865573082E-3</v>
      </c>
      <c r="J199" s="33"/>
    </row>
    <row r="200" spans="1:10">
      <c r="A200" s="33" t="s">
        <v>25</v>
      </c>
      <c r="B200" s="34">
        <v>408.322</v>
      </c>
      <c r="C200" s="35">
        <v>9540.5</v>
      </c>
      <c r="D200" s="33" t="s">
        <v>54</v>
      </c>
      <c r="E200" s="34">
        <v>408.14400000000001</v>
      </c>
      <c r="F200" s="36">
        <v>0.17799999999999699</v>
      </c>
      <c r="G200" s="34">
        <v>0.17799999999999699</v>
      </c>
      <c r="H200" s="35">
        <v>21</v>
      </c>
      <c r="I200" s="37">
        <f t="shared" si="3"/>
        <v>2.2011424977726535E-3</v>
      </c>
      <c r="J200" s="33"/>
    </row>
    <row r="201" spans="1:10">
      <c r="A201" s="33" t="s">
        <v>25</v>
      </c>
      <c r="B201" s="34">
        <v>408.322</v>
      </c>
      <c r="C201" s="35">
        <v>9540.5</v>
      </c>
      <c r="D201" s="33" t="s">
        <v>275</v>
      </c>
      <c r="E201" s="34">
        <v>408.14400000000001</v>
      </c>
      <c r="F201" s="36">
        <v>0.17799999999999699</v>
      </c>
      <c r="G201" s="34">
        <v>0.17799999999999699</v>
      </c>
      <c r="H201" s="35">
        <v>211.1</v>
      </c>
      <c r="I201" s="37">
        <f t="shared" si="3"/>
        <v>2.2126722918086053E-2</v>
      </c>
      <c r="J201" s="33"/>
    </row>
    <row r="202" spans="1:10">
      <c r="A202" s="33" t="s">
        <v>25</v>
      </c>
      <c r="B202" s="34">
        <v>408.322</v>
      </c>
      <c r="C202" s="35">
        <v>9540.5</v>
      </c>
      <c r="D202" s="33" t="s">
        <v>173</v>
      </c>
      <c r="E202" s="34">
        <v>408.185</v>
      </c>
      <c r="F202" s="36">
        <v>0.13700000000000101</v>
      </c>
      <c r="G202" s="34">
        <v>0.13700000000000101</v>
      </c>
      <c r="H202" s="35">
        <v>6007.7</v>
      </c>
      <c r="I202" s="37">
        <f t="shared" si="3"/>
        <v>0.62970494208898897</v>
      </c>
      <c r="J202" s="33"/>
    </row>
    <row r="203" spans="1:10">
      <c r="A203" s="33" t="s">
        <v>25</v>
      </c>
      <c r="B203" s="34">
        <v>408.322</v>
      </c>
      <c r="C203" s="35">
        <v>9540.5</v>
      </c>
      <c r="D203" s="33" t="s">
        <v>270</v>
      </c>
      <c r="E203" s="34">
        <v>408.19499999999999</v>
      </c>
      <c r="F203" s="36">
        <v>0.12700000000000999</v>
      </c>
      <c r="G203" s="34">
        <v>0.12700000000000999</v>
      </c>
      <c r="H203" s="35">
        <v>502.7</v>
      </c>
      <c r="I203" s="37">
        <f t="shared" si="3"/>
        <v>5.2691158744300609E-2</v>
      </c>
      <c r="J203" s="33"/>
    </row>
    <row r="204" spans="1:10">
      <c r="A204" s="33" t="s">
        <v>25</v>
      </c>
      <c r="B204" s="34">
        <v>408.322</v>
      </c>
      <c r="C204" s="35">
        <v>9540.5</v>
      </c>
      <c r="D204" s="33" t="s">
        <v>25</v>
      </c>
      <c r="E204" s="34">
        <v>408.209</v>
      </c>
      <c r="F204" s="36">
        <v>0.113</v>
      </c>
      <c r="G204" s="34">
        <v>0.113</v>
      </c>
      <c r="H204" s="35">
        <v>108.1</v>
      </c>
      <c r="I204" s="37">
        <f t="shared" si="3"/>
        <v>1.1330643048058277E-2</v>
      </c>
      <c r="J204" s="33" t="s">
        <v>116</v>
      </c>
    </row>
    <row r="205" spans="1:10">
      <c r="A205" s="33" t="s">
        <v>25</v>
      </c>
      <c r="B205" s="34">
        <v>408.322</v>
      </c>
      <c r="C205" s="35">
        <v>9540.5</v>
      </c>
      <c r="D205" s="33" t="s">
        <v>280</v>
      </c>
      <c r="E205" s="34">
        <v>408.226</v>
      </c>
      <c r="F205" s="36">
        <v>9.6000000000003596E-2</v>
      </c>
      <c r="G205" s="34">
        <v>9.6000000000003596E-2</v>
      </c>
      <c r="H205" s="35">
        <v>378.3</v>
      </c>
      <c r="I205" s="37">
        <f t="shared" si="3"/>
        <v>3.9652009852733087E-2</v>
      </c>
      <c r="J205" s="33"/>
    </row>
    <row r="206" spans="1:10">
      <c r="A206" s="33" t="s">
        <v>25</v>
      </c>
      <c r="B206" s="34">
        <v>408.322</v>
      </c>
      <c r="C206" s="35">
        <v>9540.5</v>
      </c>
      <c r="D206" s="33" t="s">
        <v>271</v>
      </c>
      <c r="E206" s="34">
        <v>408.226</v>
      </c>
      <c r="F206" s="36">
        <v>9.6000000000003596E-2</v>
      </c>
      <c r="G206" s="34">
        <v>9.6000000000003596E-2</v>
      </c>
      <c r="H206" s="35">
        <v>456.2</v>
      </c>
      <c r="I206" s="37">
        <f t="shared" si="3"/>
        <v>4.7817200356375454E-2</v>
      </c>
      <c r="J206" s="33"/>
    </row>
    <row r="207" spans="1:10">
      <c r="A207" s="33" t="s">
        <v>25</v>
      </c>
      <c r="B207" s="34">
        <v>408.322</v>
      </c>
      <c r="C207" s="35">
        <v>9540.5</v>
      </c>
      <c r="D207" s="33" t="s">
        <v>184</v>
      </c>
      <c r="E207" s="34">
        <v>408.23899999999998</v>
      </c>
      <c r="F207" s="36">
        <v>8.3000000000026802E-2</v>
      </c>
      <c r="G207" s="34">
        <v>8.3000000000026802E-2</v>
      </c>
      <c r="H207" s="35">
        <v>2183.4</v>
      </c>
      <c r="I207" s="37">
        <f t="shared" si="3"/>
        <v>0.22885592998270532</v>
      </c>
      <c r="J207" s="33"/>
    </row>
    <row r="208" spans="1:10">
      <c r="A208" s="33" t="s">
        <v>25</v>
      </c>
      <c r="B208" s="34">
        <v>408.322</v>
      </c>
      <c r="C208" s="35">
        <v>9540.5</v>
      </c>
      <c r="D208" s="33" t="s">
        <v>237</v>
      </c>
      <c r="E208" s="34">
        <v>408.245</v>
      </c>
      <c r="F208" s="36">
        <v>7.6999999999998195E-2</v>
      </c>
      <c r="G208" s="34">
        <v>7.6999999999998195E-2</v>
      </c>
      <c r="H208" s="35">
        <v>110</v>
      </c>
      <c r="I208" s="37">
        <f t="shared" si="3"/>
        <v>1.1529794035951994E-2</v>
      </c>
      <c r="J208" s="33"/>
    </row>
    <row r="209" spans="1:10">
      <c r="A209" s="33" t="s">
        <v>25</v>
      </c>
      <c r="B209" s="34">
        <v>408.322</v>
      </c>
      <c r="C209" s="35">
        <v>9540.5</v>
      </c>
      <c r="D209" s="33" t="s">
        <v>27</v>
      </c>
      <c r="E209" s="34">
        <v>408.25200000000001</v>
      </c>
      <c r="F209" s="36">
        <v>6.9999999999993207E-2</v>
      </c>
      <c r="G209" s="34">
        <v>6.9999999999993207E-2</v>
      </c>
      <c r="H209" s="35">
        <v>891.7</v>
      </c>
      <c r="I209" s="37">
        <f t="shared" si="3"/>
        <v>9.3464703107803582E-2</v>
      </c>
      <c r="J209" s="33" t="s">
        <v>116</v>
      </c>
    </row>
    <row r="210" spans="1:10">
      <c r="A210" s="33" t="s">
        <v>25</v>
      </c>
      <c r="B210" s="34">
        <v>408.322</v>
      </c>
      <c r="C210" s="35">
        <v>9540.5</v>
      </c>
      <c r="D210" s="33" t="s">
        <v>270</v>
      </c>
      <c r="E210" s="34">
        <v>408.25900000000001</v>
      </c>
      <c r="F210" s="36">
        <v>6.2999999999988204E-2</v>
      </c>
      <c r="G210" s="34">
        <v>6.2999999999988204E-2</v>
      </c>
      <c r="H210" s="35">
        <v>2545.5</v>
      </c>
      <c r="I210" s="37">
        <f t="shared" si="3"/>
        <v>0.26680991562287093</v>
      </c>
      <c r="J210" s="33"/>
    </row>
    <row r="211" spans="1:10">
      <c r="A211" s="33" t="s">
        <v>25</v>
      </c>
      <c r="B211" s="34">
        <v>408.322</v>
      </c>
      <c r="C211" s="35">
        <v>9540.5</v>
      </c>
      <c r="D211" s="33" t="s">
        <v>277</v>
      </c>
      <c r="E211" s="34">
        <v>408.26400000000001</v>
      </c>
      <c r="F211" s="36">
        <v>5.7999999999992703E-2</v>
      </c>
      <c r="G211" s="34">
        <v>5.7999999999992703E-2</v>
      </c>
      <c r="H211" s="35">
        <v>181.4</v>
      </c>
      <c r="I211" s="37">
        <f t="shared" si="3"/>
        <v>1.9013678528379017E-2</v>
      </c>
      <c r="J211" s="33"/>
    </row>
    <row r="212" spans="1:10">
      <c r="A212" s="33" t="s">
        <v>25</v>
      </c>
      <c r="B212" s="34">
        <v>408.322</v>
      </c>
      <c r="C212" s="35">
        <v>9540.5</v>
      </c>
      <c r="D212" s="33" t="s">
        <v>269</v>
      </c>
      <c r="E212" s="34">
        <v>408.26799999999997</v>
      </c>
      <c r="F212" s="36">
        <v>5.4000000000030503E-2</v>
      </c>
      <c r="G212" s="34">
        <v>5.4000000000030503E-2</v>
      </c>
      <c r="H212" s="35">
        <v>21.7</v>
      </c>
      <c r="I212" s="37">
        <f t="shared" si="3"/>
        <v>2.2745139143650751E-3</v>
      </c>
      <c r="J212" s="33"/>
    </row>
    <row r="213" spans="1:10">
      <c r="A213" s="33" t="s">
        <v>25</v>
      </c>
      <c r="B213" s="34">
        <v>408.322</v>
      </c>
      <c r="C213" s="35">
        <v>9540.5</v>
      </c>
      <c r="D213" s="33" t="s">
        <v>282</v>
      </c>
      <c r="E213" s="34">
        <v>408.27800000000002</v>
      </c>
      <c r="F213" s="36">
        <v>4.3999999999982699E-2</v>
      </c>
      <c r="G213" s="34">
        <v>4.3999999999982699E-2</v>
      </c>
      <c r="H213" s="35">
        <v>200.5</v>
      </c>
      <c r="I213" s="37">
        <f t="shared" si="3"/>
        <v>2.1015670038257953E-2</v>
      </c>
      <c r="J213" s="33"/>
    </row>
    <row r="214" spans="1:10">
      <c r="A214" s="33" t="s">
        <v>25</v>
      </c>
      <c r="B214" s="34">
        <v>408.322</v>
      </c>
      <c r="C214" s="35">
        <v>9540.5</v>
      </c>
      <c r="D214" s="33" t="s">
        <v>268</v>
      </c>
      <c r="E214" s="34">
        <v>408.279</v>
      </c>
      <c r="F214" s="36">
        <v>4.3000000000006401E-2</v>
      </c>
      <c r="G214" s="34">
        <v>4.3000000000006401E-2</v>
      </c>
      <c r="H214" s="35">
        <v>8.4</v>
      </c>
      <c r="I214" s="37">
        <f t="shared" si="3"/>
        <v>8.8045699910906138E-4</v>
      </c>
      <c r="J214" s="33"/>
    </row>
    <row r="215" spans="1:10">
      <c r="A215" s="33" t="s">
        <v>25</v>
      </c>
      <c r="B215" s="34">
        <v>408.322</v>
      </c>
      <c r="C215" s="35">
        <v>9540.5</v>
      </c>
      <c r="D215" s="33" t="s">
        <v>240</v>
      </c>
      <c r="E215" s="34">
        <v>408.29399999999998</v>
      </c>
      <c r="F215" s="36">
        <v>2.8000000000019998E-2</v>
      </c>
      <c r="G215" s="34">
        <v>2.8000000000019998E-2</v>
      </c>
      <c r="H215" s="35">
        <v>444.8</v>
      </c>
      <c r="I215" s="37">
        <f t="shared" si="3"/>
        <v>4.6622294429013153E-2</v>
      </c>
      <c r="J215" s="33"/>
    </row>
    <row r="216" spans="1:10">
      <c r="A216" s="33" t="s">
        <v>25</v>
      </c>
      <c r="B216" s="34">
        <v>408.322</v>
      </c>
      <c r="C216" s="35">
        <v>9540.5</v>
      </c>
      <c r="D216" s="33" t="s">
        <v>274</v>
      </c>
      <c r="E216" s="34">
        <v>408.29599999999999</v>
      </c>
      <c r="F216" s="36">
        <v>2.6000000000010501E-2</v>
      </c>
      <c r="G216" s="34">
        <v>2.6000000000010501E-2</v>
      </c>
      <c r="H216" s="35">
        <v>18.100000000000001</v>
      </c>
      <c r="I216" s="37">
        <f t="shared" si="3"/>
        <v>1.897175200461192E-3</v>
      </c>
      <c r="J216" s="33"/>
    </row>
    <row r="217" spans="1:10">
      <c r="A217" s="33" t="s">
        <v>25</v>
      </c>
      <c r="B217" s="34">
        <v>408.322</v>
      </c>
      <c r="C217" s="35">
        <v>9540.5</v>
      </c>
      <c r="D217" s="33" t="s">
        <v>236</v>
      </c>
      <c r="E217" s="34">
        <v>408.30700000000002</v>
      </c>
      <c r="F217" s="36">
        <v>1.4999999999986399E-2</v>
      </c>
      <c r="G217" s="34">
        <v>1.4999999999986399E-2</v>
      </c>
      <c r="H217" s="35">
        <v>36.700000000000003</v>
      </c>
      <c r="I217" s="37">
        <f t="shared" si="3"/>
        <v>3.8467585556312563E-3</v>
      </c>
      <c r="J217" s="33"/>
    </row>
    <row r="218" spans="1:10">
      <c r="A218" s="33" t="s">
        <v>25</v>
      </c>
      <c r="B218" s="34">
        <v>408.322</v>
      </c>
      <c r="C218" s="35">
        <v>9540.5</v>
      </c>
      <c r="D218" s="33" t="s">
        <v>173</v>
      </c>
      <c r="E218" s="34">
        <v>408.334</v>
      </c>
      <c r="F218" s="36">
        <v>1.20000000000005E-2</v>
      </c>
      <c r="G218" s="34">
        <v>1.20000000000005E-2</v>
      </c>
      <c r="H218" s="35">
        <v>3402.3</v>
      </c>
      <c r="I218" s="37">
        <f t="shared" si="3"/>
        <v>0.35661652953199519</v>
      </c>
      <c r="J218" s="33"/>
    </row>
    <row r="219" spans="1:10">
      <c r="A219" s="33" t="s">
        <v>25</v>
      </c>
      <c r="B219" s="34">
        <v>408.322</v>
      </c>
      <c r="C219" s="35">
        <v>9540.5</v>
      </c>
      <c r="D219" s="33" t="s">
        <v>269</v>
      </c>
      <c r="E219" s="34">
        <v>408.33499999999998</v>
      </c>
      <c r="F219" s="36">
        <v>1.2999999999976799E-2</v>
      </c>
      <c r="G219" s="34">
        <v>1.2999999999976799E-2</v>
      </c>
      <c r="H219" s="35">
        <v>74</v>
      </c>
      <c r="I219" s="37">
        <f t="shared" si="3"/>
        <v>7.7564068969131596E-3</v>
      </c>
      <c r="J219" s="33"/>
    </row>
    <row r="220" spans="1:10">
      <c r="A220" s="33" t="s">
        <v>25</v>
      </c>
      <c r="B220" s="34">
        <v>408.322</v>
      </c>
      <c r="C220" s="35">
        <v>9540.5</v>
      </c>
      <c r="D220" s="33" t="s">
        <v>271</v>
      </c>
      <c r="E220" s="34">
        <v>408.34699999999998</v>
      </c>
      <c r="F220" s="36">
        <v>2.4999999999977301E-2</v>
      </c>
      <c r="G220" s="34">
        <v>2.4999999999977301E-2</v>
      </c>
      <c r="H220" s="35">
        <v>103.1</v>
      </c>
      <c r="I220" s="37">
        <f t="shared" si="3"/>
        <v>1.080656150096955E-2</v>
      </c>
      <c r="J220" s="33"/>
    </row>
    <row r="221" spans="1:10">
      <c r="A221" s="33" t="s">
        <v>25</v>
      </c>
      <c r="B221" s="34">
        <v>408.322</v>
      </c>
      <c r="C221" s="35">
        <v>9540.5</v>
      </c>
      <c r="D221" s="33" t="s">
        <v>270</v>
      </c>
      <c r="E221" s="34">
        <v>408.358</v>
      </c>
      <c r="F221" s="36">
        <v>3.6000000000001399E-2</v>
      </c>
      <c r="G221" s="34">
        <v>3.6000000000001399E-2</v>
      </c>
      <c r="H221" s="35">
        <v>1514.2</v>
      </c>
      <c r="I221" s="37">
        <f t="shared" si="3"/>
        <v>0.1587128557203501</v>
      </c>
      <c r="J221" s="33"/>
    </row>
    <row r="222" spans="1:10">
      <c r="A222" s="33" t="s">
        <v>25</v>
      </c>
      <c r="B222" s="34">
        <v>408.322</v>
      </c>
      <c r="C222" s="35">
        <v>9540.5</v>
      </c>
      <c r="D222" s="33" t="s">
        <v>25</v>
      </c>
      <c r="E222" s="34">
        <v>408.363</v>
      </c>
      <c r="F222" s="36">
        <v>4.0999999999996803E-2</v>
      </c>
      <c r="G222" s="34">
        <v>4.0999999999996803E-2</v>
      </c>
      <c r="H222" s="35">
        <v>2121</v>
      </c>
      <c r="I222" s="37">
        <f t="shared" si="3"/>
        <v>0.22231539227503799</v>
      </c>
      <c r="J222" s="33" t="s">
        <v>116</v>
      </c>
    </row>
    <row r="223" spans="1:10">
      <c r="A223" s="33" t="s">
        <v>25</v>
      </c>
      <c r="B223" s="34">
        <v>408.322</v>
      </c>
      <c r="C223" s="35">
        <v>9540.5</v>
      </c>
      <c r="D223" s="33" t="s">
        <v>240</v>
      </c>
      <c r="E223" s="34">
        <v>408.363</v>
      </c>
      <c r="F223" s="36">
        <v>4.0999999999996803E-2</v>
      </c>
      <c r="G223" s="34">
        <v>4.0999999999996803E-2</v>
      </c>
      <c r="H223" s="35">
        <v>490.1</v>
      </c>
      <c r="I223" s="37">
        <f t="shared" si="3"/>
        <v>5.1370473245637024E-2</v>
      </c>
      <c r="J223" s="33"/>
    </row>
    <row r="224" spans="1:10">
      <c r="A224" s="33" t="s">
        <v>25</v>
      </c>
      <c r="B224" s="34">
        <v>408.322</v>
      </c>
      <c r="C224" s="35">
        <v>9540.5</v>
      </c>
      <c r="D224" s="33" t="s">
        <v>116</v>
      </c>
      <c r="E224" s="34">
        <v>408.37</v>
      </c>
      <c r="F224" s="36">
        <v>4.8000000000000001E-2</v>
      </c>
      <c r="G224" s="34">
        <v>4.8000000000000001E-2</v>
      </c>
      <c r="H224" s="35">
        <v>0.4</v>
      </c>
      <c r="I224" s="37">
        <f t="shared" si="3"/>
        <v>4.1926523767098166E-5</v>
      </c>
      <c r="J224" s="33" t="s">
        <v>116</v>
      </c>
    </row>
    <row r="225" spans="1:10">
      <c r="A225" s="33" t="s">
        <v>25</v>
      </c>
      <c r="B225" s="34">
        <v>408.322</v>
      </c>
      <c r="C225" s="35">
        <v>9540.5</v>
      </c>
      <c r="D225" s="33" t="s">
        <v>97</v>
      </c>
      <c r="E225" s="34">
        <v>408.37599999999998</v>
      </c>
      <c r="F225" s="36">
        <v>5.3999999999973597E-2</v>
      </c>
      <c r="G225" s="34">
        <v>5.3999999999973597E-2</v>
      </c>
      <c r="H225" s="35">
        <v>17</v>
      </c>
      <c r="I225" s="37">
        <f t="shared" si="3"/>
        <v>1.7818772601016718E-3</v>
      </c>
      <c r="J225" s="33"/>
    </row>
    <row r="226" spans="1:10">
      <c r="A226" s="33" t="s">
        <v>25</v>
      </c>
      <c r="B226" s="34">
        <v>408.322</v>
      </c>
      <c r="C226" s="35">
        <v>9540.5</v>
      </c>
      <c r="D226" s="33" t="s">
        <v>287</v>
      </c>
      <c r="E226" s="34">
        <v>408.40499999999997</v>
      </c>
      <c r="F226" s="36">
        <v>8.2999999999970001E-2</v>
      </c>
      <c r="G226" s="34">
        <v>8.2999999999970001E-2</v>
      </c>
      <c r="H226" s="35">
        <v>564</v>
      </c>
      <c r="I226" s="37">
        <f t="shared" si="3"/>
        <v>5.9116398511608409E-2</v>
      </c>
      <c r="J226" s="33"/>
    </row>
    <row r="227" spans="1:10">
      <c r="A227" s="33" t="s">
        <v>25</v>
      </c>
      <c r="B227" s="34">
        <v>408.322</v>
      </c>
      <c r="C227" s="35">
        <v>9540.5</v>
      </c>
      <c r="D227" s="33" t="s">
        <v>276</v>
      </c>
      <c r="E227" s="34">
        <v>408.41</v>
      </c>
      <c r="F227" s="36">
        <v>8.8000000000022296E-2</v>
      </c>
      <c r="G227" s="34">
        <v>8.8000000000022296E-2</v>
      </c>
      <c r="H227" s="35">
        <v>17.7</v>
      </c>
      <c r="I227" s="37">
        <f t="shared" si="3"/>
        <v>1.8552486766940934E-3</v>
      </c>
      <c r="J227" s="33"/>
    </row>
    <row r="228" spans="1:10">
      <c r="A228" s="33" t="s">
        <v>25</v>
      </c>
      <c r="B228" s="34">
        <v>408.322</v>
      </c>
      <c r="C228" s="35">
        <v>9540.5</v>
      </c>
      <c r="D228" s="33" t="s">
        <v>54</v>
      </c>
      <c r="E228" s="34">
        <v>408.411</v>
      </c>
      <c r="F228" s="36">
        <v>8.8999999999998594E-2</v>
      </c>
      <c r="G228" s="34">
        <v>8.8999999999998594E-2</v>
      </c>
      <c r="H228" s="35">
        <v>1.5</v>
      </c>
      <c r="I228" s="37">
        <f t="shared" si="3"/>
        <v>1.572244641266181E-4</v>
      </c>
      <c r="J228" s="33"/>
    </row>
    <row r="229" spans="1:10">
      <c r="A229" s="33" t="s">
        <v>25</v>
      </c>
      <c r="B229" s="34">
        <v>408.322</v>
      </c>
      <c r="C229" s="35">
        <v>9540.5</v>
      </c>
      <c r="D229" s="33" t="s">
        <v>236</v>
      </c>
      <c r="E229" s="34">
        <v>408.42500000000001</v>
      </c>
      <c r="F229" s="36">
        <v>0.103000000000009</v>
      </c>
      <c r="G229" s="34">
        <v>0.103000000000009</v>
      </c>
      <c r="H229" s="35">
        <v>64.5</v>
      </c>
      <c r="I229" s="37">
        <f t="shared" si="3"/>
        <v>6.7606519574445779E-3</v>
      </c>
      <c r="J229" s="33"/>
    </row>
    <row r="230" spans="1:10">
      <c r="A230" s="33" t="s">
        <v>25</v>
      </c>
      <c r="B230" s="34">
        <v>408.322</v>
      </c>
      <c r="C230" s="35">
        <v>9540.5</v>
      </c>
      <c r="D230" s="33" t="s">
        <v>282</v>
      </c>
      <c r="E230" s="34">
        <v>408.428</v>
      </c>
      <c r="F230" s="36">
        <v>0.105999999999995</v>
      </c>
      <c r="G230" s="34">
        <v>0.105999999999995</v>
      </c>
      <c r="H230" s="35">
        <v>3.5</v>
      </c>
      <c r="I230" s="37">
        <f t="shared" si="3"/>
        <v>3.6685708296210892E-4</v>
      </c>
      <c r="J230" s="33"/>
    </row>
    <row r="231" spans="1:10">
      <c r="A231" s="33" t="s">
        <v>25</v>
      </c>
      <c r="B231" s="34">
        <v>408.322</v>
      </c>
      <c r="C231" s="35">
        <v>9540.5</v>
      </c>
      <c r="D231" s="33" t="s">
        <v>275</v>
      </c>
      <c r="E231" s="34">
        <v>408.43700000000001</v>
      </c>
      <c r="F231" s="36">
        <v>0.115000000000009</v>
      </c>
      <c r="G231" s="34">
        <v>0.115000000000009</v>
      </c>
      <c r="H231" s="35">
        <v>142.80000000000001</v>
      </c>
      <c r="I231" s="37">
        <f t="shared" si="3"/>
        <v>1.4967768984854045E-2</v>
      </c>
      <c r="J231" s="33"/>
    </row>
    <row r="232" spans="1:10">
      <c r="A232" s="33" t="s">
        <v>25</v>
      </c>
      <c r="B232" s="34">
        <v>408.322</v>
      </c>
      <c r="C232" s="35">
        <v>9540.5</v>
      </c>
      <c r="D232" s="33" t="s">
        <v>270</v>
      </c>
      <c r="E232" s="34">
        <v>408.43700000000001</v>
      </c>
      <c r="F232" s="36">
        <v>0.115000000000009</v>
      </c>
      <c r="G232" s="34">
        <v>0.115000000000009</v>
      </c>
      <c r="H232" s="35">
        <v>1195.8</v>
      </c>
      <c r="I232" s="37">
        <f t="shared" si="3"/>
        <v>0.12533934280173994</v>
      </c>
      <c r="J232" s="33"/>
    </row>
    <row r="233" spans="1:10">
      <c r="A233" s="33" t="s">
        <v>25</v>
      </c>
      <c r="B233" s="34">
        <v>408.322</v>
      </c>
      <c r="C233" s="35">
        <v>9540.5</v>
      </c>
      <c r="D233" s="33" t="s">
        <v>97</v>
      </c>
      <c r="E233" s="34">
        <v>408.44900000000001</v>
      </c>
      <c r="F233" s="36">
        <v>0.12700000000000999</v>
      </c>
      <c r="G233" s="34">
        <v>0.12700000000000999</v>
      </c>
      <c r="H233" s="35">
        <v>13.6</v>
      </c>
      <c r="I233" s="37">
        <f t="shared" si="3"/>
        <v>1.4255018080813373E-3</v>
      </c>
      <c r="J233" s="33"/>
    </row>
    <row r="234" spans="1:10">
      <c r="A234" s="33" t="s">
        <v>25</v>
      </c>
      <c r="B234" s="34">
        <v>408.322</v>
      </c>
      <c r="C234" s="35">
        <v>9540.5</v>
      </c>
      <c r="D234" s="33" t="s">
        <v>25</v>
      </c>
      <c r="E234" s="34">
        <v>408.464</v>
      </c>
      <c r="F234" s="36">
        <v>0.14199999999999599</v>
      </c>
      <c r="G234" s="34">
        <v>0.14199999999999599</v>
      </c>
      <c r="H234" s="35">
        <v>144.9</v>
      </c>
      <c r="I234" s="37">
        <f t="shared" si="3"/>
        <v>1.5187883234631308E-2</v>
      </c>
      <c r="J234" s="33" t="s">
        <v>116</v>
      </c>
    </row>
    <row r="235" spans="1:10">
      <c r="A235" s="33" t="s">
        <v>25</v>
      </c>
      <c r="B235" s="34">
        <v>408.322</v>
      </c>
      <c r="C235" s="35">
        <v>9540.5</v>
      </c>
      <c r="D235" s="33" t="s">
        <v>36</v>
      </c>
      <c r="E235" s="34">
        <v>408.46600000000001</v>
      </c>
      <c r="F235" s="36">
        <v>0.14399999999999999</v>
      </c>
      <c r="G235" s="34">
        <v>0.14399999999999999</v>
      </c>
      <c r="H235" s="35">
        <v>453.1</v>
      </c>
      <c r="I235" s="37">
        <f t="shared" si="3"/>
        <v>4.7492269797180443E-2</v>
      </c>
      <c r="J235" s="33" t="s">
        <v>116</v>
      </c>
    </row>
    <row r="236" spans="1:10">
      <c r="A236" s="33" t="s">
        <v>25</v>
      </c>
      <c r="B236" s="34">
        <v>408.322</v>
      </c>
      <c r="C236" s="35">
        <v>9540.5</v>
      </c>
      <c r="D236" s="33" t="s">
        <v>273</v>
      </c>
      <c r="E236" s="34">
        <v>408.48599999999999</v>
      </c>
      <c r="F236" s="36">
        <v>0.16399999999998699</v>
      </c>
      <c r="G236" s="34">
        <v>0.16399999999998699</v>
      </c>
      <c r="H236" s="35">
        <v>121.9</v>
      </c>
      <c r="I236" s="37">
        <f t="shared" si="3"/>
        <v>1.2777108118023165E-2</v>
      </c>
      <c r="J236" s="33"/>
    </row>
    <row r="237" spans="1:10">
      <c r="A237" s="33" t="s">
        <v>25</v>
      </c>
      <c r="B237" s="34">
        <v>408.322</v>
      </c>
      <c r="C237" s="35">
        <v>9540.5</v>
      </c>
      <c r="D237" s="33" t="s">
        <v>277</v>
      </c>
      <c r="E237" s="34">
        <v>408.49299999999999</v>
      </c>
      <c r="F237" s="36">
        <v>0.17099999999999199</v>
      </c>
      <c r="G237" s="34">
        <v>0.17099999999999199</v>
      </c>
      <c r="H237" s="35">
        <v>266.3</v>
      </c>
      <c r="I237" s="37">
        <f t="shared" si="3"/>
        <v>2.7912583197945602E-2</v>
      </c>
      <c r="J237" s="33"/>
    </row>
    <row r="238" spans="1:10">
      <c r="A238" s="33" t="s">
        <v>25</v>
      </c>
      <c r="B238" s="34">
        <v>413.38</v>
      </c>
      <c r="C238" s="35">
        <v>9654</v>
      </c>
      <c r="D238" s="33" t="s">
        <v>274</v>
      </c>
      <c r="E238" s="34">
        <v>413.221</v>
      </c>
      <c r="F238" s="36">
        <v>0.15899999999999201</v>
      </c>
      <c r="G238" s="34">
        <v>0.15899999999999201</v>
      </c>
      <c r="H238" s="35">
        <v>28</v>
      </c>
      <c r="I238" s="37">
        <f t="shared" si="3"/>
        <v>2.90035218562254E-3</v>
      </c>
      <c r="J238" s="33"/>
    </row>
    <row r="239" spans="1:10">
      <c r="A239" s="33" t="s">
        <v>25</v>
      </c>
      <c r="B239" s="34">
        <v>413.38</v>
      </c>
      <c r="C239" s="35">
        <v>9654</v>
      </c>
      <c r="D239" s="33" t="s">
        <v>36</v>
      </c>
      <c r="E239" s="34">
        <v>413.226</v>
      </c>
      <c r="F239" s="36">
        <v>0.154</v>
      </c>
      <c r="G239" s="34">
        <v>0.154</v>
      </c>
      <c r="H239" s="35">
        <v>4752.1000000000004</v>
      </c>
      <c r="I239" s="37">
        <f t="shared" si="3"/>
        <v>0.49224155790345975</v>
      </c>
      <c r="J239" s="33" t="s">
        <v>116</v>
      </c>
    </row>
    <row r="240" spans="1:10">
      <c r="A240" s="33" t="s">
        <v>25</v>
      </c>
      <c r="B240" s="34">
        <v>413.38</v>
      </c>
      <c r="C240" s="35">
        <v>9654</v>
      </c>
      <c r="D240" s="33" t="s">
        <v>25</v>
      </c>
      <c r="E240" s="34">
        <v>413.23099999999999</v>
      </c>
      <c r="F240" s="36">
        <v>0.14900000000000099</v>
      </c>
      <c r="G240" s="34">
        <v>0.14900000000000099</v>
      </c>
      <c r="H240" s="35">
        <v>510.7</v>
      </c>
      <c r="I240" s="37">
        <f t="shared" si="3"/>
        <v>5.2900352185622536E-2</v>
      </c>
      <c r="J240" s="33" t="s">
        <v>116</v>
      </c>
    </row>
    <row r="241" spans="1:10">
      <c r="A241" s="33" t="s">
        <v>25</v>
      </c>
      <c r="B241" s="34">
        <v>413.38</v>
      </c>
      <c r="C241" s="35">
        <v>9654</v>
      </c>
      <c r="D241" s="33" t="s">
        <v>288</v>
      </c>
      <c r="E241" s="34">
        <v>413.24200000000002</v>
      </c>
      <c r="F241" s="36">
        <v>0.137999999999977</v>
      </c>
      <c r="G241" s="34">
        <v>0.137999999999977</v>
      </c>
      <c r="H241" s="35">
        <v>16.3</v>
      </c>
      <c r="I241" s="37">
        <f t="shared" si="3"/>
        <v>1.6884193080588359E-3</v>
      </c>
      <c r="J241" s="33"/>
    </row>
    <row r="242" spans="1:10">
      <c r="A242" s="33" t="s">
        <v>25</v>
      </c>
      <c r="B242" s="34">
        <v>413.38</v>
      </c>
      <c r="C242" s="35">
        <v>9654</v>
      </c>
      <c r="D242" s="33" t="s">
        <v>27</v>
      </c>
      <c r="E242" s="34">
        <v>413.255</v>
      </c>
      <c r="F242" s="36">
        <v>0.125</v>
      </c>
      <c r="G242" s="34">
        <v>0.125</v>
      </c>
      <c r="H242" s="35">
        <v>498.5</v>
      </c>
      <c r="I242" s="37">
        <f t="shared" si="3"/>
        <v>5.1636627304744151E-2</v>
      </c>
      <c r="J242" s="33" t="s">
        <v>116</v>
      </c>
    </row>
    <row r="243" spans="1:10">
      <c r="A243" s="33" t="s">
        <v>25</v>
      </c>
      <c r="B243" s="34">
        <v>413.38</v>
      </c>
      <c r="C243" s="35">
        <v>9654</v>
      </c>
      <c r="D243" s="33" t="s">
        <v>289</v>
      </c>
      <c r="E243" s="34">
        <v>413.262</v>
      </c>
      <c r="F243" s="36">
        <v>0.117999999999995</v>
      </c>
      <c r="G243" s="34">
        <v>0.117999999999995</v>
      </c>
      <c r="H243" s="35">
        <v>143.5</v>
      </c>
      <c r="I243" s="37">
        <f t="shared" si="3"/>
        <v>1.4864304951315518E-2</v>
      </c>
      <c r="J243" s="33"/>
    </row>
    <row r="244" spans="1:10">
      <c r="A244" s="33" t="s">
        <v>25</v>
      </c>
      <c r="B244" s="34">
        <v>413.38</v>
      </c>
      <c r="C244" s="35">
        <v>9654</v>
      </c>
      <c r="D244" s="33" t="s">
        <v>25</v>
      </c>
      <c r="E244" s="34">
        <v>413.26299999999998</v>
      </c>
      <c r="F244" s="36">
        <v>0.11700000000001901</v>
      </c>
      <c r="G244" s="34">
        <v>0.11700000000001901</v>
      </c>
      <c r="H244" s="35">
        <v>392</v>
      </c>
      <c r="I244" s="37">
        <f t="shared" si="3"/>
        <v>4.0604930598715561E-2</v>
      </c>
      <c r="J244" s="33" t="s">
        <v>116</v>
      </c>
    </row>
    <row r="245" spans="1:10">
      <c r="A245" s="33" t="s">
        <v>25</v>
      </c>
      <c r="B245" s="34">
        <v>413.38</v>
      </c>
      <c r="C245" s="35">
        <v>9654</v>
      </c>
      <c r="D245" s="33" t="s">
        <v>271</v>
      </c>
      <c r="E245" s="34">
        <v>413.27499999999998</v>
      </c>
      <c r="F245" s="36">
        <v>0.105000000000018</v>
      </c>
      <c r="G245" s="34">
        <v>0.105000000000018</v>
      </c>
      <c r="H245" s="35">
        <v>1367.5</v>
      </c>
      <c r="I245" s="37">
        <f t="shared" si="3"/>
        <v>0.14165112906567226</v>
      </c>
      <c r="J245" s="33"/>
    </row>
    <row r="246" spans="1:10">
      <c r="A246" s="33" t="s">
        <v>25</v>
      </c>
      <c r="B246" s="34">
        <v>413.38</v>
      </c>
      <c r="C246" s="35">
        <v>9654</v>
      </c>
      <c r="D246" s="33" t="s">
        <v>33</v>
      </c>
      <c r="E246" s="34">
        <v>413.28399999999999</v>
      </c>
      <c r="F246" s="36">
        <v>9.6000000000003596E-2</v>
      </c>
      <c r="G246" s="34">
        <v>9.6000000000003596E-2</v>
      </c>
      <c r="H246" s="35">
        <v>141.19999999999999</v>
      </c>
      <c r="I246" s="37">
        <f t="shared" si="3"/>
        <v>1.4626061736067951E-2</v>
      </c>
      <c r="J246" s="33" t="s">
        <v>116</v>
      </c>
    </row>
    <row r="247" spans="1:10">
      <c r="A247" s="33" t="s">
        <v>25</v>
      </c>
      <c r="B247" s="34">
        <v>413.38</v>
      </c>
      <c r="C247" s="35">
        <v>9654</v>
      </c>
      <c r="D247" s="33" t="s">
        <v>184</v>
      </c>
      <c r="E247" s="34">
        <v>413.298</v>
      </c>
      <c r="F247" s="36">
        <v>8.1999999999993606E-2</v>
      </c>
      <c r="G247" s="34">
        <v>8.1999999999993606E-2</v>
      </c>
      <c r="H247" s="35">
        <v>170.1</v>
      </c>
      <c r="I247" s="37">
        <f t="shared" si="3"/>
        <v>1.7619639527656928E-2</v>
      </c>
      <c r="J247" s="33"/>
    </row>
    <row r="248" spans="1:10">
      <c r="A248" s="33" t="s">
        <v>25</v>
      </c>
      <c r="B248" s="34">
        <v>413.38</v>
      </c>
      <c r="C248" s="35">
        <v>9654</v>
      </c>
      <c r="D248" s="33" t="s">
        <v>270</v>
      </c>
      <c r="E248" s="34">
        <v>413.31700000000001</v>
      </c>
      <c r="F248" s="36">
        <v>6.2999999999988204E-2</v>
      </c>
      <c r="G248" s="34">
        <v>6.2999999999988204E-2</v>
      </c>
      <c r="H248" s="35">
        <v>342.5</v>
      </c>
      <c r="I248" s="37">
        <f t="shared" si="3"/>
        <v>3.5477522270561425E-2</v>
      </c>
      <c r="J248" s="33"/>
    </row>
    <row r="249" spans="1:10">
      <c r="A249" s="33" t="s">
        <v>25</v>
      </c>
      <c r="B249" s="34">
        <v>413.38</v>
      </c>
      <c r="C249" s="35">
        <v>9654</v>
      </c>
      <c r="D249" s="33" t="s">
        <v>277</v>
      </c>
      <c r="E249" s="34">
        <v>413.32</v>
      </c>
      <c r="F249" s="36">
        <v>6.0000000000002301E-2</v>
      </c>
      <c r="G249" s="34">
        <v>6.0000000000002301E-2</v>
      </c>
      <c r="H249" s="35">
        <v>142.6</v>
      </c>
      <c r="I249" s="37">
        <f t="shared" si="3"/>
        <v>1.4771079345349077E-2</v>
      </c>
      <c r="J249" s="33"/>
    </row>
    <row r="250" spans="1:10">
      <c r="A250" s="33" t="s">
        <v>25</v>
      </c>
      <c r="B250" s="34">
        <v>413.38</v>
      </c>
      <c r="C250" s="35">
        <v>9654</v>
      </c>
      <c r="D250" s="33" t="s">
        <v>33</v>
      </c>
      <c r="E250" s="34">
        <v>413.33499999999998</v>
      </c>
      <c r="F250" s="36">
        <v>4.5000000000015902E-2</v>
      </c>
      <c r="G250" s="34">
        <v>4.5000000000015902E-2</v>
      </c>
      <c r="H250" s="35">
        <v>464.7</v>
      </c>
      <c r="I250" s="37">
        <f t="shared" si="3"/>
        <v>4.8135487880671221E-2</v>
      </c>
      <c r="J250" s="33" t="s">
        <v>116</v>
      </c>
    </row>
    <row r="251" spans="1:10">
      <c r="A251" s="33" t="s">
        <v>25</v>
      </c>
      <c r="B251" s="34">
        <v>413.38</v>
      </c>
      <c r="C251" s="35">
        <v>9654</v>
      </c>
      <c r="D251" s="33" t="s">
        <v>27</v>
      </c>
      <c r="E251" s="34">
        <v>413.33499999999998</v>
      </c>
      <c r="F251" s="36">
        <v>4.5000000000015902E-2</v>
      </c>
      <c r="G251" s="34">
        <v>4.5000000000015902E-2</v>
      </c>
      <c r="H251" s="35">
        <v>1853.2</v>
      </c>
      <c r="I251" s="37">
        <f t="shared" si="3"/>
        <v>0.19196188108556039</v>
      </c>
      <c r="J251" s="33" t="s">
        <v>116</v>
      </c>
    </row>
    <row r="252" spans="1:10">
      <c r="A252" s="33" t="s">
        <v>25</v>
      </c>
      <c r="B252" s="34">
        <v>413.38</v>
      </c>
      <c r="C252" s="35">
        <v>9654</v>
      </c>
      <c r="D252" s="33" t="s">
        <v>279</v>
      </c>
      <c r="E252" s="34">
        <v>413.34300000000002</v>
      </c>
      <c r="F252" s="36">
        <v>3.6999999999977697E-2</v>
      </c>
      <c r="G252" s="34">
        <v>3.6999999999977697E-2</v>
      </c>
      <c r="H252" s="35">
        <v>10.3</v>
      </c>
      <c r="I252" s="37">
        <f t="shared" si="3"/>
        <v>1.0669152682825772E-3</v>
      </c>
      <c r="J252" s="33"/>
    </row>
    <row r="253" spans="1:10">
      <c r="A253" s="33" t="s">
        <v>25</v>
      </c>
      <c r="B253" s="34">
        <v>413.38</v>
      </c>
      <c r="C253" s="35">
        <v>9654</v>
      </c>
      <c r="D253" s="33" t="s">
        <v>274</v>
      </c>
      <c r="E253" s="34">
        <v>413.34800000000001</v>
      </c>
      <c r="F253" s="36">
        <v>3.19999999999823E-2</v>
      </c>
      <c r="G253" s="34">
        <v>3.19999999999823E-2</v>
      </c>
      <c r="H253" s="35">
        <v>3.9</v>
      </c>
      <c r="I253" s="37">
        <f t="shared" si="3"/>
        <v>4.0397762585456807E-4</v>
      </c>
      <c r="J253" s="33"/>
    </row>
    <row r="254" spans="1:10">
      <c r="A254" s="33" t="s">
        <v>25</v>
      </c>
      <c r="B254" s="34">
        <v>413.38</v>
      </c>
      <c r="C254" s="35">
        <v>9654</v>
      </c>
      <c r="D254" s="33" t="s">
        <v>277</v>
      </c>
      <c r="E254" s="34">
        <v>413.34899999999999</v>
      </c>
      <c r="F254" s="36">
        <v>3.1000000000005901E-2</v>
      </c>
      <c r="G254" s="34">
        <v>3.1000000000005901E-2</v>
      </c>
      <c r="H254" s="35">
        <v>56.6</v>
      </c>
      <c r="I254" s="37">
        <f t="shared" si="3"/>
        <v>5.8628547752227061E-3</v>
      </c>
      <c r="J254" s="33"/>
    </row>
    <row r="255" spans="1:10">
      <c r="A255" s="33" t="s">
        <v>25</v>
      </c>
      <c r="B255" s="34">
        <v>413.38</v>
      </c>
      <c r="C255" s="35">
        <v>9654</v>
      </c>
      <c r="D255" s="33" t="s">
        <v>36</v>
      </c>
      <c r="E255" s="34">
        <v>413.36</v>
      </c>
      <c r="F255" s="36">
        <v>0.02</v>
      </c>
      <c r="G255" s="34">
        <v>0.02</v>
      </c>
      <c r="H255" s="35">
        <v>30.6</v>
      </c>
      <c r="I255" s="37">
        <f t="shared" si="3"/>
        <v>3.1696706028589189E-3</v>
      </c>
      <c r="J255" s="33" t="s">
        <v>116</v>
      </c>
    </row>
    <row r="256" spans="1:10">
      <c r="A256" s="33" t="s">
        <v>25</v>
      </c>
      <c r="B256" s="34">
        <v>413.38</v>
      </c>
      <c r="C256" s="35">
        <v>9654</v>
      </c>
      <c r="D256" s="33" t="s">
        <v>173</v>
      </c>
      <c r="E256" s="34">
        <v>413.36099999999999</v>
      </c>
      <c r="F256" s="36">
        <v>1.9000000000005499E-2</v>
      </c>
      <c r="G256" s="34">
        <v>1.9000000000005499E-2</v>
      </c>
      <c r="H256" s="35">
        <v>1134.7</v>
      </c>
      <c r="I256" s="37">
        <f t="shared" si="3"/>
        <v>0.11753677232235343</v>
      </c>
      <c r="J256" s="33"/>
    </row>
    <row r="257" spans="1:10">
      <c r="A257" s="33" t="s">
        <v>25</v>
      </c>
      <c r="B257" s="34">
        <v>413.38</v>
      </c>
      <c r="C257" s="35">
        <v>9654</v>
      </c>
      <c r="D257" s="33" t="s">
        <v>271</v>
      </c>
      <c r="E257" s="34">
        <v>413.411</v>
      </c>
      <c r="F257" s="36">
        <v>3.1000000000005901E-2</v>
      </c>
      <c r="G257" s="34">
        <v>3.1000000000005901E-2</v>
      </c>
      <c r="H257" s="35">
        <v>510.7</v>
      </c>
      <c r="I257" s="37">
        <f t="shared" si="3"/>
        <v>5.2900352185622536E-2</v>
      </c>
      <c r="J257" s="33"/>
    </row>
    <row r="258" spans="1:10">
      <c r="A258" s="33" t="s">
        <v>25</v>
      </c>
      <c r="B258" s="34">
        <v>413.38</v>
      </c>
      <c r="C258" s="35">
        <v>9654</v>
      </c>
      <c r="D258" s="33" t="s">
        <v>36</v>
      </c>
      <c r="E258" s="34">
        <v>413.416</v>
      </c>
      <c r="F258" s="36">
        <v>3.5999999999999997E-2</v>
      </c>
      <c r="G258" s="34">
        <v>3.5999999999999997E-2</v>
      </c>
      <c r="H258" s="35">
        <v>1</v>
      </c>
      <c r="I258" s="37">
        <f t="shared" ref="I258:I321" si="4">H258/C258</f>
        <v>1.0358400662937643E-4</v>
      </c>
      <c r="J258" s="33" t="s">
        <v>116</v>
      </c>
    </row>
    <row r="259" spans="1:10">
      <c r="A259" s="33" t="s">
        <v>25</v>
      </c>
      <c r="B259" s="34">
        <v>413.38</v>
      </c>
      <c r="C259" s="35">
        <v>9654</v>
      </c>
      <c r="D259" s="33" t="s">
        <v>239</v>
      </c>
      <c r="E259" s="34">
        <v>413.43900000000002</v>
      </c>
      <c r="F259" s="36">
        <v>5.90000000000259E-2</v>
      </c>
      <c r="G259" s="34">
        <v>5.90000000000259E-2</v>
      </c>
      <c r="H259" s="35">
        <v>2</v>
      </c>
      <c r="I259" s="37">
        <f t="shared" si="4"/>
        <v>2.0716801325875285E-4</v>
      </c>
      <c r="J259" s="33"/>
    </row>
    <row r="260" spans="1:10">
      <c r="A260" s="33" t="s">
        <v>25</v>
      </c>
      <c r="B260" s="34">
        <v>413.38</v>
      </c>
      <c r="C260" s="35">
        <v>9654</v>
      </c>
      <c r="D260" s="33" t="s">
        <v>278</v>
      </c>
      <c r="E260" s="34">
        <v>413.44799999999998</v>
      </c>
      <c r="F260" s="36">
        <v>6.7999999999983601E-2</v>
      </c>
      <c r="G260" s="34">
        <v>6.7999999999983601E-2</v>
      </c>
      <c r="H260" s="35">
        <v>583</v>
      </c>
      <c r="I260" s="37">
        <f t="shared" si="4"/>
        <v>6.0389475864926455E-2</v>
      </c>
      <c r="J260" s="33"/>
    </row>
    <row r="261" spans="1:10">
      <c r="A261" s="33" t="s">
        <v>25</v>
      </c>
      <c r="B261" s="34">
        <v>413.38</v>
      </c>
      <c r="C261" s="35">
        <v>9654</v>
      </c>
      <c r="D261" s="33" t="s">
        <v>273</v>
      </c>
      <c r="E261" s="34">
        <v>413.459</v>
      </c>
      <c r="F261" s="36">
        <v>7.9000000000007703E-2</v>
      </c>
      <c r="G261" s="34">
        <v>7.9000000000007703E-2</v>
      </c>
      <c r="H261" s="35">
        <v>31.7</v>
      </c>
      <c r="I261" s="37">
        <f t="shared" si="4"/>
        <v>3.2836130101512326E-3</v>
      </c>
      <c r="J261" s="33"/>
    </row>
    <row r="262" spans="1:10">
      <c r="A262" s="33" t="s">
        <v>25</v>
      </c>
      <c r="B262" s="34">
        <v>413.38</v>
      </c>
      <c r="C262" s="35">
        <v>9654</v>
      </c>
      <c r="D262" s="33" t="s">
        <v>97</v>
      </c>
      <c r="E262" s="34">
        <v>413.46800000000002</v>
      </c>
      <c r="F262" s="36">
        <v>8.8000000000022296E-2</v>
      </c>
      <c r="G262" s="34">
        <v>8.8000000000022296E-2</v>
      </c>
      <c r="H262" s="35">
        <v>16</v>
      </c>
      <c r="I262" s="37">
        <f t="shared" si="4"/>
        <v>1.6573441060700228E-3</v>
      </c>
      <c r="J262" s="33"/>
    </row>
    <row r="263" spans="1:10">
      <c r="A263" s="33" t="s">
        <v>25</v>
      </c>
      <c r="B263" s="34">
        <v>413.38</v>
      </c>
      <c r="C263" s="35">
        <v>9654</v>
      </c>
      <c r="D263" s="33" t="s">
        <v>27</v>
      </c>
      <c r="E263" s="34">
        <v>413.471</v>
      </c>
      <c r="F263" s="36">
        <v>9.1000000000008199E-2</v>
      </c>
      <c r="G263" s="34">
        <v>9.1000000000008199E-2</v>
      </c>
      <c r="H263" s="35">
        <v>293.8</v>
      </c>
      <c r="I263" s="37">
        <f t="shared" si="4"/>
        <v>3.0432981147710796E-2</v>
      </c>
      <c r="J263" s="33" t="s">
        <v>116</v>
      </c>
    </row>
    <row r="264" spans="1:10">
      <c r="A264" s="33" t="s">
        <v>25</v>
      </c>
      <c r="B264" s="34">
        <v>413.38</v>
      </c>
      <c r="C264" s="35">
        <v>9654</v>
      </c>
      <c r="D264" s="33" t="s">
        <v>277</v>
      </c>
      <c r="E264" s="34">
        <v>413.488</v>
      </c>
      <c r="F264" s="36">
        <v>0.108000000000004</v>
      </c>
      <c r="G264" s="34">
        <v>0.108000000000004</v>
      </c>
      <c r="H264" s="35">
        <v>75.2</v>
      </c>
      <c r="I264" s="37">
        <f t="shared" si="4"/>
        <v>7.7895172985291078E-3</v>
      </c>
      <c r="J264" s="33"/>
    </row>
    <row r="265" spans="1:10">
      <c r="A265" s="33" t="s">
        <v>25</v>
      </c>
      <c r="B265" s="34">
        <v>413.38</v>
      </c>
      <c r="C265" s="35">
        <v>9654</v>
      </c>
      <c r="D265" s="33" t="s">
        <v>240</v>
      </c>
      <c r="E265" s="34">
        <v>413.50299999999999</v>
      </c>
      <c r="F265" s="36">
        <v>0.12299999999999101</v>
      </c>
      <c r="G265" s="34">
        <v>0.12299999999999101</v>
      </c>
      <c r="H265" s="35">
        <v>19.8</v>
      </c>
      <c r="I265" s="37">
        <f t="shared" si="4"/>
        <v>2.0509633312616534E-3</v>
      </c>
      <c r="J265" s="33"/>
    </row>
    <row r="266" spans="1:10">
      <c r="A266" s="33" t="s">
        <v>25</v>
      </c>
      <c r="B266" s="34">
        <v>413.38</v>
      </c>
      <c r="C266" s="35">
        <v>9654</v>
      </c>
      <c r="D266" s="33" t="s">
        <v>63</v>
      </c>
      <c r="E266" s="34">
        <v>413.50900000000001</v>
      </c>
      <c r="F266" s="36">
        <v>0.129</v>
      </c>
      <c r="G266" s="34">
        <v>0.129</v>
      </c>
      <c r="H266" s="35">
        <v>324</v>
      </c>
      <c r="I266" s="37">
        <f t="shared" si="4"/>
        <v>3.3561218147917959E-2</v>
      </c>
      <c r="J266" s="33" t="s">
        <v>116</v>
      </c>
    </row>
    <row r="267" spans="1:10">
      <c r="A267" s="33" t="s">
        <v>25</v>
      </c>
      <c r="B267" s="34">
        <v>413.38</v>
      </c>
      <c r="C267" s="35">
        <v>9654</v>
      </c>
      <c r="D267" s="33" t="s">
        <v>270</v>
      </c>
      <c r="E267" s="34">
        <v>413.51400000000001</v>
      </c>
      <c r="F267" s="36">
        <v>0.134000000000015</v>
      </c>
      <c r="G267" s="34">
        <v>0.134000000000015</v>
      </c>
      <c r="H267" s="35">
        <v>869.5</v>
      </c>
      <c r="I267" s="37">
        <f t="shared" si="4"/>
        <v>9.00662937642428E-2</v>
      </c>
      <c r="J267" s="33"/>
    </row>
    <row r="268" spans="1:10">
      <c r="A268" s="33" t="s">
        <v>25</v>
      </c>
      <c r="B268" s="34">
        <v>413.38</v>
      </c>
      <c r="C268" s="35">
        <v>9654</v>
      </c>
      <c r="D268" s="33" t="s">
        <v>282</v>
      </c>
      <c r="E268" s="34">
        <v>413.52699999999999</v>
      </c>
      <c r="F268" s="36">
        <v>0.146999999999991</v>
      </c>
      <c r="G268" s="34">
        <v>0.146999999999991</v>
      </c>
      <c r="H268" s="35">
        <v>287.60000000000002</v>
      </c>
      <c r="I268" s="37">
        <f t="shared" si="4"/>
        <v>2.9790760306608662E-2</v>
      </c>
      <c r="J268" s="33"/>
    </row>
    <row r="269" spans="1:10">
      <c r="A269" s="33" t="s">
        <v>25</v>
      </c>
      <c r="B269" s="34">
        <v>413.38</v>
      </c>
      <c r="C269" s="35">
        <v>9654</v>
      </c>
      <c r="D269" s="33" t="s">
        <v>27</v>
      </c>
      <c r="E269" s="34">
        <v>413.53199999999998</v>
      </c>
      <c r="F269" s="36">
        <v>0.15199999999998701</v>
      </c>
      <c r="G269" s="34">
        <v>0.15199999999998701</v>
      </c>
      <c r="H269" s="35">
        <v>2803.5</v>
      </c>
      <c r="I269" s="37">
        <f t="shared" si="4"/>
        <v>0.2903977625854568</v>
      </c>
      <c r="J269" s="33" t="s">
        <v>116</v>
      </c>
    </row>
    <row r="270" spans="1:10">
      <c r="A270" s="33" t="s">
        <v>25</v>
      </c>
      <c r="B270" s="34">
        <v>413.38</v>
      </c>
      <c r="C270" s="35">
        <v>9654</v>
      </c>
      <c r="D270" s="33" t="s">
        <v>25</v>
      </c>
      <c r="E270" s="34">
        <v>413.54199999999997</v>
      </c>
      <c r="F270" s="36">
        <v>0.16199999999997799</v>
      </c>
      <c r="G270" s="34">
        <v>0.16199999999997799</v>
      </c>
      <c r="H270" s="35">
        <v>1076.8</v>
      </c>
      <c r="I270" s="37">
        <f t="shared" si="4"/>
        <v>0.11153925833851253</v>
      </c>
      <c r="J270" s="33" t="s">
        <v>116</v>
      </c>
    </row>
    <row r="271" spans="1:10">
      <c r="A271" s="33" t="s">
        <v>25</v>
      </c>
      <c r="B271" s="34">
        <v>413.38</v>
      </c>
      <c r="C271" s="35">
        <v>9654</v>
      </c>
      <c r="D271" s="33" t="s">
        <v>273</v>
      </c>
      <c r="E271" s="34">
        <v>413.54300000000001</v>
      </c>
      <c r="F271" s="36">
        <v>0.163000000000011</v>
      </c>
      <c r="G271" s="34">
        <v>0.163000000000011</v>
      </c>
      <c r="H271" s="35">
        <v>42</v>
      </c>
      <c r="I271" s="37">
        <f t="shared" si="4"/>
        <v>4.3505282784338101E-3</v>
      </c>
      <c r="J271" s="33"/>
    </row>
    <row r="272" spans="1:10">
      <c r="A272" s="33" t="s">
        <v>25</v>
      </c>
      <c r="B272" s="34">
        <v>413.38</v>
      </c>
      <c r="C272" s="35">
        <v>9654</v>
      </c>
      <c r="D272" s="33" t="s">
        <v>184</v>
      </c>
      <c r="E272" s="34">
        <v>413.55799999999999</v>
      </c>
      <c r="F272" s="36">
        <v>0.17799999999999699</v>
      </c>
      <c r="G272" s="34">
        <v>0.17799999999999699</v>
      </c>
      <c r="H272" s="35">
        <v>31.7</v>
      </c>
      <c r="I272" s="37">
        <f t="shared" si="4"/>
        <v>3.2836130101512326E-3</v>
      </c>
      <c r="J272" s="33"/>
    </row>
    <row r="273" spans="1:10">
      <c r="A273" s="33" t="s">
        <v>25</v>
      </c>
      <c r="B273" s="34">
        <v>413.38</v>
      </c>
      <c r="C273" s="35">
        <v>9654</v>
      </c>
      <c r="D273" s="33" t="s">
        <v>277</v>
      </c>
      <c r="E273" s="34">
        <v>413.57600000000002</v>
      </c>
      <c r="F273" s="36">
        <v>0.19600000000002599</v>
      </c>
      <c r="G273" s="34">
        <v>0.19600000000002599</v>
      </c>
      <c r="H273" s="35">
        <v>81.7</v>
      </c>
      <c r="I273" s="37">
        <f t="shared" si="4"/>
        <v>8.4628133416200547E-3</v>
      </c>
      <c r="J273" s="33"/>
    </row>
    <row r="274" spans="1:10">
      <c r="A274" s="33" t="s">
        <v>25</v>
      </c>
      <c r="B274" s="34">
        <v>413.38</v>
      </c>
      <c r="C274" s="35">
        <v>9654</v>
      </c>
      <c r="D274" s="33" t="s">
        <v>284</v>
      </c>
      <c r="E274" s="34">
        <v>413.577</v>
      </c>
      <c r="F274" s="36">
        <v>0.19700000000000301</v>
      </c>
      <c r="G274" s="34">
        <v>0.19700000000000301</v>
      </c>
      <c r="H274" s="35">
        <v>9</v>
      </c>
      <c r="I274" s="37">
        <f t="shared" si="4"/>
        <v>9.3225605966438781E-4</v>
      </c>
      <c r="J274" s="33"/>
    </row>
    <row r="275" spans="1:10">
      <c r="A275" s="33" t="s">
        <v>25</v>
      </c>
      <c r="B275" s="34">
        <v>413.38</v>
      </c>
      <c r="C275" s="35">
        <v>9654</v>
      </c>
      <c r="D275" s="33" t="s">
        <v>25</v>
      </c>
      <c r="E275" s="34">
        <v>413.589</v>
      </c>
      <c r="F275" s="36">
        <v>0.20900000000000299</v>
      </c>
      <c r="G275" s="34">
        <v>0.20900000000000299</v>
      </c>
      <c r="H275" s="35">
        <v>204.3</v>
      </c>
      <c r="I275" s="37">
        <f t="shared" si="4"/>
        <v>2.1162212554381606E-2</v>
      </c>
      <c r="J275" s="33" t="s">
        <v>116</v>
      </c>
    </row>
    <row r="276" spans="1:10">
      <c r="A276" s="33" t="s">
        <v>25</v>
      </c>
      <c r="B276" s="34">
        <v>413.38</v>
      </c>
      <c r="C276" s="35">
        <v>9654</v>
      </c>
      <c r="D276" s="33" t="s">
        <v>239</v>
      </c>
      <c r="E276" s="34">
        <v>413.613</v>
      </c>
      <c r="F276" s="36">
        <v>0.23300000000000401</v>
      </c>
      <c r="G276" s="34">
        <v>0.23300000000000401</v>
      </c>
      <c r="H276" s="35">
        <v>59.3</v>
      </c>
      <c r="I276" s="37">
        <f t="shared" si="4"/>
        <v>6.1425315931220217E-3</v>
      </c>
      <c r="J276" s="33"/>
    </row>
    <row r="277" spans="1:10">
      <c r="A277" s="33" t="s">
        <v>25</v>
      </c>
      <c r="B277" s="34">
        <v>413.76499999999999</v>
      </c>
      <c r="C277" s="35">
        <v>6591.2</v>
      </c>
      <c r="D277" s="33" t="s">
        <v>277</v>
      </c>
      <c r="E277" s="34">
        <v>413.57600000000002</v>
      </c>
      <c r="F277" s="36">
        <v>0.188999999999965</v>
      </c>
      <c r="G277" s="34">
        <v>0.188999999999965</v>
      </c>
      <c r="H277" s="35">
        <v>81.7</v>
      </c>
      <c r="I277" s="37">
        <f t="shared" si="4"/>
        <v>1.2395314965408424E-2</v>
      </c>
      <c r="J277" s="33"/>
    </row>
    <row r="278" spans="1:10">
      <c r="A278" s="33" t="s">
        <v>25</v>
      </c>
      <c r="B278" s="34">
        <v>413.76499999999999</v>
      </c>
      <c r="C278" s="35">
        <v>6591.2</v>
      </c>
      <c r="D278" s="33" t="s">
        <v>284</v>
      </c>
      <c r="E278" s="34">
        <v>413.577</v>
      </c>
      <c r="F278" s="36">
        <v>0.18799999999998801</v>
      </c>
      <c r="G278" s="34">
        <v>0.18799999999998801</v>
      </c>
      <c r="H278" s="35">
        <v>9</v>
      </c>
      <c r="I278" s="37">
        <f t="shared" si="4"/>
        <v>1.3654569729336084E-3</v>
      </c>
      <c r="J278" s="33"/>
    </row>
    <row r="279" spans="1:10">
      <c r="A279" s="33" t="s">
        <v>25</v>
      </c>
      <c r="B279" s="34">
        <v>413.76499999999999</v>
      </c>
      <c r="C279" s="35">
        <v>6591.2</v>
      </c>
      <c r="D279" s="33" t="s">
        <v>25</v>
      </c>
      <c r="E279" s="34">
        <v>413.589</v>
      </c>
      <c r="F279" s="36">
        <v>0.175999999999988</v>
      </c>
      <c r="G279" s="34">
        <v>0.175999999999988</v>
      </c>
      <c r="H279" s="35">
        <v>204.3</v>
      </c>
      <c r="I279" s="37">
        <f t="shared" si="4"/>
        <v>3.0995873285592914E-2</v>
      </c>
      <c r="J279" s="33" t="s">
        <v>116</v>
      </c>
    </row>
    <row r="280" spans="1:10">
      <c r="A280" s="33" t="s">
        <v>25</v>
      </c>
      <c r="B280" s="34">
        <v>413.76499999999999</v>
      </c>
      <c r="C280" s="35">
        <v>6591.2</v>
      </c>
      <c r="D280" s="33" t="s">
        <v>239</v>
      </c>
      <c r="E280" s="34">
        <v>413.613</v>
      </c>
      <c r="F280" s="36">
        <v>0.15199999999998701</v>
      </c>
      <c r="G280" s="34">
        <v>0.15199999999998701</v>
      </c>
      <c r="H280" s="35">
        <v>59.3</v>
      </c>
      <c r="I280" s="37">
        <f t="shared" si="4"/>
        <v>8.9968442772181082E-3</v>
      </c>
      <c r="J280" s="33"/>
    </row>
    <row r="281" spans="1:10">
      <c r="A281" s="33" t="s">
        <v>25</v>
      </c>
      <c r="B281" s="34">
        <v>413.76499999999999</v>
      </c>
      <c r="C281" s="35">
        <v>6591.2</v>
      </c>
      <c r="D281" s="33" t="s">
        <v>193</v>
      </c>
      <c r="E281" s="34">
        <v>413.62</v>
      </c>
      <c r="F281" s="36">
        <v>0.144999999999982</v>
      </c>
      <c r="G281" s="34">
        <v>0.144999999999982</v>
      </c>
      <c r="H281" s="35">
        <v>28.6</v>
      </c>
      <c r="I281" s="37">
        <f t="shared" si="4"/>
        <v>4.3391188251001335E-3</v>
      </c>
      <c r="J281" s="33"/>
    </row>
    <row r="282" spans="1:10">
      <c r="A282" s="33" t="s">
        <v>25</v>
      </c>
      <c r="B282" s="34">
        <v>413.76499999999999</v>
      </c>
      <c r="C282" s="35">
        <v>6591.2</v>
      </c>
      <c r="D282" s="33" t="s">
        <v>94</v>
      </c>
      <c r="E282" s="34">
        <v>413.62200000000001</v>
      </c>
      <c r="F282" s="36">
        <v>0.14299999999999999</v>
      </c>
      <c r="G282" s="34">
        <v>0.14299999999999999</v>
      </c>
      <c r="H282" s="35">
        <v>118.5</v>
      </c>
      <c r="I282" s="37">
        <f t="shared" si="4"/>
        <v>1.797851681029251E-2</v>
      </c>
      <c r="J282" s="33" t="s">
        <v>116</v>
      </c>
    </row>
    <row r="283" spans="1:10">
      <c r="A283" s="33" t="s">
        <v>25</v>
      </c>
      <c r="B283" s="34">
        <v>413.76499999999999</v>
      </c>
      <c r="C283" s="35">
        <v>6591.2</v>
      </c>
      <c r="D283" s="33" t="s">
        <v>271</v>
      </c>
      <c r="E283" s="34">
        <v>413.62900000000002</v>
      </c>
      <c r="F283" s="36">
        <v>0.13599999999996701</v>
      </c>
      <c r="G283" s="34">
        <v>0.13599999999996701</v>
      </c>
      <c r="H283" s="35">
        <v>184.2</v>
      </c>
      <c r="I283" s="37">
        <f t="shared" si="4"/>
        <v>2.7946352712707852E-2</v>
      </c>
      <c r="J283" s="33"/>
    </row>
    <row r="284" spans="1:10">
      <c r="A284" s="33" t="s">
        <v>25</v>
      </c>
      <c r="B284" s="34">
        <v>413.76499999999999</v>
      </c>
      <c r="C284" s="35">
        <v>6591.2</v>
      </c>
      <c r="D284" s="33" t="s">
        <v>279</v>
      </c>
      <c r="E284" s="34">
        <v>413.64499999999998</v>
      </c>
      <c r="F284" s="36">
        <v>0.12000000000000501</v>
      </c>
      <c r="G284" s="34">
        <v>0.12000000000000501</v>
      </c>
      <c r="H284" s="35">
        <v>41.2</v>
      </c>
      <c r="I284" s="37">
        <f t="shared" si="4"/>
        <v>6.250758587207186E-3</v>
      </c>
      <c r="J284" s="33"/>
    </row>
    <row r="285" spans="1:10">
      <c r="A285" s="33" t="s">
        <v>25</v>
      </c>
      <c r="B285" s="34">
        <v>413.76499999999999</v>
      </c>
      <c r="C285" s="35">
        <v>6591.2</v>
      </c>
      <c r="D285" s="33" t="s">
        <v>280</v>
      </c>
      <c r="E285" s="34">
        <v>413.65899999999999</v>
      </c>
      <c r="F285" s="36">
        <v>0.105999999999995</v>
      </c>
      <c r="G285" s="34">
        <v>0.105999999999995</v>
      </c>
      <c r="H285" s="35">
        <v>143.30000000000001</v>
      </c>
      <c r="I285" s="37">
        <f t="shared" si="4"/>
        <v>2.174110935793179E-2</v>
      </c>
      <c r="J285" s="33"/>
    </row>
    <row r="286" spans="1:10">
      <c r="A286" s="33" t="s">
        <v>25</v>
      </c>
      <c r="B286" s="34">
        <v>413.76499999999999</v>
      </c>
      <c r="C286" s="35">
        <v>6591.2</v>
      </c>
      <c r="D286" s="33" t="s">
        <v>27</v>
      </c>
      <c r="E286" s="34">
        <v>413.67500000000001</v>
      </c>
      <c r="F286" s="36">
        <v>8.9999999999975003E-2</v>
      </c>
      <c r="G286" s="34">
        <v>8.9999999999975003E-2</v>
      </c>
      <c r="H286" s="35">
        <v>390.7</v>
      </c>
      <c r="I286" s="37">
        <f t="shared" si="4"/>
        <v>5.9276004369462315E-2</v>
      </c>
      <c r="J286" s="33" t="s">
        <v>116</v>
      </c>
    </row>
    <row r="287" spans="1:10">
      <c r="A287" s="33" t="s">
        <v>25</v>
      </c>
      <c r="B287" s="34">
        <v>413.76499999999999</v>
      </c>
      <c r="C287" s="35">
        <v>6591.2</v>
      </c>
      <c r="D287" s="33" t="s">
        <v>277</v>
      </c>
      <c r="E287" s="34">
        <v>413.68099999999998</v>
      </c>
      <c r="F287" s="36">
        <v>8.4000000000003197E-2</v>
      </c>
      <c r="G287" s="34">
        <v>8.4000000000003197E-2</v>
      </c>
      <c r="H287" s="35">
        <v>79.900000000000006</v>
      </c>
      <c r="I287" s="37">
        <f t="shared" si="4"/>
        <v>1.2122223570821702E-2</v>
      </c>
      <c r="J287" s="33"/>
    </row>
    <row r="288" spans="1:10">
      <c r="A288" s="33" t="s">
        <v>25</v>
      </c>
      <c r="B288" s="34">
        <v>413.76499999999999</v>
      </c>
      <c r="C288" s="35">
        <v>6591.2</v>
      </c>
      <c r="D288" s="33" t="s">
        <v>25</v>
      </c>
      <c r="E288" s="34">
        <v>413.69</v>
      </c>
      <c r="F288" s="36">
        <v>7.4999999999988604E-2</v>
      </c>
      <c r="G288" s="34">
        <v>7.4999999999988604E-2</v>
      </c>
      <c r="H288" s="35">
        <v>479.5</v>
      </c>
      <c r="I288" s="37">
        <f t="shared" si="4"/>
        <v>7.2748513169073922E-2</v>
      </c>
      <c r="J288" s="33" t="s">
        <v>116</v>
      </c>
    </row>
    <row r="289" spans="1:10">
      <c r="A289" s="33" t="s">
        <v>25</v>
      </c>
      <c r="B289" s="34">
        <v>413.76499999999999</v>
      </c>
      <c r="C289" s="35">
        <v>6591.2</v>
      </c>
      <c r="D289" s="33" t="s">
        <v>97</v>
      </c>
      <c r="E289" s="34">
        <v>413.7</v>
      </c>
      <c r="F289" s="36">
        <v>6.4999999999997699E-2</v>
      </c>
      <c r="G289" s="34">
        <v>6.4999999999997699E-2</v>
      </c>
      <c r="H289" s="35">
        <v>44</v>
      </c>
      <c r="I289" s="37">
        <f t="shared" si="4"/>
        <v>6.6755674232309749E-3</v>
      </c>
      <c r="J289" s="33"/>
    </row>
    <row r="290" spans="1:10">
      <c r="A290" s="33" t="s">
        <v>25</v>
      </c>
      <c r="B290" s="34">
        <v>413.76499999999999</v>
      </c>
      <c r="C290" s="35">
        <v>6591.2</v>
      </c>
      <c r="D290" s="33" t="s">
        <v>133</v>
      </c>
      <c r="E290" s="34">
        <v>413.70400000000001</v>
      </c>
      <c r="F290" s="36">
        <v>6.0999999999978599E-2</v>
      </c>
      <c r="G290" s="34">
        <v>6.0999999999978599E-2</v>
      </c>
      <c r="H290" s="35">
        <v>30.6</v>
      </c>
      <c r="I290" s="37">
        <f t="shared" si="4"/>
        <v>4.6425537079742693E-3</v>
      </c>
      <c r="J290" s="33"/>
    </row>
    <row r="291" spans="1:10">
      <c r="A291" s="33" t="s">
        <v>25</v>
      </c>
      <c r="B291" s="34">
        <v>413.76499999999999</v>
      </c>
      <c r="C291" s="35">
        <v>6591.2</v>
      </c>
      <c r="D291" s="33" t="s">
        <v>273</v>
      </c>
      <c r="E291" s="34">
        <v>413.709</v>
      </c>
      <c r="F291" s="36">
        <v>5.5999999999983202E-2</v>
      </c>
      <c r="G291" s="34">
        <v>5.5999999999983202E-2</v>
      </c>
      <c r="H291" s="35">
        <v>308.10000000000002</v>
      </c>
      <c r="I291" s="37">
        <f t="shared" si="4"/>
        <v>4.6744143706760534E-2</v>
      </c>
      <c r="J291" s="33"/>
    </row>
    <row r="292" spans="1:10">
      <c r="A292" s="33" t="s">
        <v>25</v>
      </c>
      <c r="B292" s="34">
        <v>413.76499999999999</v>
      </c>
      <c r="C292" s="35">
        <v>6591.2</v>
      </c>
      <c r="D292" s="33" t="s">
        <v>36</v>
      </c>
      <c r="E292" s="34">
        <v>413.71</v>
      </c>
      <c r="F292" s="36">
        <v>5.5E-2</v>
      </c>
      <c r="G292" s="34">
        <v>5.5E-2</v>
      </c>
      <c r="H292" s="35">
        <v>1350</v>
      </c>
      <c r="I292" s="37">
        <f t="shared" si="4"/>
        <v>0.20481854594004129</v>
      </c>
      <c r="J292" s="33" t="s">
        <v>116</v>
      </c>
    </row>
    <row r="293" spans="1:10">
      <c r="A293" s="33" t="s">
        <v>25</v>
      </c>
      <c r="B293" s="34">
        <v>413.76499999999999</v>
      </c>
      <c r="C293" s="35">
        <v>6591.2</v>
      </c>
      <c r="D293" s="33" t="s">
        <v>268</v>
      </c>
      <c r="E293" s="34">
        <v>413.72300000000001</v>
      </c>
      <c r="F293" s="36">
        <v>4.1999999999973198E-2</v>
      </c>
      <c r="G293" s="34">
        <v>4.1999999999973198E-2</v>
      </c>
      <c r="H293" s="35">
        <v>42</v>
      </c>
      <c r="I293" s="37">
        <f t="shared" si="4"/>
        <v>6.37213254035684E-3</v>
      </c>
      <c r="J293" s="33"/>
    </row>
    <row r="294" spans="1:10">
      <c r="A294" s="33" t="s">
        <v>25</v>
      </c>
      <c r="B294" s="34">
        <v>413.76499999999999</v>
      </c>
      <c r="C294" s="35">
        <v>6591.2</v>
      </c>
      <c r="D294" s="33" t="s">
        <v>240</v>
      </c>
      <c r="E294" s="34">
        <v>413.72699999999998</v>
      </c>
      <c r="F294" s="36">
        <v>3.80000000000109E-2</v>
      </c>
      <c r="G294" s="34">
        <v>3.80000000000109E-2</v>
      </c>
      <c r="H294" s="35">
        <v>1.9</v>
      </c>
      <c r="I294" s="37">
        <f t="shared" si="4"/>
        <v>2.8826313873042843E-4</v>
      </c>
      <c r="J294" s="33"/>
    </row>
    <row r="295" spans="1:10">
      <c r="A295" s="33" t="s">
        <v>25</v>
      </c>
      <c r="B295" s="34">
        <v>413.76499999999999</v>
      </c>
      <c r="C295" s="35">
        <v>6591.2</v>
      </c>
      <c r="D295" s="33" t="s">
        <v>274</v>
      </c>
      <c r="E295" s="34">
        <v>413.74599999999998</v>
      </c>
      <c r="F295" s="36">
        <v>1.9000000000005499E-2</v>
      </c>
      <c r="G295" s="34">
        <v>1.9000000000005499E-2</v>
      </c>
      <c r="H295" s="35">
        <v>37.200000000000003</v>
      </c>
      <c r="I295" s="37">
        <f t="shared" si="4"/>
        <v>5.6438888214589153E-3</v>
      </c>
      <c r="J295" s="33"/>
    </row>
    <row r="296" spans="1:10">
      <c r="A296" s="33" t="s">
        <v>25</v>
      </c>
      <c r="B296" s="34">
        <v>413.76499999999999</v>
      </c>
      <c r="C296" s="35">
        <v>6591.2</v>
      </c>
      <c r="D296" s="33" t="s">
        <v>279</v>
      </c>
      <c r="E296" s="34">
        <v>413.76</v>
      </c>
      <c r="F296" s="36">
        <v>4.9999999999954499E-3</v>
      </c>
      <c r="G296" s="34">
        <v>4.9999999999954499E-3</v>
      </c>
      <c r="H296" s="35">
        <v>2.4</v>
      </c>
      <c r="I296" s="37">
        <f t="shared" si="4"/>
        <v>3.6412185944896227E-4</v>
      </c>
      <c r="J296" s="33"/>
    </row>
    <row r="297" spans="1:10">
      <c r="A297" s="33" t="s">
        <v>25</v>
      </c>
      <c r="B297" s="34">
        <v>413.76499999999999</v>
      </c>
      <c r="C297" s="35">
        <v>6591.2</v>
      </c>
      <c r="D297" s="33" t="s">
        <v>284</v>
      </c>
      <c r="E297" s="34">
        <v>413.78399999999999</v>
      </c>
      <c r="F297" s="36">
        <v>1.9000000000005499E-2</v>
      </c>
      <c r="G297" s="34">
        <v>1.9000000000005499E-2</v>
      </c>
      <c r="H297" s="35">
        <v>0.5</v>
      </c>
      <c r="I297" s="37">
        <f t="shared" si="4"/>
        <v>7.5858720718533808E-5</v>
      </c>
      <c r="J297" s="33"/>
    </row>
    <row r="298" spans="1:10">
      <c r="A298" s="33" t="s">
        <v>25</v>
      </c>
      <c r="B298" s="34">
        <v>413.76499999999999</v>
      </c>
      <c r="C298" s="35">
        <v>6591.2</v>
      </c>
      <c r="D298" s="33" t="s">
        <v>274</v>
      </c>
      <c r="E298" s="34">
        <v>413.80399999999997</v>
      </c>
      <c r="F298" s="36">
        <v>3.8999999999987302E-2</v>
      </c>
      <c r="G298" s="34">
        <v>3.8999999999987302E-2</v>
      </c>
      <c r="H298" s="35">
        <v>5.8</v>
      </c>
      <c r="I298" s="37">
        <f t="shared" si="4"/>
        <v>8.799611603349921E-4</v>
      </c>
      <c r="J298" s="33"/>
    </row>
    <row r="299" spans="1:10">
      <c r="A299" s="33" t="s">
        <v>25</v>
      </c>
      <c r="B299" s="34">
        <v>413.76499999999999</v>
      </c>
      <c r="C299" s="35">
        <v>6591.2</v>
      </c>
      <c r="D299" s="33" t="s">
        <v>273</v>
      </c>
      <c r="E299" s="34">
        <v>413.82900000000001</v>
      </c>
      <c r="F299" s="36">
        <v>6.4000000000021401E-2</v>
      </c>
      <c r="G299" s="34">
        <v>6.4000000000021401E-2</v>
      </c>
      <c r="H299" s="35">
        <v>59.4</v>
      </c>
      <c r="I299" s="37">
        <f t="shared" si="4"/>
        <v>9.0120160213618163E-3</v>
      </c>
      <c r="J299" s="33"/>
    </row>
    <row r="300" spans="1:10">
      <c r="A300" s="33" t="s">
        <v>25</v>
      </c>
      <c r="B300" s="34">
        <v>413.76499999999999</v>
      </c>
      <c r="C300" s="35">
        <v>6591.2</v>
      </c>
      <c r="D300" s="33" t="s">
        <v>25</v>
      </c>
      <c r="E300" s="34">
        <v>413.83499999999998</v>
      </c>
      <c r="F300" s="36">
        <v>6.9999999999993207E-2</v>
      </c>
      <c r="G300" s="34">
        <v>6.9999999999993207E-2</v>
      </c>
      <c r="H300" s="35">
        <v>978</v>
      </c>
      <c r="I300" s="37">
        <f t="shared" si="4"/>
        <v>0.14837965772545211</v>
      </c>
      <c r="J300" s="33" t="s">
        <v>116</v>
      </c>
    </row>
    <row r="301" spans="1:10">
      <c r="A301" s="33" t="s">
        <v>25</v>
      </c>
      <c r="B301" s="34">
        <v>413.76499999999999</v>
      </c>
      <c r="C301" s="35">
        <v>6591.2</v>
      </c>
      <c r="D301" s="33" t="s">
        <v>277</v>
      </c>
      <c r="E301" s="34">
        <v>413.86500000000001</v>
      </c>
      <c r="F301" s="36">
        <v>0.100000000000023</v>
      </c>
      <c r="G301" s="34">
        <v>0.100000000000023</v>
      </c>
      <c r="H301" s="35">
        <v>57.2</v>
      </c>
      <c r="I301" s="37">
        <f t="shared" si="4"/>
        <v>8.678237650200267E-3</v>
      </c>
      <c r="J301" s="33"/>
    </row>
    <row r="302" spans="1:10">
      <c r="A302" s="33" t="s">
        <v>25</v>
      </c>
      <c r="B302" s="34">
        <v>413.76499999999999</v>
      </c>
      <c r="C302" s="35">
        <v>6591.2</v>
      </c>
      <c r="D302" s="33" t="s">
        <v>271</v>
      </c>
      <c r="E302" s="34">
        <v>413.88400000000001</v>
      </c>
      <c r="F302" s="36">
        <v>0.119000000000028</v>
      </c>
      <c r="G302" s="34">
        <v>0.119000000000028</v>
      </c>
      <c r="H302" s="35">
        <v>54.3</v>
      </c>
      <c r="I302" s="37">
        <f t="shared" si="4"/>
        <v>8.2382570700327701E-3</v>
      </c>
      <c r="J302" s="33"/>
    </row>
    <row r="303" spans="1:10">
      <c r="A303" s="33" t="s">
        <v>25</v>
      </c>
      <c r="B303" s="34">
        <v>413.76499999999999</v>
      </c>
      <c r="C303" s="35">
        <v>6591.2</v>
      </c>
      <c r="D303" s="33" t="s">
        <v>270</v>
      </c>
      <c r="E303" s="34">
        <v>413.892</v>
      </c>
      <c r="F303" s="36">
        <v>0.12700000000000999</v>
      </c>
      <c r="G303" s="34">
        <v>0.12700000000000999</v>
      </c>
      <c r="H303" s="35">
        <v>155.80000000000001</v>
      </c>
      <c r="I303" s="37">
        <f t="shared" si="4"/>
        <v>2.3637577375895134E-2</v>
      </c>
      <c r="J303" s="33"/>
    </row>
    <row r="304" spans="1:10">
      <c r="A304" s="33" t="s">
        <v>25</v>
      </c>
      <c r="B304" s="34">
        <v>413.76499999999999</v>
      </c>
      <c r="C304" s="35">
        <v>6591.2</v>
      </c>
      <c r="D304" s="33" t="s">
        <v>277</v>
      </c>
      <c r="E304" s="34">
        <v>413.91399999999999</v>
      </c>
      <c r="F304" s="36">
        <v>0.14900000000000099</v>
      </c>
      <c r="G304" s="34">
        <v>0.14900000000000099</v>
      </c>
      <c r="H304" s="35">
        <v>102.4</v>
      </c>
      <c r="I304" s="37">
        <f t="shared" si="4"/>
        <v>1.5535866003155725E-2</v>
      </c>
      <c r="J304" s="33"/>
    </row>
    <row r="305" spans="1:10">
      <c r="A305" s="33" t="s">
        <v>25</v>
      </c>
      <c r="B305" s="34">
        <v>413.76499999999999</v>
      </c>
      <c r="C305" s="35">
        <v>6591.2</v>
      </c>
      <c r="D305" s="33" t="s">
        <v>25</v>
      </c>
      <c r="E305" s="34">
        <v>413.94400000000002</v>
      </c>
      <c r="F305" s="36">
        <v>0.179000000000031</v>
      </c>
      <c r="G305" s="34">
        <v>0.179000000000031</v>
      </c>
      <c r="H305" s="35">
        <v>133.4</v>
      </c>
      <c r="I305" s="37">
        <f t="shared" si="4"/>
        <v>2.023910668770482E-2</v>
      </c>
      <c r="J305" s="33" t="s">
        <v>116</v>
      </c>
    </row>
    <row r="306" spans="1:10">
      <c r="A306" s="33" t="s">
        <v>25</v>
      </c>
      <c r="B306" s="34">
        <v>413.76499999999999</v>
      </c>
      <c r="C306" s="35">
        <v>6591.2</v>
      </c>
      <c r="D306" s="33" t="s">
        <v>273</v>
      </c>
      <c r="E306" s="34">
        <v>413.97</v>
      </c>
      <c r="F306" s="36">
        <v>0.20500000000004101</v>
      </c>
      <c r="G306" s="34">
        <v>0.20500000000004101</v>
      </c>
      <c r="H306" s="35">
        <v>254.4</v>
      </c>
      <c r="I306" s="37">
        <f t="shared" si="4"/>
        <v>3.8596917101590002E-2</v>
      </c>
      <c r="J306" s="33"/>
    </row>
    <row r="307" spans="1:10">
      <c r="A307" s="33" t="s">
        <v>25</v>
      </c>
      <c r="B307" s="34">
        <v>413.76499999999999</v>
      </c>
      <c r="C307" s="35">
        <v>6591.2</v>
      </c>
      <c r="D307" s="33" t="s">
        <v>271</v>
      </c>
      <c r="E307" s="34">
        <v>414.02300000000002</v>
      </c>
      <c r="F307" s="36">
        <v>0.25800000000003798</v>
      </c>
      <c r="G307" s="34">
        <v>0.25800000000003798</v>
      </c>
      <c r="H307" s="35">
        <v>586.6</v>
      </c>
      <c r="I307" s="37">
        <f t="shared" si="4"/>
        <v>8.8997451146983861E-2</v>
      </c>
      <c r="J307" s="33"/>
    </row>
    <row r="308" spans="1:10">
      <c r="A308" s="33" t="s">
        <v>25</v>
      </c>
      <c r="B308" s="34">
        <v>413.76499999999999</v>
      </c>
      <c r="C308" s="35">
        <v>6591.2</v>
      </c>
      <c r="D308" s="33" t="s">
        <v>184</v>
      </c>
      <c r="E308" s="34">
        <v>414.02699999999999</v>
      </c>
      <c r="F308" s="36">
        <v>0.26200000000000101</v>
      </c>
      <c r="G308" s="34">
        <v>0.26200000000000101</v>
      </c>
      <c r="H308" s="35">
        <v>130.9</v>
      </c>
      <c r="I308" s="37">
        <f t="shared" si="4"/>
        <v>1.9859813084112152E-2</v>
      </c>
      <c r="J308" s="33"/>
    </row>
    <row r="309" spans="1:10">
      <c r="A309" s="33" t="s">
        <v>25</v>
      </c>
      <c r="B309" s="34">
        <v>413.76499999999999</v>
      </c>
      <c r="C309" s="35">
        <v>6591.2</v>
      </c>
      <c r="D309" s="33" t="s">
        <v>275</v>
      </c>
      <c r="E309" s="34">
        <v>415.74</v>
      </c>
      <c r="F309" s="36">
        <v>1.9750000000000201</v>
      </c>
      <c r="G309" s="34">
        <v>1.9750000000000201</v>
      </c>
      <c r="H309" s="35">
        <v>6.1</v>
      </c>
      <c r="I309" s="37">
        <f t="shared" si="4"/>
        <v>9.2547639276611233E-4</v>
      </c>
      <c r="J309" s="33"/>
    </row>
    <row r="310" spans="1:10">
      <c r="A310" s="33" t="s">
        <v>25</v>
      </c>
      <c r="B310" s="34">
        <v>413.76499999999999</v>
      </c>
      <c r="C310" s="35">
        <v>6591.2</v>
      </c>
      <c r="D310" s="33" t="s">
        <v>97</v>
      </c>
      <c r="E310" s="34">
        <v>415.77800000000002</v>
      </c>
      <c r="F310" s="36">
        <v>2.0130000000000301</v>
      </c>
      <c r="G310" s="34">
        <v>2.0130000000000301</v>
      </c>
      <c r="H310" s="35">
        <v>3.7</v>
      </c>
      <c r="I310" s="37">
        <f t="shared" si="4"/>
        <v>5.6135453331715023E-4</v>
      </c>
      <c r="J310" s="33"/>
    </row>
    <row r="311" spans="1:10">
      <c r="A311" s="33" t="s">
        <v>25</v>
      </c>
      <c r="B311" s="34">
        <v>413.76499999999999</v>
      </c>
      <c r="C311" s="35">
        <v>6591.2</v>
      </c>
      <c r="D311" s="33" t="s">
        <v>275</v>
      </c>
      <c r="E311" s="34">
        <v>415.79</v>
      </c>
      <c r="F311" s="36">
        <v>2.0250000000000301</v>
      </c>
      <c r="G311" s="34">
        <v>2.0250000000000301</v>
      </c>
      <c r="H311" s="35">
        <v>5</v>
      </c>
      <c r="I311" s="37">
        <f t="shared" si="4"/>
        <v>7.5858720718533802E-4</v>
      </c>
      <c r="J311" s="33"/>
    </row>
    <row r="312" spans="1:10">
      <c r="A312" s="33" t="s">
        <v>25</v>
      </c>
      <c r="B312" s="34">
        <v>413.76499999999999</v>
      </c>
      <c r="C312" s="35">
        <v>6591.2</v>
      </c>
      <c r="D312" s="33" t="s">
        <v>273</v>
      </c>
      <c r="E312" s="34">
        <v>415.8</v>
      </c>
      <c r="F312" s="36">
        <v>2.0350000000000299</v>
      </c>
      <c r="G312" s="34">
        <v>2.0350000000000299</v>
      </c>
      <c r="H312" s="35">
        <v>10</v>
      </c>
      <c r="I312" s="37">
        <f t="shared" si="4"/>
        <v>1.517174414370676E-3</v>
      </c>
      <c r="J312" s="33"/>
    </row>
    <row r="313" spans="1:10">
      <c r="A313" s="33" t="s">
        <v>25</v>
      </c>
      <c r="B313" s="34">
        <v>413.76499999999999</v>
      </c>
      <c r="C313" s="35">
        <v>6591.2</v>
      </c>
      <c r="D313" s="33" t="s">
        <v>133</v>
      </c>
      <c r="E313" s="34">
        <v>415.82</v>
      </c>
      <c r="F313" s="36">
        <v>2.0550000000000099</v>
      </c>
      <c r="G313" s="34">
        <v>2.0550000000000099</v>
      </c>
      <c r="H313" s="35">
        <v>64.8</v>
      </c>
      <c r="I313" s="37">
        <f t="shared" si="4"/>
        <v>9.8312902051219814E-3</v>
      </c>
      <c r="J313" s="33"/>
    </row>
    <row r="314" spans="1:10">
      <c r="A314" s="33" t="s">
        <v>25</v>
      </c>
      <c r="B314" s="34">
        <v>413.76499999999999</v>
      </c>
      <c r="C314" s="35">
        <v>6591.2</v>
      </c>
      <c r="D314" s="33" t="s">
        <v>238</v>
      </c>
      <c r="E314" s="34">
        <v>415.822</v>
      </c>
      <c r="F314" s="36">
        <v>2.0570000000000199</v>
      </c>
      <c r="G314" s="34">
        <v>2.0570000000000199</v>
      </c>
      <c r="H314" s="35">
        <v>598.20000000000005</v>
      </c>
      <c r="I314" s="37">
        <f t="shared" si="4"/>
        <v>9.0757373467653848E-2</v>
      </c>
      <c r="J314" s="33"/>
    </row>
    <row r="315" spans="1:10">
      <c r="A315" s="33" t="s">
        <v>25</v>
      </c>
      <c r="B315" s="34">
        <v>418.65899999999999</v>
      </c>
      <c r="C315" s="35">
        <v>14417.5</v>
      </c>
      <c r="D315" s="33" t="s">
        <v>284</v>
      </c>
      <c r="E315" s="34">
        <v>418.41199999999998</v>
      </c>
      <c r="F315" s="36">
        <v>0.24700000000001399</v>
      </c>
      <c r="G315" s="34">
        <v>0.24700000000001399</v>
      </c>
      <c r="H315" s="35">
        <v>0.6</v>
      </c>
      <c r="I315" s="37">
        <f t="shared" si="4"/>
        <v>4.1616091555401419E-5</v>
      </c>
      <c r="J315" s="33"/>
    </row>
    <row r="316" spans="1:10">
      <c r="A316" s="33" t="s">
        <v>25</v>
      </c>
      <c r="B316" s="34">
        <v>418.65899999999999</v>
      </c>
      <c r="C316" s="35">
        <v>14417.5</v>
      </c>
      <c r="D316" s="33" t="s">
        <v>36</v>
      </c>
      <c r="E316" s="34">
        <v>418.42599999999999</v>
      </c>
      <c r="F316" s="36">
        <v>0.23300000000000401</v>
      </c>
      <c r="G316" s="34">
        <v>0.23300000000000401</v>
      </c>
      <c r="H316" s="35">
        <v>107574</v>
      </c>
      <c r="I316" s="37">
        <f t="shared" si="4"/>
        <v>7.4613490549679211</v>
      </c>
      <c r="J316" s="33" t="s">
        <v>116</v>
      </c>
    </row>
    <row r="317" spans="1:10">
      <c r="A317" s="33" t="s">
        <v>25</v>
      </c>
      <c r="B317" s="34">
        <v>418.65899999999999</v>
      </c>
      <c r="C317" s="35">
        <v>14417.5</v>
      </c>
      <c r="D317" s="33" t="s">
        <v>237</v>
      </c>
      <c r="E317" s="34">
        <v>418.43</v>
      </c>
      <c r="F317" s="36">
        <v>0.22899999999998499</v>
      </c>
      <c r="G317" s="34">
        <v>0.22899999999998499</v>
      </c>
      <c r="H317" s="35">
        <v>50.6</v>
      </c>
      <c r="I317" s="37">
        <f t="shared" si="4"/>
        <v>3.5096237211721865E-3</v>
      </c>
      <c r="J317" s="33"/>
    </row>
    <row r="318" spans="1:10">
      <c r="A318" s="33" t="s">
        <v>25</v>
      </c>
      <c r="B318" s="34">
        <v>418.65899999999999</v>
      </c>
      <c r="C318" s="35">
        <v>14417.5</v>
      </c>
      <c r="D318" s="33" t="s">
        <v>275</v>
      </c>
      <c r="E318" s="34">
        <v>418.43900000000002</v>
      </c>
      <c r="F318" s="36">
        <v>0.21999999999997</v>
      </c>
      <c r="G318" s="34">
        <v>0.21999999999997</v>
      </c>
      <c r="H318" s="35">
        <v>47</v>
      </c>
      <c r="I318" s="37">
        <f t="shared" si="4"/>
        <v>3.2599271718397782E-3</v>
      </c>
      <c r="J318" s="33"/>
    </row>
    <row r="319" spans="1:10">
      <c r="A319" s="33" t="s">
        <v>25</v>
      </c>
      <c r="B319" s="34">
        <v>418.65899999999999</v>
      </c>
      <c r="C319" s="35">
        <v>14417.5</v>
      </c>
      <c r="D319" s="33" t="s">
        <v>273</v>
      </c>
      <c r="E319" s="34">
        <v>418.44400000000002</v>
      </c>
      <c r="F319" s="36">
        <v>0.21499999999997499</v>
      </c>
      <c r="G319" s="34">
        <v>0.21499999999997499</v>
      </c>
      <c r="H319" s="35">
        <v>65</v>
      </c>
      <c r="I319" s="37">
        <f t="shared" si="4"/>
        <v>4.5084099185018203E-3</v>
      </c>
      <c r="J319" s="33"/>
    </row>
    <row r="320" spans="1:10">
      <c r="A320" s="33" t="s">
        <v>25</v>
      </c>
      <c r="B320" s="34">
        <v>418.65899999999999</v>
      </c>
      <c r="C320" s="35">
        <v>14417.5</v>
      </c>
      <c r="D320" s="33" t="s">
        <v>271</v>
      </c>
      <c r="E320" s="34">
        <v>418.471</v>
      </c>
      <c r="F320" s="36">
        <v>0.18799999999998801</v>
      </c>
      <c r="G320" s="34">
        <v>0.18799999999998801</v>
      </c>
      <c r="H320" s="35">
        <v>197.5</v>
      </c>
      <c r="I320" s="37">
        <f t="shared" si="4"/>
        <v>1.3698630136986301E-2</v>
      </c>
      <c r="J320" s="33"/>
    </row>
    <row r="321" spans="1:10">
      <c r="A321" s="33" t="s">
        <v>25</v>
      </c>
      <c r="B321" s="34">
        <v>418.65899999999999</v>
      </c>
      <c r="C321" s="35">
        <v>14417.5</v>
      </c>
      <c r="D321" s="33" t="s">
        <v>277</v>
      </c>
      <c r="E321" s="34">
        <v>418.48899999999998</v>
      </c>
      <c r="F321" s="36">
        <v>0.170000000000016</v>
      </c>
      <c r="G321" s="34">
        <v>0.170000000000016</v>
      </c>
      <c r="H321" s="35">
        <v>111.3</v>
      </c>
      <c r="I321" s="37">
        <f t="shared" si="4"/>
        <v>7.7197849835269634E-3</v>
      </c>
      <c r="J321" s="33"/>
    </row>
    <row r="322" spans="1:10">
      <c r="A322" s="33" t="s">
        <v>25</v>
      </c>
      <c r="B322" s="34">
        <v>418.65899999999999</v>
      </c>
      <c r="C322" s="35">
        <v>14417.5</v>
      </c>
      <c r="D322" s="33" t="s">
        <v>97</v>
      </c>
      <c r="E322" s="34">
        <v>418.49</v>
      </c>
      <c r="F322" s="36">
        <v>0.168999999999983</v>
      </c>
      <c r="G322" s="34">
        <v>0.168999999999983</v>
      </c>
      <c r="H322" s="35">
        <v>13.1</v>
      </c>
      <c r="I322" s="37">
        <f t="shared" ref="I322:I385" si="5">H322/C322</f>
        <v>9.0861799895959768E-4</v>
      </c>
      <c r="J322" s="33"/>
    </row>
    <row r="323" spans="1:10">
      <c r="A323" s="33" t="s">
        <v>25</v>
      </c>
      <c r="B323" s="34">
        <v>418.65899999999999</v>
      </c>
      <c r="C323" s="35">
        <v>14417.5</v>
      </c>
      <c r="D323" s="33" t="s">
        <v>27</v>
      </c>
      <c r="E323" s="34">
        <v>418.49700000000001</v>
      </c>
      <c r="F323" s="36">
        <v>0.16199999999997799</v>
      </c>
      <c r="G323" s="34">
        <v>0.16199999999997799</v>
      </c>
      <c r="H323" s="35">
        <v>1274.5</v>
      </c>
      <c r="I323" s="37">
        <f t="shared" si="5"/>
        <v>8.8399514478931851E-2</v>
      </c>
      <c r="J323" s="33" t="s">
        <v>116</v>
      </c>
    </row>
    <row r="324" spans="1:10">
      <c r="A324" s="33" t="s">
        <v>25</v>
      </c>
      <c r="B324" s="34">
        <v>418.65899999999999</v>
      </c>
      <c r="C324" s="35">
        <v>14417.5</v>
      </c>
      <c r="D324" s="33" t="s">
        <v>173</v>
      </c>
      <c r="E324" s="34">
        <v>418.512</v>
      </c>
      <c r="F324" s="36">
        <v>0.146999999999991</v>
      </c>
      <c r="G324" s="34">
        <v>0.146999999999991</v>
      </c>
      <c r="H324" s="35">
        <v>526</v>
      </c>
      <c r="I324" s="37">
        <f t="shared" si="5"/>
        <v>3.6483440263568583E-2</v>
      </c>
      <c r="J324" s="33"/>
    </row>
    <row r="325" spans="1:10">
      <c r="A325" s="33" t="s">
        <v>25</v>
      </c>
      <c r="B325" s="34">
        <v>418.65899999999999</v>
      </c>
      <c r="C325" s="35">
        <v>14417.5</v>
      </c>
      <c r="D325" s="33" t="s">
        <v>25</v>
      </c>
      <c r="E325" s="34">
        <v>418.53300000000002</v>
      </c>
      <c r="F325" s="36">
        <v>0.12599999999997599</v>
      </c>
      <c r="G325" s="34">
        <v>0.12599999999997599</v>
      </c>
      <c r="H325" s="35">
        <v>1691</v>
      </c>
      <c r="I325" s="37">
        <f t="shared" si="5"/>
        <v>0.11728801803363967</v>
      </c>
      <c r="J325" s="33" t="s">
        <v>116</v>
      </c>
    </row>
    <row r="326" spans="1:10">
      <c r="A326" s="33" t="s">
        <v>25</v>
      </c>
      <c r="B326" s="34">
        <v>418.65899999999999</v>
      </c>
      <c r="C326" s="35">
        <v>14417.5</v>
      </c>
      <c r="D326" s="33" t="s">
        <v>290</v>
      </c>
      <c r="E326" s="34">
        <v>418.565</v>
      </c>
      <c r="F326" s="36">
        <v>9.3999999999994102E-2</v>
      </c>
      <c r="G326" s="34">
        <v>9.3999999999994102E-2</v>
      </c>
      <c r="H326" s="35">
        <v>1</v>
      </c>
      <c r="I326" s="37">
        <f t="shared" si="5"/>
        <v>6.9360152592335699E-5</v>
      </c>
      <c r="J326" s="33"/>
    </row>
    <row r="327" spans="1:10">
      <c r="A327" s="33" t="s">
        <v>25</v>
      </c>
      <c r="B327" s="34">
        <v>418.65899999999999</v>
      </c>
      <c r="C327" s="35">
        <v>14417.5</v>
      </c>
      <c r="D327" s="33" t="s">
        <v>270</v>
      </c>
      <c r="E327" s="34">
        <v>418.57600000000002</v>
      </c>
      <c r="F327" s="36">
        <v>8.2999999999970001E-2</v>
      </c>
      <c r="G327" s="34">
        <v>8.2999999999970001E-2</v>
      </c>
      <c r="H327" s="35">
        <v>115.3</v>
      </c>
      <c r="I327" s="37">
        <f t="shared" si="5"/>
        <v>7.9972255938963056E-3</v>
      </c>
      <c r="J327" s="33"/>
    </row>
    <row r="328" spans="1:10">
      <c r="A328" s="33" t="s">
        <v>25</v>
      </c>
      <c r="B328" s="34">
        <v>418.65899999999999</v>
      </c>
      <c r="C328" s="35">
        <v>14417.5</v>
      </c>
      <c r="D328" s="33" t="s">
        <v>275</v>
      </c>
      <c r="E328" s="34">
        <v>418.58199999999999</v>
      </c>
      <c r="F328" s="36">
        <v>7.6999999999998195E-2</v>
      </c>
      <c r="G328" s="34">
        <v>7.6999999999998195E-2</v>
      </c>
      <c r="H328" s="35">
        <v>60.6</v>
      </c>
      <c r="I328" s="37">
        <f t="shared" si="5"/>
        <v>4.2032252470955433E-3</v>
      </c>
      <c r="J328" s="33"/>
    </row>
    <row r="329" spans="1:10">
      <c r="A329" s="33" t="s">
        <v>25</v>
      </c>
      <c r="B329" s="34">
        <v>418.65899999999999</v>
      </c>
      <c r="C329" s="35">
        <v>14417.5</v>
      </c>
      <c r="D329" s="33" t="s">
        <v>27</v>
      </c>
      <c r="E329" s="34">
        <v>418.60300000000001</v>
      </c>
      <c r="F329" s="36">
        <v>5.5999999999983202E-2</v>
      </c>
      <c r="G329" s="34">
        <v>5.5999999999983202E-2</v>
      </c>
      <c r="H329" s="35">
        <v>684.3</v>
      </c>
      <c r="I329" s="37">
        <f t="shared" si="5"/>
        <v>4.7463152418935318E-2</v>
      </c>
      <c r="J329" s="33" t="s">
        <v>116</v>
      </c>
    </row>
    <row r="330" spans="1:10">
      <c r="A330" s="33" t="s">
        <v>25</v>
      </c>
      <c r="B330" s="34">
        <v>418.65899999999999</v>
      </c>
      <c r="C330" s="35">
        <v>14417.5</v>
      </c>
      <c r="D330" s="33" t="s">
        <v>274</v>
      </c>
      <c r="E330" s="34">
        <v>418.60700000000003</v>
      </c>
      <c r="F330" s="36">
        <v>5.1999999999964103E-2</v>
      </c>
      <c r="G330" s="34">
        <v>5.1999999999964103E-2</v>
      </c>
      <c r="H330" s="35">
        <v>22</v>
      </c>
      <c r="I330" s="37">
        <f t="shared" si="5"/>
        <v>1.5259233570313856E-3</v>
      </c>
      <c r="J330" s="33"/>
    </row>
    <row r="331" spans="1:10">
      <c r="A331" s="33" t="s">
        <v>25</v>
      </c>
      <c r="B331" s="34">
        <v>418.65899999999999</v>
      </c>
      <c r="C331" s="35">
        <v>14417.5</v>
      </c>
      <c r="D331" s="33" t="s">
        <v>237</v>
      </c>
      <c r="E331" s="34">
        <v>418.61200000000002</v>
      </c>
      <c r="F331" s="36">
        <v>4.6999999999968602E-2</v>
      </c>
      <c r="G331" s="34">
        <v>4.6999999999968602E-2</v>
      </c>
      <c r="H331" s="35">
        <v>118.9</v>
      </c>
      <c r="I331" s="37">
        <f t="shared" si="5"/>
        <v>8.2469221432287156E-3</v>
      </c>
      <c r="J331" s="33"/>
    </row>
    <row r="332" spans="1:10">
      <c r="A332" s="33" t="s">
        <v>25</v>
      </c>
      <c r="B332" s="34">
        <v>418.65899999999999</v>
      </c>
      <c r="C332" s="35">
        <v>14417.5</v>
      </c>
      <c r="D332" s="33" t="s">
        <v>201</v>
      </c>
      <c r="E332" s="34">
        <v>418.62099999999998</v>
      </c>
      <c r="F332" s="36">
        <v>3.80000000000109E-2</v>
      </c>
      <c r="G332" s="34">
        <v>3.80000000000109E-2</v>
      </c>
      <c r="H332" s="35">
        <v>257.89999999999998</v>
      </c>
      <c r="I332" s="37">
        <f t="shared" si="5"/>
        <v>1.7887983353563376E-2</v>
      </c>
      <c r="J332" s="33"/>
    </row>
    <row r="333" spans="1:10">
      <c r="A333" s="33" t="s">
        <v>25</v>
      </c>
      <c r="B333" s="34">
        <v>418.65899999999999</v>
      </c>
      <c r="C333" s="35">
        <v>14417.5</v>
      </c>
      <c r="D333" s="33" t="s">
        <v>275</v>
      </c>
      <c r="E333" s="34">
        <v>418.62799999999999</v>
      </c>
      <c r="F333" s="36">
        <v>3.1000000000005901E-2</v>
      </c>
      <c r="G333" s="34">
        <v>3.1000000000005901E-2</v>
      </c>
      <c r="H333" s="35">
        <v>47</v>
      </c>
      <c r="I333" s="37">
        <f t="shared" si="5"/>
        <v>3.2599271718397782E-3</v>
      </c>
      <c r="J333" s="33"/>
    </row>
    <row r="334" spans="1:10">
      <c r="A334" s="33" t="s">
        <v>25</v>
      </c>
      <c r="B334" s="34">
        <v>418.65899999999999</v>
      </c>
      <c r="C334" s="35">
        <v>14417.5</v>
      </c>
      <c r="D334" s="33" t="s">
        <v>236</v>
      </c>
      <c r="E334" s="34">
        <v>418.66699999999997</v>
      </c>
      <c r="F334" s="36">
        <v>7.9999999999813606E-3</v>
      </c>
      <c r="G334" s="34">
        <v>7.9999999999813606E-3</v>
      </c>
      <c r="H334" s="35">
        <v>908.9</v>
      </c>
      <c r="I334" s="37">
        <f t="shared" si="5"/>
        <v>6.3041442691173913E-2</v>
      </c>
      <c r="J334" s="33"/>
    </row>
    <row r="335" spans="1:10">
      <c r="A335" s="33" t="s">
        <v>25</v>
      </c>
      <c r="B335" s="34">
        <v>418.65899999999999</v>
      </c>
      <c r="C335" s="35">
        <v>14417.5</v>
      </c>
      <c r="D335" s="33" t="s">
        <v>278</v>
      </c>
      <c r="E335" s="34">
        <v>418.66899999999998</v>
      </c>
      <c r="F335" s="36">
        <v>9.9999999999909103E-3</v>
      </c>
      <c r="G335" s="34">
        <v>9.9999999999909103E-3</v>
      </c>
      <c r="H335" s="35">
        <v>83</v>
      </c>
      <c r="I335" s="37">
        <f t="shared" si="5"/>
        <v>5.7568926651638637E-3</v>
      </c>
      <c r="J335" s="33"/>
    </row>
    <row r="336" spans="1:10">
      <c r="A336" s="33" t="s">
        <v>25</v>
      </c>
      <c r="B336" s="34">
        <v>418.65899999999999</v>
      </c>
      <c r="C336" s="35">
        <v>14417.5</v>
      </c>
      <c r="D336" s="33" t="s">
        <v>33</v>
      </c>
      <c r="E336" s="34">
        <v>418.68200000000002</v>
      </c>
      <c r="F336" s="36">
        <v>2.3000000000024601E-2</v>
      </c>
      <c r="G336" s="34">
        <v>2.3000000000024601E-2</v>
      </c>
      <c r="H336" s="35">
        <v>1403.3</v>
      </c>
      <c r="I336" s="37">
        <f t="shared" si="5"/>
        <v>9.7333102132824686E-2</v>
      </c>
      <c r="J336" s="33" t="s">
        <v>116</v>
      </c>
    </row>
    <row r="337" spans="1:10">
      <c r="A337" s="33" t="s">
        <v>25</v>
      </c>
      <c r="B337" s="34">
        <v>418.65899999999999</v>
      </c>
      <c r="C337" s="35">
        <v>14417.5</v>
      </c>
      <c r="D337" s="33" t="s">
        <v>97</v>
      </c>
      <c r="E337" s="34">
        <v>418.70400000000001</v>
      </c>
      <c r="F337" s="36">
        <v>4.5000000000015902E-2</v>
      </c>
      <c r="G337" s="34">
        <v>4.5000000000015902E-2</v>
      </c>
      <c r="H337" s="35">
        <v>45.7</v>
      </c>
      <c r="I337" s="37">
        <f t="shared" si="5"/>
        <v>3.1697589734697418E-3</v>
      </c>
      <c r="J337" s="33"/>
    </row>
    <row r="338" spans="1:10">
      <c r="A338" s="33" t="s">
        <v>25</v>
      </c>
      <c r="B338" s="34">
        <v>418.65899999999999</v>
      </c>
      <c r="C338" s="35">
        <v>14417.5</v>
      </c>
      <c r="D338" s="33" t="s">
        <v>133</v>
      </c>
      <c r="E338" s="34">
        <v>418.73</v>
      </c>
      <c r="F338" s="36">
        <v>7.1000000000026403E-2</v>
      </c>
      <c r="G338" s="34">
        <v>7.1000000000026403E-2</v>
      </c>
      <c r="H338" s="35">
        <v>221.9</v>
      </c>
      <c r="I338" s="37">
        <f t="shared" si="5"/>
        <v>1.5391017860239293E-2</v>
      </c>
      <c r="J338" s="33"/>
    </row>
    <row r="339" spans="1:10">
      <c r="A339" s="33" t="s">
        <v>25</v>
      </c>
      <c r="B339" s="34">
        <v>418.65899999999999</v>
      </c>
      <c r="C339" s="35">
        <v>14417.5</v>
      </c>
      <c r="D339" s="33" t="s">
        <v>25</v>
      </c>
      <c r="E339" s="34">
        <v>418.73200000000003</v>
      </c>
      <c r="F339" s="36">
        <v>7.3000000000035897E-2</v>
      </c>
      <c r="G339" s="34">
        <v>7.3000000000035897E-2</v>
      </c>
      <c r="H339" s="35">
        <v>2246</v>
      </c>
      <c r="I339" s="37">
        <f t="shared" si="5"/>
        <v>0.15578290272238599</v>
      </c>
      <c r="J339" s="33" t="s">
        <v>116</v>
      </c>
    </row>
    <row r="340" spans="1:10">
      <c r="A340" s="33" t="s">
        <v>25</v>
      </c>
      <c r="B340" s="34">
        <v>418.65899999999999</v>
      </c>
      <c r="C340" s="35">
        <v>14417.5</v>
      </c>
      <c r="D340" s="33" t="s">
        <v>236</v>
      </c>
      <c r="E340" s="34">
        <v>418.75099999999998</v>
      </c>
      <c r="F340" s="36">
        <v>9.1999999999984497E-2</v>
      </c>
      <c r="G340" s="34">
        <v>9.1999999999984497E-2</v>
      </c>
      <c r="H340" s="35">
        <v>227</v>
      </c>
      <c r="I340" s="37">
        <f t="shared" si="5"/>
        <v>1.5744754638460205E-2</v>
      </c>
      <c r="J340" s="33"/>
    </row>
    <row r="341" spans="1:10">
      <c r="A341" s="33" t="s">
        <v>25</v>
      </c>
      <c r="B341" s="34">
        <v>418.65899999999999</v>
      </c>
      <c r="C341" s="35">
        <v>14417.5</v>
      </c>
      <c r="D341" s="33" t="s">
        <v>184</v>
      </c>
      <c r="E341" s="34">
        <v>418.76100000000002</v>
      </c>
      <c r="F341" s="36">
        <v>0.102000000000032</v>
      </c>
      <c r="G341" s="34">
        <v>0.102000000000032</v>
      </c>
      <c r="H341" s="35">
        <v>26.1</v>
      </c>
      <c r="I341" s="37">
        <f t="shared" si="5"/>
        <v>1.8102999826599619E-3</v>
      </c>
      <c r="J341" s="33"/>
    </row>
    <row r="342" spans="1:10">
      <c r="A342" s="33" t="s">
        <v>25</v>
      </c>
      <c r="B342" s="34">
        <v>418.65899999999999</v>
      </c>
      <c r="C342" s="35">
        <v>14417.5</v>
      </c>
      <c r="D342" s="33" t="s">
        <v>269</v>
      </c>
      <c r="E342" s="34">
        <v>418.767</v>
      </c>
      <c r="F342" s="36">
        <v>0.108000000000004</v>
      </c>
      <c r="G342" s="34">
        <v>0.108000000000004</v>
      </c>
      <c r="H342" s="35">
        <v>123.6</v>
      </c>
      <c r="I342" s="37">
        <f t="shared" si="5"/>
        <v>8.5729148604126917E-3</v>
      </c>
      <c r="J342" s="33"/>
    </row>
    <row r="343" spans="1:10">
      <c r="A343" s="33" t="s">
        <v>25</v>
      </c>
      <c r="B343" s="34">
        <v>418.65899999999999</v>
      </c>
      <c r="C343" s="35">
        <v>14417.5</v>
      </c>
      <c r="D343" s="33" t="s">
        <v>283</v>
      </c>
      <c r="E343" s="34">
        <v>418.77300000000002</v>
      </c>
      <c r="F343" s="36">
        <v>0.11400000000003301</v>
      </c>
      <c r="G343" s="34">
        <v>0.11400000000003301</v>
      </c>
      <c r="H343" s="35">
        <v>5.6</v>
      </c>
      <c r="I343" s="37">
        <f t="shared" si="5"/>
        <v>3.8841685451707991E-4</v>
      </c>
      <c r="J343" s="33"/>
    </row>
    <row r="344" spans="1:10">
      <c r="A344" s="33" t="s">
        <v>25</v>
      </c>
      <c r="B344" s="34">
        <v>418.65899999999999</v>
      </c>
      <c r="C344" s="35">
        <v>14417.5</v>
      </c>
      <c r="D344" s="33" t="s">
        <v>97</v>
      </c>
      <c r="E344" s="34">
        <v>418.779</v>
      </c>
      <c r="F344" s="36">
        <v>0.12000000000000501</v>
      </c>
      <c r="G344" s="34">
        <v>0.12000000000000501</v>
      </c>
      <c r="H344" s="35">
        <v>47.6</v>
      </c>
      <c r="I344" s="37">
        <f t="shared" si="5"/>
        <v>3.3015432633951795E-3</v>
      </c>
      <c r="J344" s="33"/>
    </row>
    <row r="345" spans="1:10">
      <c r="A345" s="33" t="s">
        <v>25</v>
      </c>
      <c r="B345" s="34">
        <v>418.65899999999999</v>
      </c>
      <c r="C345" s="35">
        <v>14417.5</v>
      </c>
      <c r="D345" s="33" t="s">
        <v>165</v>
      </c>
      <c r="E345" s="34">
        <v>418.78500000000003</v>
      </c>
      <c r="F345" s="36">
        <v>0.126000000000033</v>
      </c>
      <c r="G345" s="34">
        <v>0.126000000000033</v>
      </c>
      <c r="H345" s="35">
        <v>1.2</v>
      </c>
      <c r="I345" s="37">
        <f t="shared" si="5"/>
        <v>8.3232183110802839E-5</v>
      </c>
      <c r="J345" s="33"/>
    </row>
    <row r="346" spans="1:10">
      <c r="A346" s="33" t="s">
        <v>25</v>
      </c>
      <c r="B346" s="34">
        <v>418.65899999999999</v>
      </c>
      <c r="C346" s="35">
        <v>14417.5</v>
      </c>
      <c r="D346" s="33" t="s">
        <v>277</v>
      </c>
      <c r="E346" s="34">
        <v>418.80599999999998</v>
      </c>
      <c r="F346" s="36">
        <v>0.146999999999991</v>
      </c>
      <c r="G346" s="34">
        <v>0.146999999999991</v>
      </c>
      <c r="H346" s="35">
        <v>282</v>
      </c>
      <c r="I346" s="37">
        <f t="shared" si="5"/>
        <v>1.9559563031038667E-2</v>
      </c>
      <c r="J346" s="33"/>
    </row>
    <row r="347" spans="1:10">
      <c r="A347" s="33" t="s">
        <v>25</v>
      </c>
      <c r="B347" s="34">
        <v>418.65899999999999</v>
      </c>
      <c r="C347" s="35">
        <v>14417.5</v>
      </c>
      <c r="D347" s="33" t="s">
        <v>270</v>
      </c>
      <c r="E347" s="34">
        <v>418.81299999999999</v>
      </c>
      <c r="F347" s="36">
        <v>0.153999999999996</v>
      </c>
      <c r="G347" s="34">
        <v>0.153999999999996</v>
      </c>
      <c r="H347" s="35">
        <v>4863.7</v>
      </c>
      <c r="I347" s="37">
        <f t="shared" si="5"/>
        <v>0.33734697416334314</v>
      </c>
      <c r="J347" s="33"/>
    </row>
    <row r="348" spans="1:10">
      <c r="A348" s="33" t="s">
        <v>25</v>
      </c>
      <c r="B348" s="34">
        <v>418.65899999999999</v>
      </c>
      <c r="C348" s="35">
        <v>14417.5</v>
      </c>
      <c r="D348" s="33" t="s">
        <v>27</v>
      </c>
      <c r="E348" s="34">
        <v>418.82299999999998</v>
      </c>
      <c r="F348" s="36">
        <v>0.16399999999998699</v>
      </c>
      <c r="G348" s="34">
        <v>0.16399999999998699</v>
      </c>
      <c r="H348" s="35">
        <v>505.2</v>
      </c>
      <c r="I348" s="37">
        <f t="shared" si="5"/>
        <v>3.5040749089647993E-2</v>
      </c>
      <c r="J348" s="33" t="s">
        <v>116</v>
      </c>
    </row>
    <row r="349" spans="1:10">
      <c r="A349" s="33" t="s">
        <v>25</v>
      </c>
      <c r="B349" s="34">
        <v>418.65899999999999</v>
      </c>
      <c r="C349" s="35">
        <v>14417.5</v>
      </c>
      <c r="D349" s="33" t="s">
        <v>275</v>
      </c>
      <c r="E349" s="34">
        <v>418.83199999999999</v>
      </c>
      <c r="F349" s="36">
        <v>0.17300000000000201</v>
      </c>
      <c r="G349" s="34">
        <v>0.17300000000000201</v>
      </c>
      <c r="H349" s="35">
        <v>341.4</v>
      </c>
      <c r="I349" s="37">
        <f t="shared" si="5"/>
        <v>2.3679556095023407E-2</v>
      </c>
      <c r="J349" s="33"/>
    </row>
    <row r="350" spans="1:10">
      <c r="A350" s="33" t="s">
        <v>25</v>
      </c>
      <c r="B350" s="34">
        <v>418.65899999999999</v>
      </c>
      <c r="C350" s="35">
        <v>14417.5</v>
      </c>
      <c r="D350" s="33" t="s">
        <v>25</v>
      </c>
      <c r="E350" s="34">
        <v>418.86599999999999</v>
      </c>
      <c r="F350" s="36">
        <v>0.20699999999999399</v>
      </c>
      <c r="G350" s="34">
        <v>0.20699999999999399</v>
      </c>
      <c r="H350" s="35">
        <v>53.6</v>
      </c>
      <c r="I350" s="37">
        <f t="shared" si="5"/>
        <v>3.7177041789491936E-3</v>
      </c>
      <c r="J350" s="33" t="s">
        <v>116</v>
      </c>
    </row>
    <row r="351" spans="1:10">
      <c r="A351" s="33" t="s">
        <v>25</v>
      </c>
      <c r="B351" s="34">
        <v>418.65899999999999</v>
      </c>
      <c r="C351" s="35">
        <v>14417.5</v>
      </c>
      <c r="D351" s="33" t="s">
        <v>97</v>
      </c>
      <c r="E351" s="34">
        <v>418.88600000000002</v>
      </c>
      <c r="F351" s="36">
        <v>0.22700000000003201</v>
      </c>
      <c r="G351" s="34">
        <v>0.22700000000003201</v>
      </c>
      <c r="H351" s="35">
        <v>2.6</v>
      </c>
      <c r="I351" s="37">
        <f t="shared" si="5"/>
        <v>1.8033639674007283E-4</v>
      </c>
      <c r="J351" s="33"/>
    </row>
    <row r="352" spans="1:10">
      <c r="A352" s="33" t="s">
        <v>25</v>
      </c>
      <c r="B352" s="34">
        <v>422.26</v>
      </c>
      <c r="C352" s="35">
        <v>11589</v>
      </c>
      <c r="D352" s="33" t="s">
        <v>36</v>
      </c>
      <c r="E352" s="34">
        <v>422</v>
      </c>
      <c r="F352" s="36">
        <v>0.26</v>
      </c>
      <c r="G352" s="34">
        <v>0.26</v>
      </c>
      <c r="H352" s="35">
        <v>304.2</v>
      </c>
      <c r="I352" s="37">
        <f t="shared" si="5"/>
        <v>2.624902925187678E-2</v>
      </c>
      <c r="J352" s="33" t="s">
        <v>116</v>
      </c>
    </row>
    <row r="353" spans="1:10">
      <c r="A353" s="33" t="s">
        <v>25</v>
      </c>
      <c r="B353" s="34">
        <v>422.26</v>
      </c>
      <c r="C353" s="35">
        <v>11589</v>
      </c>
      <c r="D353" s="33" t="s">
        <v>273</v>
      </c>
      <c r="E353" s="34">
        <v>422.05900000000003</v>
      </c>
      <c r="F353" s="36">
        <v>0.20099999999996501</v>
      </c>
      <c r="G353" s="34">
        <v>0.20099999999996501</v>
      </c>
      <c r="H353" s="35">
        <v>110.3</v>
      </c>
      <c r="I353" s="37">
        <f t="shared" si="5"/>
        <v>9.5176460436620924E-3</v>
      </c>
      <c r="J353" s="33"/>
    </row>
    <row r="354" spans="1:10">
      <c r="A354" s="33" t="s">
        <v>25</v>
      </c>
      <c r="B354" s="34">
        <v>422.26</v>
      </c>
      <c r="C354" s="35">
        <v>11589</v>
      </c>
      <c r="D354" s="33" t="s">
        <v>240</v>
      </c>
      <c r="E354" s="34">
        <v>422.06099999999998</v>
      </c>
      <c r="F354" s="36">
        <v>0.199000000000012</v>
      </c>
      <c r="G354" s="34">
        <v>0.199000000000012</v>
      </c>
      <c r="H354" s="35">
        <v>20</v>
      </c>
      <c r="I354" s="37">
        <f t="shared" si="5"/>
        <v>1.7257744412805247E-3</v>
      </c>
      <c r="J354" s="33"/>
    </row>
    <row r="355" spans="1:10">
      <c r="A355" s="33" t="s">
        <v>25</v>
      </c>
      <c r="B355" s="34">
        <v>422.26</v>
      </c>
      <c r="C355" s="35">
        <v>11589</v>
      </c>
      <c r="D355" s="33" t="s">
        <v>116</v>
      </c>
      <c r="E355" s="34">
        <v>422.06299999999999</v>
      </c>
      <c r="F355" s="36">
        <v>0.19700000000000001</v>
      </c>
      <c r="G355" s="34">
        <v>0.19700000000000001</v>
      </c>
      <c r="H355" s="35">
        <v>132.1</v>
      </c>
      <c r="I355" s="37">
        <f t="shared" si="5"/>
        <v>1.1398740184657865E-2</v>
      </c>
      <c r="J355" s="33" t="s">
        <v>116</v>
      </c>
    </row>
    <row r="356" spans="1:10">
      <c r="A356" s="33" t="s">
        <v>25</v>
      </c>
      <c r="B356" s="34">
        <v>422.26</v>
      </c>
      <c r="C356" s="35">
        <v>11589</v>
      </c>
      <c r="D356" s="33" t="s">
        <v>270</v>
      </c>
      <c r="E356" s="34">
        <v>422.06599999999997</v>
      </c>
      <c r="F356" s="36">
        <v>0.19400000000001699</v>
      </c>
      <c r="G356" s="34">
        <v>0.19400000000001699</v>
      </c>
      <c r="H356" s="35">
        <v>7995.8</v>
      </c>
      <c r="I356" s="37">
        <f t="shared" si="5"/>
        <v>0.68994736387954092</v>
      </c>
      <c r="J356" s="33"/>
    </row>
    <row r="357" spans="1:10">
      <c r="A357" s="33" t="s">
        <v>25</v>
      </c>
      <c r="B357" s="34">
        <v>422.26</v>
      </c>
      <c r="C357" s="35">
        <v>11589</v>
      </c>
      <c r="D357" s="33" t="s">
        <v>268</v>
      </c>
      <c r="E357" s="34">
        <v>422.06799999999998</v>
      </c>
      <c r="F357" s="36">
        <v>0.192000000000007</v>
      </c>
      <c r="G357" s="34">
        <v>0.192000000000007</v>
      </c>
      <c r="H357" s="35">
        <v>76.3</v>
      </c>
      <c r="I357" s="37">
        <f t="shared" si="5"/>
        <v>6.5838294934852009E-3</v>
      </c>
      <c r="J357" s="33"/>
    </row>
    <row r="358" spans="1:10">
      <c r="A358" s="33" t="s">
        <v>25</v>
      </c>
      <c r="B358" s="34">
        <v>422.26</v>
      </c>
      <c r="C358" s="35">
        <v>11589</v>
      </c>
      <c r="D358" s="33" t="s">
        <v>25</v>
      </c>
      <c r="E358" s="34">
        <v>422.077</v>
      </c>
      <c r="F358" s="36">
        <v>0.182999999999993</v>
      </c>
      <c r="G358" s="34">
        <v>0.182999999999993</v>
      </c>
      <c r="H358" s="35">
        <v>312.3</v>
      </c>
      <c r="I358" s="37">
        <f t="shared" si="5"/>
        <v>2.6947967900595393E-2</v>
      </c>
      <c r="J358" s="33" t="s">
        <v>116</v>
      </c>
    </row>
    <row r="359" spans="1:10">
      <c r="A359" s="33" t="s">
        <v>25</v>
      </c>
      <c r="B359" s="34">
        <v>422.26</v>
      </c>
      <c r="C359" s="35">
        <v>11589</v>
      </c>
      <c r="D359" s="33" t="s">
        <v>290</v>
      </c>
      <c r="E359" s="34">
        <v>422.08</v>
      </c>
      <c r="F359" s="36">
        <v>0.18000000000000699</v>
      </c>
      <c r="G359" s="34">
        <v>0.18000000000000699</v>
      </c>
      <c r="H359" s="35">
        <v>28</v>
      </c>
      <c r="I359" s="37">
        <f t="shared" si="5"/>
        <v>2.4160842177927346E-3</v>
      </c>
      <c r="J359" s="33"/>
    </row>
    <row r="360" spans="1:10">
      <c r="A360" s="33" t="s">
        <v>25</v>
      </c>
      <c r="B360" s="34">
        <v>422.26</v>
      </c>
      <c r="C360" s="35">
        <v>11589</v>
      </c>
      <c r="D360" s="33" t="s">
        <v>279</v>
      </c>
      <c r="E360" s="34">
        <v>422.10700000000003</v>
      </c>
      <c r="F360" s="36">
        <v>0.152999999999963</v>
      </c>
      <c r="G360" s="34">
        <v>0.152999999999963</v>
      </c>
      <c r="H360" s="35">
        <v>36.799999999999997</v>
      </c>
      <c r="I360" s="37">
        <f t="shared" si="5"/>
        <v>3.1754249719561649E-3</v>
      </c>
      <c r="J360" s="33"/>
    </row>
    <row r="361" spans="1:10">
      <c r="A361" s="33" t="s">
        <v>25</v>
      </c>
      <c r="B361" s="34">
        <v>422.26</v>
      </c>
      <c r="C361" s="35">
        <v>11589</v>
      </c>
      <c r="D361" s="33" t="s">
        <v>280</v>
      </c>
      <c r="E361" s="34">
        <v>422.108</v>
      </c>
      <c r="F361" s="36">
        <v>0.15199999999998701</v>
      </c>
      <c r="G361" s="34">
        <v>0.15199999999998701</v>
      </c>
      <c r="H361" s="35">
        <v>142.69999999999999</v>
      </c>
      <c r="I361" s="37">
        <f t="shared" si="5"/>
        <v>1.2313400638536542E-2</v>
      </c>
      <c r="J361" s="33"/>
    </row>
    <row r="362" spans="1:10">
      <c r="A362" s="33" t="s">
        <v>25</v>
      </c>
      <c r="B362" s="34">
        <v>422.26</v>
      </c>
      <c r="C362" s="35">
        <v>11589</v>
      </c>
      <c r="D362" s="33" t="s">
        <v>33</v>
      </c>
      <c r="E362" s="34">
        <v>422.11099999999999</v>
      </c>
      <c r="F362" s="36">
        <v>0.14900000000000099</v>
      </c>
      <c r="G362" s="34">
        <v>0.14900000000000099</v>
      </c>
      <c r="H362" s="35">
        <v>863.8</v>
      </c>
      <c r="I362" s="37">
        <f t="shared" si="5"/>
        <v>7.4536198118905855E-2</v>
      </c>
      <c r="J362" s="33" t="s">
        <v>116</v>
      </c>
    </row>
    <row r="363" spans="1:10">
      <c r="A363" s="33" t="s">
        <v>25</v>
      </c>
      <c r="B363" s="34">
        <v>422.26</v>
      </c>
      <c r="C363" s="35">
        <v>11589</v>
      </c>
      <c r="D363" s="33" t="s">
        <v>27</v>
      </c>
      <c r="E363" s="34">
        <v>422.113</v>
      </c>
      <c r="F363" s="36">
        <v>0.146999999999991</v>
      </c>
      <c r="G363" s="34">
        <v>0.146999999999991</v>
      </c>
      <c r="H363" s="35">
        <v>995.3</v>
      </c>
      <c r="I363" s="37">
        <f t="shared" si="5"/>
        <v>8.5883165070325299E-2</v>
      </c>
      <c r="J363" s="33" t="s">
        <v>116</v>
      </c>
    </row>
    <row r="364" spans="1:10">
      <c r="A364" s="33" t="s">
        <v>25</v>
      </c>
      <c r="B364" s="34">
        <v>422.26</v>
      </c>
      <c r="C364" s="35">
        <v>11589</v>
      </c>
      <c r="D364" s="33" t="s">
        <v>25</v>
      </c>
      <c r="E364" s="34">
        <v>422.11700000000002</v>
      </c>
      <c r="F364" s="36">
        <v>0.14299999999997201</v>
      </c>
      <c r="G364" s="34">
        <v>0.14299999999997201</v>
      </c>
      <c r="H364" s="35">
        <v>482.9</v>
      </c>
      <c r="I364" s="37">
        <f t="shared" si="5"/>
        <v>4.1668823884718265E-2</v>
      </c>
      <c r="J364" s="33" t="s">
        <v>116</v>
      </c>
    </row>
    <row r="365" spans="1:10">
      <c r="A365" s="33" t="s">
        <v>25</v>
      </c>
      <c r="B365" s="34">
        <v>422.26</v>
      </c>
      <c r="C365" s="35">
        <v>11589</v>
      </c>
      <c r="D365" s="33" t="s">
        <v>239</v>
      </c>
      <c r="E365" s="34">
        <v>422.15699999999998</v>
      </c>
      <c r="F365" s="36">
        <v>0.103000000000009</v>
      </c>
      <c r="G365" s="34">
        <v>0.103000000000009</v>
      </c>
      <c r="H365" s="35">
        <v>21.1</v>
      </c>
      <c r="I365" s="37">
        <f t="shared" si="5"/>
        <v>1.8206920355509535E-3</v>
      </c>
      <c r="J365" s="33"/>
    </row>
    <row r="366" spans="1:10">
      <c r="A366" s="33" t="s">
        <v>25</v>
      </c>
      <c r="B366" s="34">
        <v>422.26</v>
      </c>
      <c r="C366" s="35">
        <v>11589</v>
      </c>
      <c r="D366" s="33" t="s">
        <v>277</v>
      </c>
      <c r="E366" s="34">
        <v>422.18</v>
      </c>
      <c r="F366" s="36">
        <v>7.9999999999984098E-2</v>
      </c>
      <c r="G366" s="34">
        <v>7.9999999999984098E-2</v>
      </c>
      <c r="H366" s="35">
        <v>153.5</v>
      </c>
      <c r="I366" s="37">
        <f t="shared" si="5"/>
        <v>1.3245318836828026E-2</v>
      </c>
      <c r="J366" s="33"/>
    </row>
    <row r="367" spans="1:10">
      <c r="A367" s="33" t="s">
        <v>25</v>
      </c>
      <c r="B367" s="34">
        <v>422.26</v>
      </c>
      <c r="C367" s="35">
        <v>11589</v>
      </c>
      <c r="D367" s="33" t="s">
        <v>184</v>
      </c>
      <c r="E367" s="34">
        <v>422.185</v>
      </c>
      <c r="F367" s="36">
        <v>7.4999999999988604E-2</v>
      </c>
      <c r="G367" s="34">
        <v>7.4999999999988604E-2</v>
      </c>
      <c r="H367" s="35">
        <v>22.9</v>
      </c>
      <c r="I367" s="37">
        <f t="shared" si="5"/>
        <v>1.9760117352662005E-3</v>
      </c>
      <c r="J367" s="33"/>
    </row>
    <row r="368" spans="1:10">
      <c r="A368" s="33" t="s">
        <v>25</v>
      </c>
      <c r="B368" s="34">
        <v>422.26</v>
      </c>
      <c r="C368" s="35">
        <v>11589</v>
      </c>
      <c r="D368" s="33" t="s">
        <v>270</v>
      </c>
      <c r="E368" s="34">
        <v>422.18599999999998</v>
      </c>
      <c r="F368" s="36">
        <v>7.4000000000012306E-2</v>
      </c>
      <c r="G368" s="34">
        <v>7.4000000000012306E-2</v>
      </c>
      <c r="H368" s="35">
        <v>263.39999999999998</v>
      </c>
      <c r="I368" s="37">
        <f t="shared" si="5"/>
        <v>2.2728449391664508E-2</v>
      </c>
      <c r="J368" s="33"/>
    </row>
    <row r="369" spans="1:10">
      <c r="A369" s="33" t="s">
        <v>25</v>
      </c>
      <c r="B369" s="34">
        <v>422.26</v>
      </c>
      <c r="C369" s="35">
        <v>11589</v>
      </c>
      <c r="D369" s="33" t="s">
        <v>274</v>
      </c>
      <c r="E369" s="34">
        <v>422.20499999999998</v>
      </c>
      <c r="F369" s="36">
        <v>5.50000000000068E-2</v>
      </c>
      <c r="G369" s="34">
        <v>5.50000000000068E-2</v>
      </c>
      <c r="H369" s="35">
        <v>12.5</v>
      </c>
      <c r="I369" s="37">
        <f t="shared" si="5"/>
        <v>1.0786090258003279E-3</v>
      </c>
      <c r="J369" s="33"/>
    </row>
    <row r="370" spans="1:10">
      <c r="A370" s="33" t="s">
        <v>25</v>
      </c>
      <c r="B370" s="34">
        <v>422.26</v>
      </c>
      <c r="C370" s="35">
        <v>11589</v>
      </c>
      <c r="D370" s="33" t="s">
        <v>33</v>
      </c>
      <c r="E370" s="34">
        <v>422.221</v>
      </c>
      <c r="F370" s="36">
        <v>3.8999999999987302E-2</v>
      </c>
      <c r="G370" s="34">
        <v>3.8999999999987302E-2</v>
      </c>
      <c r="H370" s="35">
        <v>180.2</v>
      </c>
      <c r="I370" s="37">
        <f t="shared" si="5"/>
        <v>1.5549227715937527E-2</v>
      </c>
      <c r="J370" s="33" t="s">
        <v>116</v>
      </c>
    </row>
    <row r="371" spans="1:10">
      <c r="A371" s="33" t="s">
        <v>25</v>
      </c>
      <c r="B371" s="34">
        <v>422.26</v>
      </c>
      <c r="C371" s="35">
        <v>11589</v>
      </c>
      <c r="D371" s="33" t="s">
        <v>97</v>
      </c>
      <c r="E371" s="34">
        <v>422.221</v>
      </c>
      <c r="F371" s="36">
        <v>3.8999999999987302E-2</v>
      </c>
      <c r="G371" s="34">
        <v>3.8999999999987302E-2</v>
      </c>
      <c r="H371" s="35">
        <v>28.5</v>
      </c>
      <c r="I371" s="37">
        <f t="shared" si="5"/>
        <v>2.4592285788247476E-3</v>
      </c>
      <c r="J371" s="33"/>
    </row>
    <row r="372" spans="1:10">
      <c r="A372" s="33" t="s">
        <v>25</v>
      </c>
      <c r="B372" s="34">
        <v>422.26</v>
      </c>
      <c r="C372" s="35">
        <v>11589</v>
      </c>
      <c r="D372" s="33" t="s">
        <v>236</v>
      </c>
      <c r="E372" s="34">
        <v>422.238</v>
      </c>
      <c r="F372" s="36">
        <v>2.1999999999991401E-2</v>
      </c>
      <c r="G372" s="34">
        <v>2.1999999999991401E-2</v>
      </c>
      <c r="H372" s="35">
        <v>285.2</v>
      </c>
      <c r="I372" s="37">
        <f t="shared" si="5"/>
        <v>2.4609543532660282E-2</v>
      </c>
      <c r="J372" s="33"/>
    </row>
    <row r="373" spans="1:10">
      <c r="A373" s="33" t="s">
        <v>25</v>
      </c>
      <c r="B373" s="34">
        <v>422.26</v>
      </c>
      <c r="C373" s="35">
        <v>11589</v>
      </c>
      <c r="D373" s="33" t="s">
        <v>239</v>
      </c>
      <c r="E373" s="34">
        <v>422.274</v>
      </c>
      <c r="F373" s="36">
        <v>1.4000000000009999E-2</v>
      </c>
      <c r="G373" s="34">
        <v>1.4000000000009999E-2</v>
      </c>
      <c r="H373" s="35">
        <v>14.9</v>
      </c>
      <c r="I373" s="37">
        <f t="shared" si="5"/>
        <v>1.2857019587539909E-3</v>
      </c>
      <c r="J373" s="33"/>
    </row>
    <row r="374" spans="1:10">
      <c r="A374" s="33" t="s">
        <v>25</v>
      </c>
      <c r="B374" s="34">
        <v>422.26</v>
      </c>
      <c r="C374" s="35">
        <v>11589</v>
      </c>
      <c r="D374" s="33" t="s">
        <v>173</v>
      </c>
      <c r="E374" s="34">
        <v>422.29300000000001</v>
      </c>
      <c r="F374" s="36">
        <v>3.3000000000015503E-2</v>
      </c>
      <c r="G374" s="34">
        <v>3.3000000000015503E-2</v>
      </c>
      <c r="H374" s="35">
        <v>23602.799999999999</v>
      </c>
      <c r="I374" s="37">
        <f t="shared" si="5"/>
        <v>2.0366554491327982</v>
      </c>
      <c r="J374" s="33"/>
    </row>
    <row r="375" spans="1:10">
      <c r="A375" s="33" t="s">
        <v>25</v>
      </c>
      <c r="B375" s="34">
        <v>422.26</v>
      </c>
      <c r="C375" s="35">
        <v>11589</v>
      </c>
      <c r="D375" s="33" t="s">
        <v>27</v>
      </c>
      <c r="E375" s="34">
        <v>422.32</v>
      </c>
      <c r="F375" s="36">
        <v>6.0000000000002301E-2</v>
      </c>
      <c r="G375" s="34">
        <v>6.0000000000002301E-2</v>
      </c>
      <c r="H375" s="35">
        <v>763.3</v>
      </c>
      <c r="I375" s="37">
        <f t="shared" si="5"/>
        <v>6.5864181551471224E-2</v>
      </c>
      <c r="J375" s="33" t="s">
        <v>116</v>
      </c>
    </row>
    <row r="376" spans="1:10">
      <c r="A376" s="33" t="s">
        <v>25</v>
      </c>
      <c r="B376" s="34">
        <v>422.26</v>
      </c>
      <c r="C376" s="35">
        <v>11589</v>
      </c>
      <c r="D376" s="33" t="s">
        <v>270</v>
      </c>
      <c r="E376" s="34">
        <v>422.37099999999998</v>
      </c>
      <c r="F376" s="36">
        <v>0.11099999999999</v>
      </c>
      <c r="G376" s="34">
        <v>0.11099999999999</v>
      </c>
      <c r="H376" s="35">
        <v>1586.3</v>
      </c>
      <c r="I376" s="37">
        <f t="shared" si="5"/>
        <v>0.13687979981016482</v>
      </c>
      <c r="J376" s="33"/>
    </row>
    <row r="377" spans="1:10">
      <c r="A377" s="33" t="s">
        <v>25</v>
      </c>
      <c r="B377" s="34">
        <v>422.26</v>
      </c>
      <c r="C377" s="35">
        <v>11589</v>
      </c>
      <c r="D377" s="33" t="s">
        <v>25</v>
      </c>
      <c r="E377" s="34">
        <v>422.38799999999998</v>
      </c>
      <c r="F377" s="36">
        <v>0.12799999999998601</v>
      </c>
      <c r="G377" s="34">
        <v>0.12799999999998601</v>
      </c>
      <c r="H377" s="35">
        <v>968</v>
      </c>
      <c r="I377" s="37">
        <f t="shared" si="5"/>
        <v>8.3527482957977392E-2</v>
      </c>
      <c r="J377" s="33" t="s">
        <v>116</v>
      </c>
    </row>
    <row r="378" spans="1:10">
      <c r="A378" s="33" t="s">
        <v>25</v>
      </c>
      <c r="B378" s="34">
        <v>422.26</v>
      </c>
      <c r="C378" s="35">
        <v>11589</v>
      </c>
      <c r="D378" s="33" t="s">
        <v>280</v>
      </c>
      <c r="E378" s="34">
        <v>422.38799999999998</v>
      </c>
      <c r="F378" s="36">
        <v>0.12799999999998601</v>
      </c>
      <c r="G378" s="34">
        <v>0.12799999999998601</v>
      </c>
      <c r="H378" s="35">
        <v>164.2</v>
      </c>
      <c r="I378" s="37">
        <f t="shared" si="5"/>
        <v>1.4168608162913106E-2</v>
      </c>
      <c r="J378" s="33"/>
    </row>
    <row r="379" spans="1:10">
      <c r="A379" s="33" t="s">
        <v>25</v>
      </c>
      <c r="B379" s="34">
        <v>422.26</v>
      </c>
      <c r="C379" s="35">
        <v>11589</v>
      </c>
      <c r="D379" s="33" t="s">
        <v>274</v>
      </c>
      <c r="E379" s="34">
        <v>422.399</v>
      </c>
      <c r="F379" s="36">
        <v>0.13900000000001</v>
      </c>
      <c r="G379" s="34">
        <v>0.13900000000001</v>
      </c>
      <c r="H379" s="35">
        <v>22</v>
      </c>
      <c r="I379" s="37">
        <f t="shared" si="5"/>
        <v>1.8983518854085771E-3</v>
      </c>
      <c r="J379" s="33"/>
    </row>
    <row r="380" spans="1:10">
      <c r="A380" s="33" t="s">
        <v>25</v>
      </c>
      <c r="B380" s="34">
        <v>422.26</v>
      </c>
      <c r="C380" s="35">
        <v>11589</v>
      </c>
      <c r="D380" s="33" t="s">
        <v>133</v>
      </c>
      <c r="E380" s="34">
        <v>422.40800000000002</v>
      </c>
      <c r="F380" s="36">
        <v>0.148000000000025</v>
      </c>
      <c r="G380" s="34">
        <v>0.148000000000025</v>
      </c>
      <c r="H380" s="35">
        <v>10</v>
      </c>
      <c r="I380" s="37">
        <f t="shared" si="5"/>
        <v>8.6288722064026236E-4</v>
      </c>
      <c r="J380" s="33"/>
    </row>
    <row r="381" spans="1:10">
      <c r="A381" s="33" t="s">
        <v>25</v>
      </c>
      <c r="B381" s="34">
        <v>422.26</v>
      </c>
      <c r="C381" s="35">
        <v>11589</v>
      </c>
      <c r="D381" s="33" t="s">
        <v>278</v>
      </c>
      <c r="E381" s="34">
        <v>422.41300000000001</v>
      </c>
      <c r="F381" s="36">
        <v>0.15300000000002001</v>
      </c>
      <c r="G381" s="34">
        <v>0.15300000000002001</v>
      </c>
      <c r="H381" s="35">
        <v>32.9</v>
      </c>
      <c r="I381" s="37">
        <f t="shared" si="5"/>
        <v>2.8388989559064628E-3</v>
      </c>
      <c r="J381" s="33"/>
    </row>
    <row r="382" spans="1:10">
      <c r="A382" s="33" t="s">
        <v>25</v>
      </c>
      <c r="B382" s="34">
        <v>422.26</v>
      </c>
      <c r="C382" s="35">
        <v>11589</v>
      </c>
      <c r="D382" s="33" t="s">
        <v>97</v>
      </c>
      <c r="E382" s="34">
        <v>422.41699999999997</v>
      </c>
      <c r="F382" s="36">
        <v>0.15699999999998199</v>
      </c>
      <c r="G382" s="34">
        <v>0.15699999999998199</v>
      </c>
      <c r="H382" s="35">
        <v>20.5</v>
      </c>
      <c r="I382" s="37">
        <f t="shared" si="5"/>
        <v>1.7689188023125378E-3</v>
      </c>
      <c r="J382" s="33"/>
    </row>
    <row r="383" spans="1:10">
      <c r="A383" s="33" t="s">
        <v>25</v>
      </c>
      <c r="B383" s="34">
        <v>422.26</v>
      </c>
      <c r="C383" s="35">
        <v>11589</v>
      </c>
      <c r="D383" s="33" t="s">
        <v>116</v>
      </c>
      <c r="E383" s="34">
        <v>422.42500000000001</v>
      </c>
      <c r="F383" s="36">
        <v>0.16500000000000001</v>
      </c>
      <c r="G383" s="34">
        <v>0.16500000000000001</v>
      </c>
      <c r="H383" s="35">
        <v>31.9</v>
      </c>
      <c r="I383" s="37">
        <f t="shared" si="5"/>
        <v>2.7526102338424367E-3</v>
      </c>
      <c r="J383" s="33" t="s">
        <v>116</v>
      </c>
    </row>
    <row r="384" spans="1:10">
      <c r="A384" s="33" t="s">
        <v>25</v>
      </c>
      <c r="B384" s="34">
        <v>422.26</v>
      </c>
      <c r="C384" s="35">
        <v>11589</v>
      </c>
      <c r="D384" s="33" t="s">
        <v>236</v>
      </c>
      <c r="E384" s="34">
        <v>422.43</v>
      </c>
      <c r="F384" s="36">
        <v>0.170000000000016</v>
      </c>
      <c r="G384" s="34">
        <v>0.170000000000016</v>
      </c>
      <c r="H384" s="35">
        <v>459.5</v>
      </c>
      <c r="I384" s="37">
        <f t="shared" si="5"/>
        <v>3.9649667788420051E-2</v>
      </c>
      <c r="J384" s="33"/>
    </row>
    <row r="385" spans="1:10">
      <c r="A385" s="33" t="s">
        <v>25</v>
      </c>
      <c r="B385" s="34">
        <v>422.26</v>
      </c>
      <c r="C385" s="35">
        <v>11589</v>
      </c>
      <c r="D385" s="33" t="s">
        <v>240</v>
      </c>
      <c r="E385" s="34">
        <v>422.43200000000002</v>
      </c>
      <c r="F385" s="36">
        <v>0.17200000000002599</v>
      </c>
      <c r="G385" s="34">
        <v>0.17200000000002599</v>
      </c>
      <c r="H385" s="35">
        <v>1</v>
      </c>
      <c r="I385" s="37">
        <f t="shared" si="5"/>
        <v>8.6288722064026231E-5</v>
      </c>
      <c r="J385" s="33"/>
    </row>
    <row r="386" spans="1:10">
      <c r="A386" s="33" t="s">
        <v>25</v>
      </c>
      <c r="B386" s="34">
        <v>422.26</v>
      </c>
      <c r="C386" s="35">
        <v>11589</v>
      </c>
      <c r="D386" s="33" t="s">
        <v>239</v>
      </c>
      <c r="E386" s="34">
        <v>422.45299999999997</v>
      </c>
      <c r="F386" s="36">
        <v>0.19299999999998399</v>
      </c>
      <c r="G386" s="34">
        <v>0.19299999999998399</v>
      </c>
      <c r="H386" s="35">
        <v>12.9</v>
      </c>
      <c r="I386" s="37">
        <f t="shared" ref="I386:I449" si="6">H386/C386</f>
        <v>1.1131245146259385E-3</v>
      </c>
      <c r="J386" s="33"/>
    </row>
    <row r="387" spans="1:10">
      <c r="A387" s="33" t="s">
        <v>25</v>
      </c>
      <c r="B387" s="34">
        <v>422.26</v>
      </c>
      <c r="C387" s="35">
        <v>11589</v>
      </c>
      <c r="D387" s="33" t="s">
        <v>25</v>
      </c>
      <c r="E387" s="34">
        <v>422.45600000000002</v>
      </c>
      <c r="F387" s="36">
        <v>0.19600000000002599</v>
      </c>
      <c r="G387" s="34">
        <v>0.19600000000002599</v>
      </c>
      <c r="H387" s="35">
        <v>425.4</v>
      </c>
      <c r="I387" s="37">
        <f t="shared" si="6"/>
        <v>3.6707222366036754E-2</v>
      </c>
      <c r="J387" s="33" t="s">
        <v>116</v>
      </c>
    </row>
    <row r="388" spans="1:10">
      <c r="A388" s="33" t="s">
        <v>25</v>
      </c>
      <c r="B388" s="34">
        <v>422.26</v>
      </c>
      <c r="C388" s="35">
        <v>11589</v>
      </c>
      <c r="D388" s="33" t="s">
        <v>278</v>
      </c>
      <c r="E388" s="34">
        <v>422.459</v>
      </c>
      <c r="F388" s="36">
        <v>0.199000000000012</v>
      </c>
      <c r="G388" s="34">
        <v>0.199000000000012</v>
      </c>
      <c r="H388" s="35">
        <v>45.6</v>
      </c>
      <c r="I388" s="37">
        <f t="shared" si="6"/>
        <v>3.9347657261195965E-3</v>
      </c>
      <c r="J388" s="33"/>
    </row>
    <row r="389" spans="1:10">
      <c r="A389" s="33" t="s">
        <v>25</v>
      </c>
      <c r="B389" s="34">
        <v>446.02100000000002</v>
      </c>
      <c r="C389" s="35">
        <v>25595.5</v>
      </c>
      <c r="D389" s="33" t="s">
        <v>116</v>
      </c>
      <c r="E389" s="34">
        <v>445.30099999999999</v>
      </c>
      <c r="F389" s="36">
        <v>0.72</v>
      </c>
      <c r="G389" s="34">
        <v>0.72</v>
      </c>
      <c r="H389" s="35">
        <v>10.9</v>
      </c>
      <c r="I389" s="37">
        <f t="shared" si="6"/>
        <v>4.2585610751889983E-4</v>
      </c>
      <c r="J389" s="33" t="s">
        <v>116</v>
      </c>
    </row>
    <row r="390" spans="1:10">
      <c r="A390" s="33" t="s">
        <v>25</v>
      </c>
      <c r="B390" s="34">
        <v>446.02100000000002</v>
      </c>
      <c r="C390" s="35">
        <v>25595.5</v>
      </c>
      <c r="D390" s="33" t="s">
        <v>25</v>
      </c>
      <c r="E390" s="34">
        <v>445.77699999999999</v>
      </c>
      <c r="F390" s="36">
        <v>0.244000000000028</v>
      </c>
      <c r="G390" s="34">
        <v>0.244000000000028</v>
      </c>
      <c r="H390" s="35">
        <v>493.6</v>
      </c>
      <c r="I390" s="37">
        <f t="shared" si="6"/>
        <v>1.9284639878103575E-2</v>
      </c>
      <c r="J390" s="33" t="s">
        <v>116</v>
      </c>
    </row>
    <row r="391" spans="1:10">
      <c r="A391" s="33" t="s">
        <v>25</v>
      </c>
      <c r="B391" s="34">
        <v>446.02100000000002</v>
      </c>
      <c r="C391" s="35">
        <v>25595.5</v>
      </c>
      <c r="D391" s="33" t="s">
        <v>273</v>
      </c>
      <c r="E391" s="34">
        <v>445.81200000000001</v>
      </c>
      <c r="F391" s="36">
        <v>0.20900000000000299</v>
      </c>
      <c r="G391" s="34">
        <v>0.20900000000000299</v>
      </c>
      <c r="H391" s="35">
        <v>48.6</v>
      </c>
      <c r="I391" s="37">
        <f t="shared" si="6"/>
        <v>1.8987712683870212E-3</v>
      </c>
      <c r="J391" s="33"/>
    </row>
    <row r="392" spans="1:10">
      <c r="A392" s="33" t="s">
        <v>25</v>
      </c>
      <c r="B392" s="34">
        <v>446.02100000000002</v>
      </c>
      <c r="C392" s="35">
        <v>25595.5</v>
      </c>
      <c r="D392" s="33" t="s">
        <v>240</v>
      </c>
      <c r="E392" s="34">
        <v>445.82499999999999</v>
      </c>
      <c r="F392" s="36">
        <v>0.19600000000002599</v>
      </c>
      <c r="G392" s="34">
        <v>0.19600000000002599</v>
      </c>
      <c r="H392" s="35">
        <v>414.3</v>
      </c>
      <c r="I392" s="37">
        <f t="shared" si="6"/>
        <v>1.6186439022484421E-2</v>
      </c>
      <c r="J392" s="33"/>
    </row>
    <row r="393" spans="1:10">
      <c r="A393" s="33" t="s">
        <v>25</v>
      </c>
      <c r="B393" s="34">
        <v>446.02100000000002</v>
      </c>
      <c r="C393" s="35">
        <v>25595.5</v>
      </c>
      <c r="D393" s="33" t="s">
        <v>274</v>
      </c>
      <c r="E393" s="34">
        <v>445.82900000000001</v>
      </c>
      <c r="F393" s="36">
        <v>0.192000000000007</v>
      </c>
      <c r="G393" s="34">
        <v>0.192000000000007</v>
      </c>
      <c r="H393" s="35">
        <v>10.8</v>
      </c>
      <c r="I393" s="37">
        <f t="shared" si="6"/>
        <v>4.2194917075267141E-4</v>
      </c>
      <c r="J393" s="33"/>
    </row>
    <row r="394" spans="1:10">
      <c r="A394" s="33" t="s">
        <v>25</v>
      </c>
      <c r="B394" s="34">
        <v>446.02100000000002</v>
      </c>
      <c r="C394" s="35">
        <v>25595.5</v>
      </c>
      <c r="D394" s="33" t="s">
        <v>173</v>
      </c>
      <c r="E394" s="34">
        <v>445.83</v>
      </c>
      <c r="F394" s="36">
        <v>0.19100000000003101</v>
      </c>
      <c r="G394" s="34">
        <v>0.19100000000003101</v>
      </c>
      <c r="H394" s="35">
        <v>1238.7</v>
      </c>
      <c r="I394" s="37">
        <f t="shared" si="6"/>
        <v>4.8395225723271672E-2</v>
      </c>
      <c r="J394" s="33"/>
    </row>
    <row r="395" spans="1:10">
      <c r="A395" s="33" t="s">
        <v>25</v>
      </c>
      <c r="B395" s="34">
        <v>446.02100000000002</v>
      </c>
      <c r="C395" s="35">
        <v>25595.5</v>
      </c>
      <c r="D395" s="33" t="s">
        <v>278</v>
      </c>
      <c r="E395" s="34">
        <v>445.839</v>
      </c>
      <c r="F395" s="36">
        <v>0.18200000000001601</v>
      </c>
      <c r="G395" s="34">
        <v>0.18200000000001601</v>
      </c>
      <c r="H395" s="35">
        <v>22.8</v>
      </c>
      <c r="I395" s="37">
        <f t="shared" si="6"/>
        <v>8.9078158270008403E-4</v>
      </c>
      <c r="J395" s="33"/>
    </row>
    <row r="396" spans="1:10">
      <c r="A396" s="33" t="s">
        <v>25</v>
      </c>
      <c r="B396" s="34">
        <v>446.02100000000002</v>
      </c>
      <c r="C396" s="35">
        <v>25595.5</v>
      </c>
      <c r="D396" s="33" t="s">
        <v>275</v>
      </c>
      <c r="E396" s="34">
        <v>445.84399999999999</v>
      </c>
      <c r="F396" s="36">
        <v>0.177000000000021</v>
      </c>
      <c r="G396" s="34">
        <v>0.177000000000021</v>
      </c>
      <c r="H396" s="35">
        <v>13.6</v>
      </c>
      <c r="I396" s="37">
        <f t="shared" si="6"/>
        <v>5.3134340020706767E-4</v>
      </c>
      <c r="J396" s="33"/>
    </row>
    <row r="397" spans="1:10">
      <c r="A397" s="33" t="s">
        <v>25</v>
      </c>
      <c r="B397" s="34">
        <v>446.02100000000002</v>
      </c>
      <c r="C397" s="35">
        <v>25595.5</v>
      </c>
      <c r="D397" s="33" t="s">
        <v>239</v>
      </c>
      <c r="E397" s="34">
        <v>445.85</v>
      </c>
      <c r="F397" s="36">
        <v>0.17099999999999199</v>
      </c>
      <c r="G397" s="34">
        <v>0.17099999999999199</v>
      </c>
      <c r="H397" s="35">
        <v>88.4</v>
      </c>
      <c r="I397" s="37">
        <f t="shared" si="6"/>
        <v>3.45373210134594E-3</v>
      </c>
      <c r="J397" s="33"/>
    </row>
    <row r="398" spans="1:10">
      <c r="A398" s="33" t="s">
        <v>25</v>
      </c>
      <c r="B398" s="34">
        <v>446.02100000000002</v>
      </c>
      <c r="C398" s="35">
        <v>25595.5</v>
      </c>
      <c r="D398" s="33" t="s">
        <v>270</v>
      </c>
      <c r="E398" s="34">
        <v>445.851</v>
      </c>
      <c r="F398" s="36">
        <v>0.170000000000016</v>
      </c>
      <c r="G398" s="34">
        <v>0.170000000000016</v>
      </c>
      <c r="H398" s="35">
        <v>14986.8</v>
      </c>
      <c r="I398" s="37">
        <f t="shared" si="6"/>
        <v>0.58552479928112355</v>
      </c>
      <c r="J398" s="33"/>
    </row>
    <row r="399" spans="1:10">
      <c r="A399" s="33" t="s">
        <v>25</v>
      </c>
      <c r="B399" s="34">
        <v>446.02100000000002</v>
      </c>
      <c r="C399" s="35">
        <v>25595.5</v>
      </c>
      <c r="D399" s="33" t="s">
        <v>54</v>
      </c>
      <c r="E399" s="34">
        <v>445.85899999999998</v>
      </c>
      <c r="F399" s="36">
        <v>0.162000000000035</v>
      </c>
      <c r="G399" s="34">
        <v>0.162000000000035</v>
      </c>
      <c r="H399" s="35">
        <v>5.4</v>
      </c>
      <c r="I399" s="37">
        <f t="shared" si="6"/>
        <v>2.1097458537633571E-4</v>
      </c>
      <c r="J399" s="33"/>
    </row>
    <row r="400" spans="1:10">
      <c r="A400" s="33" t="s">
        <v>25</v>
      </c>
      <c r="B400" s="34">
        <v>446.02100000000002</v>
      </c>
      <c r="C400" s="35">
        <v>25595.5</v>
      </c>
      <c r="D400" s="33" t="s">
        <v>278</v>
      </c>
      <c r="E400" s="34">
        <v>445.90100000000001</v>
      </c>
      <c r="F400" s="36">
        <v>0.12000000000000501</v>
      </c>
      <c r="G400" s="34">
        <v>0.12000000000000501</v>
      </c>
      <c r="H400" s="35">
        <v>10.9</v>
      </c>
      <c r="I400" s="37">
        <f t="shared" si="6"/>
        <v>4.2585610751889983E-4</v>
      </c>
      <c r="J400" s="33"/>
    </row>
    <row r="401" spans="1:10">
      <c r="A401" s="33" t="s">
        <v>25</v>
      </c>
      <c r="B401" s="34">
        <v>446.02100000000002</v>
      </c>
      <c r="C401" s="35">
        <v>25595.5</v>
      </c>
      <c r="D401" s="33" t="s">
        <v>165</v>
      </c>
      <c r="E401" s="34">
        <v>445.90300000000002</v>
      </c>
      <c r="F401" s="36">
        <v>0.117999999999995</v>
      </c>
      <c r="G401" s="34">
        <v>0.117999999999995</v>
      </c>
      <c r="H401" s="35">
        <v>115.7</v>
      </c>
      <c r="I401" s="37">
        <f t="shared" si="6"/>
        <v>4.5203258385263035E-3</v>
      </c>
      <c r="J401" s="33"/>
    </row>
    <row r="402" spans="1:10">
      <c r="A402" s="33" t="s">
        <v>25</v>
      </c>
      <c r="B402" s="34">
        <v>446.02100000000002</v>
      </c>
      <c r="C402" s="35">
        <v>25595.5</v>
      </c>
      <c r="D402" s="33" t="s">
        <v>97</v>
      </c>
      <c r="E402" s="34">
        <v>445.91199999999998</v>
      </c>
      <c r="F402" s="36">
        <v>0.109000000000037</v>
      </c>
      <c r="G402" s="34">
        <v>0.109000000000037</v>
      </c>
      <c r="H402" s="35">
        <v>277</v>
      </c>
      <c r="I402" s="37">
        <f t="shared" si="6"/>
        <v>1.0822214842452774E-2</v>
      </c>
      <c r="J402" s="33"/>
    </row>
    <row r="403" spans="1:10">
      <c r="A403" s="33" t="s">
        <v>25</v>
      </c>
      <c r="B403" s="34">
        <v>446.02100000000002</v>
      </c>
      <c r="C403" s="35">
        <v>25595.5</v>
      </c>
      <c r="D403" s="33" t="s">
        <v>84</v>
      </c>
      <c r="E403" s="34">
        <v>445.92399999999998</v>
      </c>
      <c r="F403" s="36">
        <v>9.7000000000000003E-2</v>
      </c>
      <c r="G403" s="34">
        <v>9.7000000000000003E-2</v>
      </c>
      <c r="H403" s="35">
        <v>0.2</v>
      </c>
      <c r="I403" s="37">
        <f t="shared" si="6"/>
        <v>7.8138735324568768E-6</v>
      </c>
      <c r="J403" s="33" t="s">
        <v>116</v>
      </c>
    </row>
    <row r="404" spans="1:10">
      <c r="A404" s="33" t="s">
        <v>25</v>
      </c>
      <c r="B404" s="34">
        <v>446.02100000000002</v>
      </c>
      <c r="C404" s="35">
        <v>25595.5</v>
      </c>
      <c r="D404" s="33" t="s">
        <v>239</v>
      </c>
      <c r="E404" s="34">
        <v>445.97300000000001</v>
      </c>
      <c r="F404" s="36">
        <v>4.8000000000001798E-2</v>
      </c>
      <c r="G404" s="34">
        <v>4.8000000000001798E-2</v>
      </c>
      <c r="H404" s="35">
        <v>30.8</v>
      </c>
      <c r="I404" s="37">
        <f t="shared" si="6"/>
        <v>1.2033365239983592E-3</v>
      </c>
      <c r="J404" s="33"/>
    </row>
    <row r="405" spans="1:10">
      <c r="A405" s="33" t="s">
        <v>25</v>
      </c>
      <c r="B405" s="34">
        <v>446.02100000000002</v>
      </c>
      <c r="C405" s="35">
        <v>25595.5</v>
      </c>
      <c r="D405" s="33" t="s">
        <v>193</v>
      </c>
      <c r="E405" s="34">
        <v>445.97699999999998</v>
      </c>
      <c r="F405" s="36">
        <v>4.4000000000039598E-2</v>
      </c>
      <c r="G405" s="34">
        <v>4.4000000000039598E-2</v>
      </c>
      <c r="H405" s="35">
        <v>42.5</v>
      </c>
      <c r="I405" s="37">
        <f t="shared" si="6"/>
        <v>1.6604481256470864E-3</v>
      </c>
      <c r="J405" s="33"/>
    </row>
    <row r="406" spans="1:10">
      <c r="A406" s="33" t="s">
        <v>25</v>
      </c>
      <c r="B406" s="34">
        <v>446.02100000000002</v>
      </c>
      <c r="C406" s="35">
        <v>25595.5</v>
      </c>
      <c r="D406" s="33" t="s">
        <v>270</v>
      </c>
      <c r="E406" s="34">
        <v>445.988</v>
      </c>
      <c r="F406" s="36">
        <v>3.3000000000015503E-2</v>
      </c>
      <c r="G406" s="34">
        <v>3.3000000000015503E-2</v>
      </c>
      <c r="H406" s="35">
        <v>133.4</v>
      </c>
      <c r="I406" s="37">
        <f t="shared" si="6"/>
        <v>5.2118536461487376E-3</v>
      </c>
      <c r="J406" s="33"/>
    </row>
    <row r="407" spans="1:10">
      <c r="A407" s="33" t="s">
        <v>25</v>
      </c>
      <c r="B407" s="34">
        <v>446.02100000000002</v>
      </c>
      <c r="C407" s="35">
        <v>25595.5</v>
      </c>
      <c r="D407" s="33" t="s">
        <v>268</v>
      </c>
      <c r="E407" s="34">
        <v>446.00299999999999</v>
      </c>
      <c r="F407" s="36">
        <v>1.80000000000291E-2</v>
      </c>
      <c r="G407" s="34">
        <v>1.80000000000291E-2</v>
      </c>
      <c r="H407" s="35">
        <v>453.4</v>
      </c>
      <c r="I407" s="37">
        <f t="shared" si="6"/>
        <v>1.7714051298079739E-2</v>
      </c>
      <c r="J407" s="33"/>
    </row>
    <row r="408" spans="1:10">
      <c r="A408" s="33" t="s">
        <v>25</v>
      </c>
      <c r="B408" s="34">
        <v>446.02100000000002</v>
      </c>
      <c r="C408" s="35">
        <v>25595.5</v>
      </c>
      <c r="D408" s="33" t="s">
        <v>269</v>
      </c>
      <c r="E408" s="34">
        <v>446.00700000000001</v>
      </c>
      <c r="F408" s="36">
        <v>1.4000000000009999E-2</v>
      </c>
      <c r="G408" s="34">
        <v>1.4000000000009999E-2</v>
      </c>
      <c r="H408" s="35">
        <v>6</v>
      </c>
      <c r="I408" s="37">
        <f t="shared" si="6"/>
        <v>2.3441620597370631E-4</v>
      </c>
      <c r="J408" s="33"/>
    </row>
    <row r="409" spans="1:10">
      <c r="A409" s="33" t="s">
        <v>25</v>
      </c>
      <c r="B409" s="34">
        <v>446.02100000000002</v>
      </c>
      <c r="C409" s="35">
        <v>25595.5</v>
      </c>
      <c r="D409" s="33" t="s">
        <v>278</v>
      </c>
      <c r="E409" s="34">
        <v>446.029</v>
      </c>
      <c r="F409" s="36">
        <v>7.9999999999813606E-3</v>
      </c>
      <c r="G409" s="34">
        <v>7.9999999999813606E-3</v>
      </c>
      <c r="H409" s="35">
        <v>3217.8</v>
      </c>
      <c r="I409" s="37">
        <f t="shared" si="6"/>
        <v>0.1257174112636987</v>
      </c>
      <c r="J409" s="33"/>
    </row>
    <row r="410" spans="1:10">
      <c r="A410" s="33" t="s">
        <v>25</v>
      </c>
      <c r="B410" s="34">
        <v>446.02100000000002</v>
      </c>
      <c r="C410" s="35">
        <v>25595.5</v>
      </c>
      <c r="D410" s="33" t="s">
        <v>240</v>
      </c>
      <c r="E410" s="34">
        <v>446.03699999999998</v>
      </c>
      <c r="F410" s="36">
        <v>1.59999999999627E-2</v>
      </c>
      <c r="G410" s="34">
        <v>1.59999999999627E-2</v>
      </c>
      <c r="H410" s="35">
        <v>31.6</v>
      </c>
      <c r="I410" s="37">
        <f t="shared" si="6"/>
        <v>1.2345920181281867E-3</v>
      </c>
      <c r="J410" s="33"/>
    </row>
    <row r="411" spans="1:10">
      <c r="A411" s="33" t="s">
        <v>25</v>
      </c>
      <c r="B411" s="34">
        <v>446.02100000000002</v>
      </c>
      <c r="C411" s="35">
        <v>25595.5</v>
      </c>
      <c r="D411" s="33" t="s">
        <v>274</v>
      </c>
      <c r="E411" s="34">
        <v>446.04899999999998</v>
      </c>
      <c r="F411" s="36">
        <v>2.79999999999632E-2</v>
      </c>
      <c r="G411" s="34">
        <v>2.79999999999632E-2</v>
      </c>
      <c r="H411" s="35">
        <v>30.3</v>
      </c>
      <c r="I411" s="37">
        <f t="shared" si="6"/>
        <v>1.183801840167217E-3</v>
      </c>
      <c r="J411" s="33"/>
    </row>
    <row r="412" spans="1:10">
      <c r="A412" s="33" t="s">
        <v>25</v>
      </c>
      <c r="B412" s="34">
        <v>446.02100000000002</v>
      </c>
      <c r="C412" s="35">
        <v>25595.5</v>
      </c>
      <c r="D412" s="33" t="s">
        <v>239</v>
      </c>
      <c r="E412" s="34">
        <v>446.07499999999999</v>
      </c>
      <c r="F412" s="36">
        <v>5.3999999999973597E-2</v>
      </c>
      <c r="G412" s="34">
        <v>5.3999999999973597E-2</v>
      </c>
      <c r="H412" s="35">
        <v>8.5</v>
      </c>
      <c r="I412" s="37">
        <f t="shared" si="6"/>
        <v>3.3208962512941729E-4</v>
      </c>
      <c r="J412" s="33"/>
    </row>
    <row r="413" spans="1:10">
      <c r="A413" s="33" t="s">
        <v>25</v>
      </c>
      <c r="B413" s="34">
        <v>446.02100000000002</v>
      </c>
      <c r="C413" s="35">
        <v>25595.5</v>
      </c>
      <c r="D413" s="33" t="s">
        <v>133</v>
      </c>
      <c r="E413" s="34">
        <v>446.10199999999998</v>
      </c>
      <c r="F413" s="36">
        <v>8.0999999999960395E-2</v>
      </c>
      <c r="G413" s="34">
        <v>8.0999999999960395E-2</v>
      </c>
      <c r="H413" s="35">
        <v>7.3</v>
      </c>
      <c r="I413" s="37">
        <f t="shared" si="6"/>
        <v>2.8520638393467602E-4</v>
      </c>
      <c r="J413" s="33"/>
    </row>
    <row r="414" spans="1:10">
      <c r="A414" s="33" t="s">
        <v>25</v>
      </c>
      <c r="B414" s="34">
        <v>446.02100000000002</v>
      </c>
      <c r="C414" s="35">
        <v>25595.5</v>
      </c>
      <c r="D414" s="33" t="s">
        <v>271</v>
      </c>
      <c r="E414" s="34">
        <v>446.10599999999999</v>
      </c>
      <c r="F414" s="36">
        <v>8.4999999999979495E-2</v>
      </c>
      <c r="G414" s="34">
        <v>8.4999999999979495E-2</v>
      </c>
      <c r="H414" s="35">
        <v>743.4</v>
      </c>
      <c r="I414" s="37">
        <f t="shared" si="6"/>
        <v>2.9044167920142212E-2</v>
      </c>
      <c r="J414" s="33"/>
    </row>
    <row r="415" spans="1:10">
      <c r="A415" s="33" t="s">
        <v>25</v>
      </c>
      <c r="B415" s="34">
        <v>446.02100000000002</v>
      </c>
      <c r="C415" s="35">
        <v>25595.5</v>
      </c>
      <c r="D415" s="33" t="s">
        <v>240</v>
      </c>
      <c r="E415" s="34">
        <v>446.108</v>
      </c>
      <c r="F415" s="36">
        <v>8.69999999999891E-2</v>
      </c>
      <c r="G415" s="34">
        <v>8.69999999999891E-2</v>
      </c>
      <c r="H415" s="35">
        <v>235.2</v>
      </c>
      <c r="I415" s="37">
        <f t="shared" si="6"/>
        <v>9.1891152741692874E-3</v>
      </c>
      <c r="J415" s="33"/>
    </row>
    <row r="416" spans="1:10">
      <c r="A416" s="33" t="s">
        <v>25</v>
      </c>
      <c r="B416" s="34">
        <v>446.02100000000002</v>
      </c>
      <c r="C416" s="35">
        <v>25595.5</v>
      </c>
      <c r="D416" s="33" t="s">
        <v>25</v>
      </c>
      <c r="E416" s="34">
        <v>446.113</v>
      </c>
      <c r="F416" s="36">
        <v>9.1999999999984497E-2</v>
      </c>
      <c r="G416" s="34">
        <v>9.1999999999984497E-2</v>
      </c>
      <c r="H416" s="35">
        <v>5745</v>
      </c>
      <c r="I416" s="37">
        <f t="shared" si="6"/>
        <v>0.22445351721982379</v>
      </c>
      <c r="J416" s="33" t="s">
        <v>116</v>
      </c>
    </row>
    <row r="417" spans="1:10">
      <c r="A417" s="33" t="s">
        <v>25</v>
      </c>
      <c r="B417" s="34">
        <v>446.02100000000002</v>
      </c>
      <c r="C417" s="35">
        <v>25595.5</v>
      </c>
      <c r="D417" s="33" t="s">
        <v>269</v>
      </c>
      <c r="E417" s="34">
        <v>446.11799999999999</v>
      </c>
      <c r="F417" s="36">
        <v>9.6999999999980005E-2</v>
      </c>
      <c r="G417" s="34">
        <v>9.6999999999980005E-2</v>
      </c>
      <c r="H417" s="35">
        <v>70.599999999999994</v>
      </c>
      <c r="I417" s="37">
        <f t="shared" si="6"/>
        <v>2.7582973569572774E-3</v>
      </c>
      <c r="J417" s="33"/>
    </row>
    <row r="418" spans="1:10">
      <c r="A418" s="33" t="s">
        <v>25</v>
      </c>
      <c r="B418" s="34">
        <v>446.02100000000002</v>
      </c>
      <c r="C418" s="35">
        <v>25595.5</v>
      </c>
      <c r="D418" s="33" t="s">
        <v>236</v>
      </c>
      <c r="E418" s="34">
        <v>446.125</v>
      </c>
      <c r="F418" s="36">
        <v>0.10399999999998499</v>
      </c>
      <c r="G418" s="34">
        <v>0.10399999999998499</v>
      </c>
      <c r="H418" s="35">
        <v>2761.5</v>
      </c>
      <c r="I418" s="37">
        <f t="shared" si="6"/>
        <v>0.10789005879939834</v>
      </c>
      <c r="J418" s="33"/>
    </row>
    <row r="419" spans="1:10">
      <c r="A419" s="33" t="s">
        <v>25</v>
      </c>
      <c r="B419" s="34">
        <v>446.02100000000002</v>
      </c>
      <c r="C419" s="35">
        <v>25595.5</v>
      </c>
      <c r="D419" s="33" t="s">
        <v>271</v>
      </c>
      <c r="E419" s="34">
        <v>446.17</v>
      </c>
      <c r="F419" s="36">
        <v>0.14900000000000099</v>
      </c>
      <c r="G419" s="34">
        <v>0.14900000000000099</v>
      </c>
      <c r="H419" s="35">
        <v>334.8</v>
      </c>
      <c r="I419" s="37">
        <f t="shared" si="6"/>
        <v>1.3080424293332813E-2</v>
      </c>
      <c r="J419" s="33"/>
    </row>
    <row r="420" spans="1:10">
      <c r="A420" s="33" t="s">
        <v>25</v>
      </c>
      <c r="B420" s="34">
        <v>446.02100000000002</v>
      </c>
      <c r="C420" s="35">
        <v>25595.5</v>
      </c>
      <c r="D420" s="33" t="s">
        <v>97</v>
      </c>
      <c r="E420" s="34">
        <v>446.17099999999999</v>
      </c>
      <c r="F420" s="36">
        <v>0.14999999999997701</v>
      </c>
      <c r="G420" s="34">
        <v>0.14999999999997701</v>
      </c>
      <c r="H420" s="35">
        <v>22.1</v>
      </c>
      <c r="I420" s="37">
        <f t="shared" si="6"/>
        <v>8.6343302533648501E-4</v>
      </c>
      <c r="J420" s="33"/>
    </row>
    <row r="421" spans="1:10">
      <c r="A421" s="33" t="s">
        <v>25</v>
      </c>
      <c r="B421" s="34">
        <v>446.02100000000002</v>
      </c>
      <c r="C421" s="35">
        <v>25595.5</v>
      </c>
      <c r="D421" s="33" t="s">
        <v>36</v>
      </c>
      <c r="E421" s="34">
        <v>446.17599999999999</v>
      </c>
      <c r="F421" s="36">
        <v>0.155</v>
      </c>
      <c r="G421" s="34">
        <v>0.155</v>
      </c>
      <c r="H421" s="35">
        <v>54.9</v>
      </c>
      <c r="I421" s="37">
        <f t="shared" si="6"/>
        <v>2.1449082846594129E-3</v>
      </c>
      <c r="J421" s="33" t="s">
        <v>116</v>
      </c>
    </row>
    <row r="422" spans="1:10">
      <c r="A422" s="33" t="s">
        <v>25</v>
      </c>
      <c r="B422" s="34">
        <v>446.02100000000002</v>
      </c>
      <c r="C422" s="35">
        <v>25595.5</v>
      </c>
      <c r="D422" s="33" t="s">
        <v>240</v>
      </c>
      <c r="E422" s="34">
        <v>446.20299999999997</v>
      </c>
      <c r="F422" s="36">
        <v>0.18199999999996</v>
      </c>
      <c r="G422" s="34">
        <v>0.18199999999996</v>
      </c>
      <c r="H422" s="35">
        <v>790.5</v>
      </c>
      <c r="I422" s="37">
        <f t="shared" si="6"/>
        <v>3.0884335137035809E-2</v>
      </c>
      <c r="J422" s="33"/>
    </row>
    <row r="423" spans="1:10">
      <c r="A423" s="33" t="s">
        <v>25</v>
      </c>
      <c r="B423" s="34">
        <v>446.02100000000002</v>
      </c>
      <c r="C423" s="35">
        <v>25595.5</v>
      </c>
      <c r="D423" s="33" t="s">
        <v>278</v>
      </c>
      <c r="E423" s="34">
        <v>446.238</v>
      </c>
      <c r="F423" s="36">
        <v>0.21699999999998501</v>
      </c>
      <c r="G423" s="34">
        <v>0.21699999999998501</v>
      </c>
      <c r="H423" s="35">
        <v>7039.1</v>
      </c>
      <c r="I423" s="37">
        <f t="shared" si="6"/>
        <v>0.27501318591158602</v>
      </c>
      <c r="J423" s="33"/>
    </row>
    <row r="424" spans="1:10">
      <c r="A424" s="33" t="s">
        <v>25</v>
      </c>
      <c r="B424" s="34">
        <v>446.02100000000002</v>
      </c>
      <c r="C424" s="35">
        <v>25595.5</v>
      </c>
      <c r="D424" s="33" t="s">
        <v>165</v>
      </c>
      <c r="E424" s="34">
        <v>446.245</v>
      </c>
      <c r="F424" s="36">
        <v>0.22399999999999001</v>
      </c>
      <c r="G424" s="34">
        <v>0.22399999999999001</v>
      </c>
      <c r="H424" s="35">
        <v>32.1</v>
      </c>
      <c r="I424" s="37">
        <f t="shared" si="6"/>
        <v>1.2541267019593289E-3</v>
      </c>
      <c r="J424" s="33"/>
    </row>
    <row r="425" spans="1:10">
      <c r="A425" s="33" t="s">
        <v>25</v>
      </c>
      <c r="B425" s="34">
        <v>446.02100000000002</v>
      </c>
      <c r="C425" s="35">
        <v>25595.5</v>
      </c>
      <c r="D425" s="33" t="s">
        <v>277</v>
      </c>
      <c r="E425" s="34">
        <v>446.29700000000003</v>
      </c>
      <c r="F425" s="36">
        <v>0.27600000000001101</v>
      </c>
      <c r="G425" s="34">
        <v>0.27600000000001101</v>
      </c>
      <c r="H425" s="35">
        <v>666.6</v>
      </c>
      <c r="I425" s="37">
        <f t="shared" si="6"/>
        <v>2.6043640483678774E-2</v>
      </c>
      <c r="J425" s="33"/>
    </row>
    <row r="426" spans="1:10">
      <c r="A426" s="33" t="s">
        <v>25</v>
      </c>
      <c r="B426" s="34">
        <v>446.02100000000002</v>
      </c>
      <c r="C426" s="35">
        <v>25595.5</v>
      </c>
      <c r="D426" s="33" t="s">
        <v>27</v>
      </c>
      <c r="E426" s="34">
        <v>446.298</v>
      </c>
      <c r="F426" s="36">
        <v>0.27699999999998698</v>
      </c>
      <c r="G426" s="34">
        <v>0.27699999999998698</v>
      </c>
      <c r="H426" s="35">
        <v>13023.2</v>
      </c>
      <c r="I426" s="37">
        <f t="shared" si="6"/>
        <v>0.508808188939462</v>
      </c>
      <c r="J426" s="33" t="s">
        <v>116</v>
      </c>
    </row>
    <row r="427" spans="1:10">
      <c r="A427" s="33" t="s">
        <v>25</v>
      </c>
      <c r="B427" s="34">
        <v>446.02100000000002</v>
      </c>
      <c r="C427" s="35">
        <v>25595.5</v>
      </c>
      <c r="D427" s="33" t="s">
        <v>36</v>
      </c>
      <c r="E427" s="34">
        <v>446.32400000000001</v>
      </c>
      <c r="F427" s="36">
        <v>0.30299999999999999</v>
      </c>
      <c r="G427" s="34">
        <v>0.30299999999999999</v>
      </c>
      <c r="H427" s="35">
        <v>725.5</v>
      </c>
      <c r="I427" s="37">
        <f t="shared" si="6"/>
        <v>2.8344826238987323E-2</v>
      </c>
      <c r="J427" s="33" t="s">
        <v>116</v>
      </c>
    </row>
    <row r="428" spans="1:10">
      <c r="A428" s="33" t="s">
        <v>25</v>
      </c>
      <c r="B428" s="34">
        <v>446.02100000000002</v>
      </c>
      <c r="C428" s="35">
        <v>25595.5</v>
      </c>
      <c r="D428" s="33" t="s">
        <v>25</v>
      </c>
      <c r="E428" s="34">
        <v>446.34100000000001</v>
      </c>
      <c r="F428" s="36">
        <v>0.31999999999999301</v>
      </c>
      <c r="G428" s="34">
        <v>0.31999999999999301</v>
      </c>
      <c r="H428" s="35">
        <v>6026</v>
      </c>
      <c r="I428" s="37">
        <f t="shared" si="6"/>
        <v>0.2354320095329257</v>
      </c>
      <c r="J428" s="33" t="s">
        <v>116</v>
      </c>
    </row>
    <row r="429" spans="1:10">
      <c r="A429" s="33" t="s">
        <v>54</v>
      </c>
      <c r="B429" s="34">
        <v>228.61500000000001</v>
      </c>
      <c r="C429" s="35">
        <v>6936.5</v>
      </c>
      <c r="D429" s="33" t="s">
        <v>284</v>
      </c>
      <c r="E429" s="34">
        <v>228.36699999999999</v>
      </c>
      <c r="F429" s="36">
        <v>0.24800000000001901</v>
      </c>
      <c r="G429" s="34">
        <v>0.24800000000001901</v>
      </c>
      <c r="H429" s="35">
        <v>3.5</v>
      </c>
      <c r="I429" s="37">
        <f t="shared" si="6"/>
        <v>5.0457723635839399E-4</v>
      </c>
      <c r="J429" s="33"/>
    </row>
    <row r="430" spans="1:10">
      <c r="A430" s="33" t="s">
        <v>54</v>
      </c>
      <c r="B430" s="34">
        <v>228.61500000000001</v>
      </c>
      <c r="C430" s="35">
        <v>6936.5</v>
      </c>
      <c r="D430" s="33" t="s">
        <v>97</v>
      </c>
      <c r="E430" s="34">
        <v>228.40899999999999</v>
      </c>
      <c r="F430" s="36">
        <v>0.206000000000017</v>
      </c>
      <c r="G430" s="34">
        <v>0.206000000000017</v>
      </c>
      <c r="H430" s="35">
        <v>21.3</v>
      </c>
      <c r="I430" s="37">
        <f t="shared" si="6"/>
        <v>3.0707128955525121E-3</v>
      </c>
      <c r="J430" s="33"/>
    </row>
    <row r="431" spans="1:10">
      <c r="A431" s="33" t="s">
        <v>54</v>
      </c>
      <c r="B431" s="34">
        <v>228.61500000000001</v>
      </c>
      <c r="C431" s="35">
        <v>6936.5</v>
      </c>
      <c r="D431" s="33" t="s">
        <v>274</v>
      </c>
      <c r="E431" s="34">
        <v>228.44399999999999</v>
      </c>
      <c r="F431" s="36">
        <v>0.171000000000021</v>
      </c>
      <c r="G431" s="34">
        <v>0.171000000000021</v>
      </c>
      <c r="H431" s="35">
        <v>22.5</v>
      </c>
      <c r="I431" s="37">
        <f t="shared" si="6"/>
        <v>3.2437108051611044E-3</v>
      </c>
      <c r="J431" s="33"/>
    </row>
    <row r="432" spans="1:10">
      <c r="A432" s="33" t="s">
        <v>54</v>
      </c>
      <c r="B432" s="34">
        <v>228.61500000000001</v>
      </c>
      <c r="C432" s="35">
        <v>6936.5</v>
      </c>
      <c r="D432" s="33" t="s">
        <v>269</v>
      </c>
      <c r="E432" s="34">
        <v>228.46</v>
      </c>
      <c r="F432" s="36">
        <v>0.155000000000001</v>
      </c>
      <c r="G432" s="34">
        <v>0.155000000000001</v>
      </c>
      <c r="H432" s="35">
        <v>57.9</v>
      </c>
      <c r="I432" s="37">
        <f t="shared" si="6"/>
        <v>8.3471491386145746E-3</v>
      </c>
      <c r="J432" s="33"/>
    </row>
    <row r="433" spans="1:10">
      <c r="A433" s="33" t="s">
        <v>54</v>
      </c>
      <c r="B433" s="34">
        <v>228.61500000000001</v>
      </c>
      <c r="C433" s="35">
        <v>6936.5</v>
      </c>
      <c r="D433" s="33" t="s">
        <v>290</v>
      </c>
      <c r="E433" s="34">
        <v>228.46100000000001</v>
      </c>
      <c r="F433" s="36">
        <v>0.153999999999996</v>
      </c>
      <c r="G433" s="34">
        <v>0.153999999999996</v>
      </c>
      <c r="H433" s="35">
        <v>42</v>
      </c>
      <c r="I433" s="37">
        <f t="shared" si="6"/>
        <v>6.0549268363007279E-3</v>
      </c>
      <c r="J433" s="33"/>
    </row>
    <row r="434" spans="1:10">
      <c r="A434" s="33" t="s">
        <v>54</v>
      </c>
      <c r="B434" s="34">
        <v>228.61500000000001</v>
      </c>
      <c r="C434" s="35">
        <v>6936.5</v>
      </c>
      <c r="D434" s="33" t="s">
        <v>274</v>
      </c>
      <c r="E434" s="34">
        <v>228.46199999999999</v>
      </c>
      <c r="F434" s="36">
        <v>0.15300000000002001</v>
      </c>
      <c r="G434" s="34">
        <v>0.15300000000002001</v>
      </c>
      <c r="H434" s="35">
        <v>21.7</v>
      </c>
      <c r="I434" s="37">
        <f t="shared" si="6"/>
        <v>3.1283788654220429E-3</v>
      </c>
      <c r="J434" s="33"/>
    </row>
    <row r="435" spans="1:10">
      <c r="A435" s="33" t="s">
        <v>54</v>
      </c>
      <c r="B435" s="34">
        <v>228.61500000000001</v>
      </c>
      <c r="C435" s="35">
        <v>6936.5</v>
      </c>
      <c r="D435" s="33" t="s">
        <v>25</v>
      </c>
      <c r="E435" s="34">
        <v>228.464</v>
      </c>
      <c r="F435" s="36">
        <v>0.15100000000001099</v>
      </c>
      <c r="G435" s="34">
        <v>0.15100000000001099</v>
      </c>
      <c r="H435" s="35">
        <v>16.399999999999999</v>
      </c>
      <c r="I435" s="37">
        <f t="shared" si="6"/>
        <v>2.3643047646507605E-3</v>
      </c>
      <c r="J435" s="33" t="s">
        <v>116</v>
      </c>
    </row>
    <row r="436" spans="1:10">
      <c r="A436" s="33" t="s">
        <v>54</v>
      </c>
      <c r="B436" s="34">
        <v>228.61500000000001</v>
      </c>
      <c r="C436" s="35">
        <v>6936.5</v>
      </c>
      <c r="D436" s="33" t="s">
        <v>239</v>
      </c>
      <c r="E436" s="34">
        <v>228.46600000000001</v>
      </c>
      <c r="F436" s="36">
        <v>0.14900000000000099</v>
      </c>
      <c r="G436" s="34">
        <v>0.14900000000000099</v>
      </c>
      <c r="H436" s="35">
        <v>2.6</v>
      </c>
      <c r="I436" s="37">
        <f t="shared" si="6"/>
        <v>3.7482880415194985E-4</v>
      </c>
      <c r="J436" s="33"/>
    </row>
    <row r="437" spans="1:10">
      <c r="A437" s="33" t="s">
        <v>54</v>
      </c>
      <c r="B437" s="34">
        <v>228.61500000000001</v>
      </c>
      <c r="C437" s="35">
        <v>6936.5</v>
      </c>
      <c r="D437" s="33" t="s">
        <v>54</v>
      </c>
      <c r="E437" s="34">
        <v>228.482</v>
      </c>
      <c r="F437" s="36">
        <v>0.13300000000001</v>
      </c>
      <c r="G437" s="34">
        <v>0.13300000000001</v>
      </c>
      <c r="H437" s="35">
        <v>6.4</v>
      </c>
      <c r="I437" s="37">
        <f t="shared" si="6"/>
        <v>9.2265551791249195E-4</v>
      </c>
      <c r="J437" s="33"/>
    </row>
    <row r="438" spans="1:10">
      <c r="A438" s="33" t="s">
        <v>54</v>
      </c>
      <c r="B438" s="34">
        <v>228.61500000000001</v>
      </c>
      <c r="C438" s="35">
        <v>6936.5</v>
      </c>
      <c r="D438" s="33" t="s">
        <v>284</v>
      </c>
      <c r="E438" s="34">
        <v>228.49</v>
      </c>
      <c r="F438" s="36">
        <v>0.125</v>
      </c>
      <c r="G438" s="34">
        <v>0.125</v>
      </c>
      <c r="H438" s="35">
        <v>0.8</v>
      </c>
      <c r="I438" s="37">
        <f t="shared" si="6"/>
        <v>1.1533193973906149E-4</v>
      </c>
      <c r="J438" s="33"/>
    </row>
    <row r="439" spans="1:10">
      <c r="A439" s="33" t="s">
        <v>54</v>
      </c>
      <c r="B439" s="34">
        <v>228.61500000000001</v>
      </c>
      <c r="C439" s="35">
        <v>6936.5</v>
      </c>
      <c r="D439" s="33" t="s">
        <v>193</v>
      </c>
      <c r="E439" s="34">
        <v>228.50200000000001</v>
      </c>
      <c r="F439" s="36">
        <v>0.113</v>
      </c>
      <c r="G439" s="34">
        <v>0.113</v>
      </c>
      <c r="H439" s="35">
        <v>113.1</v>
      </c>
      <c r="I439" s="37">
        <f t="shared" si="6"/>
        <v>1.6305052980609816E-2</v>
      </c>
      <c r="J439" s="33"/>
    </row>
    <row r="440" spans="1:10">
      <c r="A440" s="33" t="s">
        <v>54</v>
      </c>
      <c r="B440" s="34">
        <v>228.61500000000001</v>
      </c>
      <c r="C440" s="35">
        <v>6936.5</v>
      </c>
      <c r="D440" s="33" t="s">
        <v>274</v>
      </c>
      <c r="E440" s="34">
        <v>228.518</v>
      </c>
      <c r="F440" s="36">
        <v>9.7000000000008399E-2</v>
      </c>
      <c r="G440" s="34">
        <v>9.7000000000008399E-2</v>
      </c>
      <c r="H440" s="35">
        <v>21.1</v>
      </c>
      <c r="I440" s="37">
        <f t="shared" si="6"/>
        <v>3.0418799106177469E-3</v>
      </c>
      <c r="J440" s="33"/>
    </row>
    <row r="441" spans="1:10">
      <c r="A441" s="33" t="s">
        <v>54</v>
      </c>
      <c r="B441" s="34">
        <v>228.61500000000001</v>
      </c>
      <c r="C441" s="35">
        <v>6936.5</v>
      </c>
      <c r="D441" s="33" t="s">
        <v>273</v>
      </c>
      <c r="E441" s="34">
        <v>228.52199999999999</v>
      </c>
      <c r="F441" s="36">
        <v>9.3000000000017694E-2</v>
      </c>
      <c r="G441" s="34">
        <v>9.3000000000017694E-2</v>
      </c>
      <c r="H441" s="35">
        <v>96.7</v>
      </c>
      <c r="I441" s="37">
        <f t="shared" si="6"/>
        <v>1.3940748215959057E-2</v>
      </c>
      <c r="J441" s="33"/>
    </row>
    <row r="442" spans="1:10">
      <c r="A442" s="33" t="s">
        <v>54</v>
      </c>
      <c r="B442" s="34">
        <v>228.61500000000001</v>
      </c>
      <c r="C442" s="35">
        <v>6936.5</v>
      </c>
      <c r="D442" s="33" t="s">
        <v>193</v>
      </c>
      <c r="E442" s="34">
        <v>228.52799999999999</v>
      </c>
      <c r="F442" s="36">
        <v>8.7000000000017494E-2</v>
      </c>
      <c r="G442" s="34">
        <v>8.7000000000017494E-2</v>
      </c>
      <c r="H442" s="35">
        <v>384.2</v>
      </c>
      <c r="I442" s="37">
        <f t="shared" si="6"/>
        <v>5.5388164059684275E-2</v>
      </c>
      <c r="J442" s="33"/>
    </row>
    <row r="443" spans="1:10">
      <c r="A443" s="33" t="s">
        <v>54</v>
      </c>
      <c r="B443" s="34">
        <v>228.61500000000001</v>
      </c>
      <c r="C443" s="35">
        <v>6936.5</v>
      </c>
      <c r="D443" s="33" t="s">
        <v>268</v>
      </c>
      <c r="E443" s="34">
        <v>228.53899999999999</v>
      </c>
      <c r="F443" s="36">
        <v>7.60000000000218E-2</v>
      </c>
      <c r="G443" s="34">
        <v>7.60000000000218E-2</v>
      </c>
      <c r="H443" s="35">
        <v>8.1</v>
      </c>
      <c r="I443" s="37">
        <f t="shared" si="6"/>
        <v>1.1677358898579974E-3</v>
      </c>
      <c r="J443" s="33"/>
    </row>
    <row r="444" spans="1:10">
      <c r="A444" s="33" t="s">
        <v>54</v>
      </c>
      <c r="B444" s="34">
        <v>228.61500000000001</v>
      </c>
      <c r="C444" s="35">
        <v>6936.5</v>
      </c>
      <c r="D444" s="33" t="s">
        <v>54</v>
      </c>
      <c r="E444" s="34">
        <v>228.541</v>
      </c>
      <c r="F444" s="36">
        <v>7.4000000000012306E-2</v>
      </c>
      <c r="G444" s="34">
        <v>7.4000000000012306E-2</v>
      </c>
      <c r="H444" s="35">
        <v>9.4</v>
      </c>
      <c r="I444" s="37">
        <f t="shared" si="6"/>
        <v>1.3551502919339725E-3</v>
      </c>
      <c r="J444" s="33"/>
    </row>
    <row r="445" spans="1:10">
      <c r="A445" s="33" t="s">
        <v>54</v>
      </c>
      <c r="B445" s="34">
        <v>228.61500000000001</v>
      </c>
      <c r="C445" s="35">
        <v>6936.5</v>
      </c>
      <c r="D445" s="33" t="s">
        <v>288</v>
      </c>
      <c r="E445" s="34">
        <v>228.6</v>
      </c>
      <c r="F445" s="36">
        <v>1.50000000000148E-2</v>
      </c>
      <c r="G445" s="34">
        <v>1.50000000000148E-2</v>
      </c>
      <c r="H445" s="35">
        <v>12.8</v>
      </c>
      <c r="I445" s="37">
        <f t="shared" si="6"/>
        <v>1.8453110358249839E-3</v>
      </c>
      <c r="J445" s="33"/>
    </row>
    <row r="446" spans="1:10">
      <c r="A446" s="33" t="s">
        <v>54</v>
      </c>
      <c r="B446" s="34">
        <v>228.61500000000001</v>
      </c>
      <c r="C446" s="35">
        <v>6936.5</v>
      </c>
      <c r="D446" s="33" t="s">
        <v>165</v>
      </c>
      <c r="E446" s="34">
        <v>228.613</v>
      </c>
      <c r="F446" s="36">
        <v>2.0000000000095501E-3</v>
      </c>
      <c r="G446" s="34">
        <v>2.0000000000095501E-3</v>
      </c>
      <c r="H446" s="35">
        <v>11</v>
      </c>
      <c r="I446" s="37">
        <f t="shared" si="6"/>
        <v>1.5858141714120955E-3</v>
      </c>
      <c r="J446" s="33"/>
    </row>
    <row r="447" spans="1:10">
      <c r="A447" s="33" t="s">
        <v>54</v>
      </c>
      <c r="B447" s="34">
        <v>228.61500000000001</v>
      </c>
      <c r="C447" s="35">
        <v>6936.5</v>
      </c>
      <c r="D447" s="33" t="s">
        <v>237</v>
      </c>
      <c r="E447" s="34">
        <v>228.61699999999999</v>
      </c>
      <c r="F447" s="36">
        <v>1.9999999999811302E-3</v>
      </c>
      <c r="G447" s="34">
        <v>1.9999999999811302E-3</v>
      </c>
      <c r="H447" s="35">
        <v>34.4</v>
      </c>
      <c r="I447" s="37">
        <f t="shared" si="6"/>
        <v>4.959273408779644E-3</v>
      </c>
      <c r="J447" s="33"/>
    </row>
    <row r="448" spans="1:10">
      <c r="A448" s="33" t="s">
        <v>54</v>
      </c>
      <c r="B448" s="34">
        <v>228.61500000000001</v>
      </c>
      <c r="C448" s="35">
        <v>6936.5</v>
      </c>
      <c r="D448" s="33" t="s">
        <v>290</v>
      </c>
      <c r="E448" s="34">
        <v>228.62299999999999</v>
      </c>
      <c r="F448" s="36">
        <v>7.9999999999813606E-3</v>
      </c>
      <c r="G448" s="34">
        <v>7.9999999999813606E-3</v>
      </c>
      <c r="H448" s="35">
        <v>17</v>
      </c>
      <c r="I448" s="37">
        <f t="shared" si="6"/>
        <v>2.4508037194550564E-3</v>
      </c>
      <c r="J448" s="33"/>
    </row>
    <row r="449" spans="1:10">
      <c r="A449" s="33" t="s">
        <v>54</v>
      </c>
      <c r="B449" s="34">
        <v>228.61500000000001</v>
      </c>
      <c r="C449" s="35">
        <v>6936.5</v>
      </c>
      <c r="D449" s="33" t="s">
        <v>239</v>
      </c>
      <c r="E449" s="34">
        <v>228.625</v>
      </c>
      <c r="F449" s="36">
        <v>9.9999999999909103E-3</v>
      </c>
      <c r="G449" s="34">
        <v>9.9999999999909103E-3</v>
      </c>
      <c r="H449" s="35">
        <v>3.4</v>
      </c>
      <c r="I449" s="37">
        <f t="shared" si="6"/>
        <v>4.901607438910113E-4</v>
      </c>
      <c r="J449" s="33"/>
    </row>
    <row r="450" spans="1:10">
      <c r="A450" s="33" t="s">
        <v>54</v>
      </c>
      <c r="B450" s="34">
        <v>228.61500000000001</v>
      </c>
      <c r="C450" s="35">
        <v>6936.5</v>
      </c>
      <c r="D450" s="33" t="s">
        <v>274</v>
      </c>
      <c r="E450" s="34">
        <v>228.62799999999999</v>
      </c>
      <c r="F450" s="36">
        <v>1.2999999999976799E-2</v>
      </c>
      <c r="G450" s="34">
        <v>1.2999999999976799E-2</v>
      </c>
      <c r="H450" s="35">
        <v>6.9</v>
      </c>
      <c r="I450" s="37">
        <f t="shared" ref="I450:I513" si="7">H450/C450</f>
        <v>9.947379802494054E-4</v>
      </c>
      <c r="J450" s="33"/>
    </row>
    <row r="451" spans="1:10">
      <c r="A451" s="33" t="s">
        <v>54</v>
      </c>
      <c r="B451" s="34">
        <v>228.61500000000001</v>
      </c>
      <c r="C451" s="35">
        <v>6936.5</v>
      </c>
      <c r="D451" s="33" t="s">
        <v>273</v>
      </c>
      <c r="E451" s="34">
        <v>228.63499999999999</v>
      </c>
      <c r="F451" s="36">
        <v>1.99999999999818E-2</v>
      </c>
      <c r="G451" s="34">
        <v>1.99999999999818E-2</v>
      </c>
      <c r="H451" s="35">
        <v>10</v>
      </c>
      <c r="I451" s="37">
        <f t="shared" si="7"/>
        <v>1.4416492467382686E-3</v>
      </c>
      <c r="J451" s="33"/>
    </row>
    <row r="452" spans="1:10">
      <c r="A452" s="33" t="s">
        <v>54</v>
      </c>
      <c r="B452" s="34">
        <v>228.61500000000001</v>
      </c>
      <c r="C452" s="35">
        <v>6936.5</v>
      </c>
      <c r="D452" s="33" t="s">
        <v>275</v>
      </c>
      <c r="E452" s="34">
        <v>228.642</v>
      </c>
      <c r="F452" s="36">
        <v>2.6999999999986798E-2</v>
      </c>
      <c r="G452" s="34">
        <v>2.6999999999986798E-2</v>
      </c>
      <c r="H452" s="35">
        <v>15.8</v>
      </c>
      <c r="I452" s="37">
        <f t="shared" si="7"/>
        <v>2.2778058098464646E-3</v>
      </c>
      <c r="J452" s="33"/>
    </row>
    <row r="453" spans="1:10">
      <c r="A453" s="33" t="s">
        <v>54</v>
      </c>
      <c r="B453" s="34">
        <v>228.61500000000001</v>
      </c>
      <c r="C453" s="35">
        <v>6936.5</v>
      </c>
      <c r="D453" s="33" t="s">
        <v>193</v>
      </c>
      <c r="E453" s="34">
        <v>228.66</v>
      </c>
      <c r="F453" s="36">
        <v>4.4999999999987501E-2</v>
      </c>
      <c r="G453" s="34">
        <v>4.4999999999987501E-2</v>
      </c>
      <c r="H453" s="35">
        <v>35</v>
      </c>
      <c r="I453" s="37">
        <f t="shared" si="7"/>
        <v>5.0457723635839403E-3</v>
      </c>
      <c r="J453" s="33"/>
    </row>
    <row r="454" spans="1:10">
      <c r="A454" s="33" t="s">
        <v>54</v>
      </c>
      <c r="B454" s="34">
        <v>228.61500000000001</v>
      </c>
      <c r="C454" s="35">
        <v>6936.5</v>
      </c>
      <c r="D454" s="33" t="s">
        <v>279</v>
      </c>
      <c r="E454" s="34">
        <v>228.661</v>
      </c>
      <c r="F454" s="36">
        <v>4.5999999999992297E-2</v>
      </c>
      <c r="G454" s="34">
        <v>4.5999999999992297E-2</v>
      </c>
      <c r="H454" s="35">
        <v>32.1</v>
      </c>
      <c r="I454" s="37">
        <f t="shared" si="7"/>
        <v>4.627694082029842E-3</v>
      </c>
      <c r="J454" s="33"/>
    </row>
    <row r="455" spans="1:10">
      <c r="A455" s="33" t="s">
        <v>54</v>
      </c>
      <c r="B455" s="34">
        <v>228.61500000000001</v>
      </c>
      <c r="C455" s="35">
        <v>6936.5</v>
      </c>
      <c r="D455" s="33" t="s">
        <v>272</v>
      </c>
      <c r="E455" s="34">
        <v>228.66800000000001</v>
      </c>
      <c r="F455" s="36">
        <v>5.2999999999997299E-2</v>
      </c>
      <c r="G455" s="34">
        <v>5.2999999999997299E-2</v>
      </c>
      <c r="H455" s="35">
        <v>20.5</v>
      </c>
      <c r="I455" s="37">
        <f t="shared" si="7"/>
        <v>2.9553809558134506E-3</v>
      </c>
      <c r="J455" s="33"/>
    </row>
    <row r="456" spans="1:10">
      <c r="A456" s="33" t="s">
        <v>54</v>
      </c>
      <c r="B456" s="34">
        <v>228.61500000000001</v>
      </c>
      <c r="C456" s="35">
        <v>6936.5</v>
      </c>
      <c r="D456" s="33" t="s">
        <v>165</v>
      </c>
      <c r="E456" s="34">
        <v>228.708</v>
      </c>
      <c r="F456" s="36">
        <v>9.29999999999893E-2</v>
      </c>
      <c r="G456" s="34">
        <v>9.29999999999893E-2</v>
      </c>
      <c r="H456" s="35">
        <v>623.6</v>
      </c>
      <c r="I456" s="37">
        <f t="shared" si="7"/>
        <v>8.9901247026598435E-2</v>
      </c>
      <c r="J456" s="33"/>
    </row>
    <row r="457" spans="1:10">
      <c r="A457" s="33" t="s">
        <v>54</v>
      </c>
      <c r="B457" s="34">
        <v>228.61500000000001</v>
      </c>
      <c r="C457" s="35">
        <v>6936.5</v>
      </c>
      <c r="D457" s="33" t="s">
        <v>97</v>
      </c>
      <c r="E457" s="34">
        <v>228.72499999999999</v>
      </c>
      <c r="F457" s="36">
        <v>0.109999999999985</v>
      </c>
      <c r="G457" s="34">
        <v>0.109999999999985</v>
      </c>
      <c r="H457" s="35">
        <v>17.3</v>
      </c>
      <c r="I457" s="37">
        <f t="shared" si="7"/>
        <v>2.4940531968572046E-3</v>
      </c>
      <c r="J457" s="33"/>
    </row>
    <row r="458" spans="1:10">
      <c r="A458" s="33" t="s">
        <v>54</v>
      </c>
      <c r="B458" s="34">
        <v>228.61500000000001</v>
      </c>
      <c r="C458" s="35">
        <v>6936.5</v>
      </c>
      <c r="D458" s="33" t="s">
        <v>193</v>
      </c>
      <c r="E458" s="34">
        <v>228.727</v>
      </c>
      <c r="F458" s="36">
        <v>0.11199999999999501</v>
      </c>
      <c r="G458" s="34">
        <v>0.11199999999999501</v>
      </c>
      <c r="H458" s="35">
        <v>124.2</v>
      </c>
      <c r="I458" s="37">
        <f t="shared" si="7"/>
        <v>1.7905283644489296E-2</v>
      </c>
      <c r="J458" s="33"/>
    </row>
    <row r="459" spans="1:10">
      <c r="A459" s="33" t="s">
        <v>54</v>
      </c>
      <c r="B459" s="34">
        <v>228.61500000000001</v>
      </c>
      <c r="C459" s="35">
        <v>6936.5</v>
      </c>
      <c r="D459" s="33" t="s">
        <v>279</v>
      </c>
      <c r="E459" s="34">
        <v>228.751</v>
      </c>
      <c r="F459" s="36">
        <v>0.13599999999999601</v>
      </c>
      <c r="G459" s="34">
        <v>0.13599999999999601</v>
      </c>
      <c r="H459" s="35">
        <v>290.3</v>
      </c>
      <c r="I459" s="37">
        <f t="shared" si="7"/>
        <v>4.1851077632811935E-2</v>
      </c>
      <c r="J459" s="33"/>
    </row>
    <row r="460" spans="1:10">
      <c r="A460" s="33" t="s">
        <v>54</v>
      </c>
      <c r="B460" s="34">
        <v>228.61500000000001</v>
      </c>
      <c r="C460" s="35">
        <v>6936.5</v>
      </c>
      <c r="D460" s="33" t="s">
        <v>97</v>
      </c>
      <c r="E460" s="34">
        <v>228.76300000000001</v>
      </c>
      <c r="F460" s="36">
        <v>0.147999999999996</v>
      </c>
      <c r="G460" s="34">
        <v>0.147999999999996</v>
      </c>
      <c r="H460" s="35">
        <v>3.1</v>
      </c>
      <c r="I460" s="37">
        <f t="shared" si="7"/>
        <v>4.4691126648886329E-4</v>
      </c>
      <c r="J460" s="33"/>
    </row>
    <row r="461" spans="1:10">
      <c r="A461" s="33" t="s">
        <v>54</v>
      </c>
      <c r="B461" s="34">
        <v>228.61500000000001</v>
      </c>
      <c r="C461" s="35">
        <v>6936.5</v>
      </c>
      <c r="D461" s="33" t="s">
        <v>165</v>
      </c>
      <c r="E461" s="34">
        <v>228.76400000000001</v>
      </c>
      <c r="F461" s="36">
        <v>0.14900000000000099</v>
      </c>
      <c r="G461" s="34">
        <v>0.14900000000000099</v>
      </c>
      <c r="H461" s="35">
        <v>182.2</v>
      </c>
      <c r="I461" s="37">
        <f t="shared" si="7"/>
        <v>2.6266849275571252E-2</v>
      </c>
      <c r="J461" s="33"/>
    </row>
    <row r="462" spans="1:10">
      <c r="A462" s="33" t="s">
        <v>54</v>
      </c>
      <c r="B462" s="34">
        <v>228.61500000000001</v>
      </c>
      <c r="C462" s="35">
        <v>6936.5</v>
      </c>
      <c r="D462" s="33" t="s">
        <v>268</v>
      </c>
      <c r="E462" s="34">
        <v>228.768</v>
      </c>
      <c r="F462" s="36">
        <v>0.152999999999992</v>
      </c>
      <c r="G462" s="34">
        <v>0.152999999999992</v>
      </c>
      <c r="H462" s="35">
        <v>42</v>
      </c>
      <c r="I462" s="37">
        <f t="shared" si="7"/>
        <v>6.0549268363007279E-3</v>
      </c>
      <c r="J462" s="33"/>
    </row>
    <row r="463" spans="1:10">
      <c r="A463" s="33" t="s">
        <v>54</v>
      </c>
      <c r="B463" s="34">
        <v>228.61500000000001</v>
      </c>
      <c r="C463" s="35">
        <v>6936.5</v>
      </c>
      <c r="D463" s="33" t="s">
        <v>274</v>
      </c>
      <c r="E463" s="34">
        <v>228.768</v>
      </c>
      <c r="F463" s="36">
        <v>0.152999999999992</v>
      </c>
      <c r="G463" s="34">
        <v>0.152999999999992</v>
      </c>
      <c r="H463" s="35">
        <v>1.4</v>
      </c>
      <c r="I463" s="37">
        <f t="shared" si="7"/>
        <v>2.0183089454335758E-4</v>
      </c>
      <c r="J463" s="33"/>
    </row>
    <row r="464" spans="1:10">
      <c r="A464" s="33" t="s">
        <v>54</v>
      </c>
      <c r="B464" s="34">
        <v>228.61500000000001</v>
      </c>
      <c r="C464" s="35">
        <v>6936.5</v>
      </c>
      <c r="D464" s="33" t="s">
        <v>54</v>
      </c>
      <c r="E464" s="34">
        <v>228.78100000000001</v>
      </c>
      <c r="F464" s="36">
        <v>0.16599999999999701</v>
      </c>
      <c r="G464" s="34">
        <v>0.16599999999999701</v>
      </c>
      <c r="H464" s="35">
        <v>95.3</v>
      </c>
      <c r="I464" s="37">
        <f t="shared" si="7"/>
        <v>1.3738917321415699E-2</v>
      </c>
      <c r="J464" s="33"/>
    </row>
    <row r="465" spans="1:10">
      <c r="A465" s="33" t="s">
        <v>54</v>
      </c>
      <c r="B465" s="34">
        <v>228.61500000000001</v>
      </c>
      <c r="C465" s="35">
        <v>6936.5</v>
      </c>
      <c r="D465" s="33" t="s">
        <v>290</v>
      </c>
      <c r="E465" s="34">
        <v>228.78800000000001</v>
      </c>
      <c r="F465" s="36">
        <v>0.17300000000000201</v>
      </c>
      <c r="G465" s="34">
        <v>0.17300000000000201</v>
      </c>
      <c r="H465" s="35">
        <v>5.6</v>
      </c>
      <c r="I465" s="37">
        <f t="shared" si="7"/>
        <v>8.0732357817343034E-4</v>
      </c>
      <c r="J465" s="33"/>
    </row>
    <row r="466" spans="1:10">
      <c r="A466" s="33" t="s">
        <v>54</v>
      </c>
      <c r="B466" s="34">
        <v>228.61500000000001</v>
      </c>
      <c r="C466" s="35">
        <v>6936.5</v>
      </c>
      <c r="D466" s="33" t="s">
        <v>240</v>
      </c>
      <c r="E466" s="34">
        <v>228.79599999999999</v>
      </c>
      <c r="F466" s="36">
        <v>0.18099999999998301</v>
      </c>
      <c r="G466" s="34">
        <v>0.18099999999998301</v>
      </c>
      <c r="H466" s="35">
        <v>0.1</v>
      </c>
      <c r="I466" s="37">
        <f t="shared" si="7"/>
        <v>1.4416492467382687E-5</v>
      </c>
      <c r="J466" s="33"/>
    </row>
    <row r="467" spans="1:10">
      <c r="A467" s="33" t="s">
        <v>54</v>
      </c>
      <c r="B467" s="34">
        <v>230.786</v>
      </c>
      <c r="C467" s="35">
        <v>21829</v>
      </c>
      <c r="D467" s="33" t="s">
        <v>97</v>
      </c>
      <c r="E467" s="34">
        <v>230.637</v>
      </c>
      <c r="F467" s="36">
        <v>0.14900000000000099</v>
      </c>
      <c r="G467" s="34">
        <v>0.14900000000000099</v>
      </c>
      <c r="H467" s="35">
        <v>3.7</v>
      </c>
      <c r="I467" s="37">
        <f t="shared" si="7"/>
        <v>1.6949928993540705E-4</v>
      </c>
      <c r="J467" s="33"/>
    </row>
    <row r="468" spans="1:10">
      <c r="A468" s="33" t="s">
        <v>54</v>
      </c>
      <c r="B468" s="34">
        <v>230.786</v>
      </c>
      <c r="C468" s="35">
        <v>21829</v>
      </c>
      <c r="D468" s="33" t="s">
        <v>291</v>
      </c>
      <c r="E468" s="34">
        <v>230.64</v>
      </c>
      <c r="F468" s="36">
        <v>0.14600000000001501</v>
      </c>
      <c r="G468" s="34">
        <v>0.14600000000001501</v>
      </c>
      <c r="H468" s="35">
        <v>57.3</v>
      </c>
      <c r="I468" s="37">
        <f t="shared" si="7"/>
        <v>2.6249484630537358E-3</v>
      </c>
      <c r="J468" s="33"/>
    </row>
    <row r="469" spans="1:10">
      <c r="A469" s="33" t="s">
        <v>54</v>
      </c>
      <c r="B469" s="34">
        <v>230.786</v>
      </c>
      <c r="C469" s="35">
        <v>21829</v>
      </c>
      <c r="D469" s="33" t="s">
        <v>279</v>
      </c>
      <c r="E469" s="34">
        <v>230.65299999999999</v>
      </c>
      <c r="F469" s="36">
        <v>0.13300000000001</v>
      </c>
      <c r="G469" s="34">
        <v>0.13300000000001</v>
      </c>
      <c r="H469" s="35">
        <v>81.2</v>
      </c>
      <c r="I469" s="37">
        <f t="shared" si="7"/>
        <v>3.7198222547986624E-3</v>
      </c>
      <c r="J469" s="33"/>
    </row>
    <row r="470" spans="1:10">
      <c r="A470" s="33" t="s">
        <v>54</v>
      </c>
      <c r="B470" s="34">
        <v>230.786</v>
      </c>
      <c r="C470" s="35">
        <v>21829</v>
      </c>
      <c r="D470" s="33" t="s">
        <v>274</v>
      </c>
      <c r="E470" s="34">
        <v>230.66</v>
      </c>
      <c r="F470" s="36">
        <v>0.126000000000005</v>
      </c>
      <c r="G470" s="34">
        <v>0.126000000000005</v>
      </c>
      <c r="H470" s="35">
        <v>65.599999999999994</v>
      </c>
      <c r="I470" s="37">
        <f t="shared" si="7"/>
        <v>3.0051765999358649E-3</v>
      </c>
      <c r="J470" s="33"/>
    </row>
    <row r="471" spans="1:10">
      <c r="A471" s="33" t="s">
        <v>54</v>
      </c>
      <c r="B471" s="34">
        <v>230.786</v>
      </c>
      <c r="C471" s="35">
        <v>21829</v>
      </c>
      <c r="D471" s="33" t="s">
        <v>292</v>
      </c>
      <c r="E471" s="34">
        <v>230.66200000000001</v>
      </c>
      <c r="F471" s="36">
        <v>0.123999999999995</v>
      </c>
      <c r="G471" s="34">
        <v>0.123999999999995</v>
      </c>
      <c r="H471" s="35">
        <v>103.4</v>
      </c>
      <c r="I471" s="37">
        <f t="shared" si="7"/>
        <v>4.7368179944111046E-3</v>
      </c>
      <c r="J471" s="33"/>
    </row>
    <row r="472" spans="1:10">
      <c r="A472" s="33" t="s">
        <v>54</v>
      </c>
      <c r="B472" s="34">
        <v>230.786</v>
      </c>
      <c r="C472" s="35">
        <v>21829</v>
      </c>
      <c r="D472" s="33" t="s">
        <v>239</v>
      </c>
      <c r="E472" s="34">
        <v>230.68100000000001</v>
      </c>
      <c r="F472" s="36">
        <v>0.10499999999999</v>
      </c>
      <c r="G472" s="34">
        <v>0.10499999999999</v>
      </c>
      <c r="H472" s="35">
        <v>43.8</v>
      </c>
      <c r="I472" s="37">
        <f t="shared" si="7"/>
        <v>2.0065051078840073E-3</v>
      </c>
      <c r="J472" s="33"/>
    </row>
    <row r="473" spans="1:10">
      <c r="A473" s="33" t="s">
        <v>54</v>
      </c>
      <c r="B473" s="34">
        <v>230.786</v>
      </c>
      <c r="C473" s="35">
        <v>21829</v>
      </c>
      <c r="D473" s="33" t="s">
        <v>193</v>
      </c>
      <c r="E473" s="34">
        <v>230.68600000000001</v>
      </c>
      <c r="F473" s="36">
        <v>9.9999999999994302E-2</v>
      </c>
      <c r="G473" s="34">
        <v>9.9999999999994302E-2</v>
      </c>
      <c r="H473" s="35">
        <v>135.6</v>
      </c>
      <c r="I473" s="37">
        <f t="shared" si="7"/>
        <v>6.2119199230381596E-3</v>
      </c>
      <c r="J473" s="33"/>
    </row>
    <row r="474" spans="1:10">
      <c r="A474" s="33" t="s">
        <v>54</v>
      </c>
      <c r="B474" s="34">
        <v>230.786</v>
      </c>
      <c r="C474" s="35">
        <v>21829</v>
      </c>
      <c r="D474" s="33" t="s">
        <v>274</v>
      </c>
      <c r="E474" s="34">
        <v>230.69200000000001</v>
      </c>
      <c r="F474" s="36">
        <v>9.3999999999994102E-2</v>
      </c>
      <c r="G474" s="34">
        <v>9.3999999999994102E-2</v>
      </c>
      <c r="H474" s="35">
        <v>264.7</v>
      </c>
      <c r="I474" s="37">
        <f t="shared" si="7"/>
        <v>1.212607082321682E-2</v>
      </c>
      <c r="J474" s="33"/>
    </row>
    <row r="475" spans="1:10">
      <c r="A475" s="33" t="s">
        <v>54</v>
      </c>
      <c r="B475" s="34">
        <v>230.786</v>
      </c>
      <c r="C475" s="35">
        <v>21829</v>
      </c>
      <c r="D475" s="33" t="s">
        <v>275</v>
      </c>
      <c r="E475" s="34">
        <v>230.69900000000001</v>
      </c>
      <c r="F475" s="36">
        <v>8.69999999999891E-2</v>
      </c>
      <c r="G475" s="34">
        <v>8.69999999999891E-2</v>
      </c>
      <c r="H475" s="35">
        <v>840.8</v>
      </c>
      <c r="I475" s="37">
        <f t="shared" si="7"/>
        <v>3.8517568372348709E-2</v>
      </c>
      <c r="J475" s="33"/>
    </row>
    <row r="476" spans="1:10">
      <c r="A476" s="33" t="s">
        <v>54</v>
      </c>
      <c r="B476" s="34">
        <v>230.786</v>
      </c>
      <c r="C476" s="35">
        <v>21829</v>
      </c>
      <c r="D476" s="33" t="s">
        <v>54</v>
      </c>
      <c r="E476" s="34">
        <v>230.70099999999999</v>
      </c>
      <c r="F476" s="36">
        <v>8.5000000000008E-2</v>
      </c>
      <c r="G476" s="34">
        <v>8.5000000000008E-2</v>
      </c>
      <c r="H476" s="35">
        <v>52.4</v>
      </c>
      <c r="I476" s="37">
        <f t="shared" si="7"/>
        <v>2.4004764304365752E-3</v>
      </c>
      <c r="J476" s="33"/>
    </row>
    <row r="477" spans="1:10">
      <c r="A477" s="33" t="s">
        <v>54</v>
      </c>
      <c r="B477" s="34">
        <v>230.786</v>
      </c>
      <c r="C477" s="35">
        <v>21829</v>
      </c>
      <c r="D477" s="33" t="s">
        <v>239</v>
      </c>
      <c r="E477" s="34">
        <v>230.71899999999999</v>
      </c>
      <c r="F477" s="36">
        <v>6.7000000000007304E-2</v>
      </c>
      <c r="G477" s="34">
        <v>6.7000000000007304E-2</v>
      </c>
      <c r="H477" s="35">
        <v>585</v>
      </c>
      <c r="I477" s="37">
        <f t="shared" si="7"/>
        <v>2.6799212057354894E-2</v>
      </c>
      <c r="J477" s="33"/>
    </row>
    <row r="478" spans="1:10">
      <c r="A478" s="33" t="s">
        <v>54</v>
      </c>
      <c r="B478" s="34">
        <v>230.786</v>
      </c>
      <c r="C478" s="35">
        <v>21829</v>
      </c>
      <c r="D478" s="33" t="s">
        <v>290</v>
      </c>
      <c r="E478" s="34">
        <v>230.727</v>
      </c>
      <c r="F478" s="36">
        <v>5.8999999999997499E-2</v>
      </c>
      <c r="G478" s="34">
        <v>5.8999999999997499E-2</v>
      </c>
      <c r="H478" s="35">
        <v>10.1</v>
      </c>
      <c r="I478" s="37">
        <f t="shared" si="7"/>
        <v>4.6268725090475968E-4</v>
      </c>
      <c r="J478" s="33"/>
    </row>
    <row r="479" spans="1:10">
      <c r="A479" s="33" t="s">
        <v>54</v>
      </c>
      <c r="B479" s="34">
        <v>230.786</v>
      </c>
      <c r="C479" s="35">
        <v>21829</v>
      </c>
      <c r="D479" s="33" t="s">
        <v>97</v>
      </c>
      <c r="E479" s="34">
        <v>230.73099999999999</v>
      </c>
      <c r="F479" s="36">
        <v>5.50000000000068E-2</v>
      </c>
      <c r="G479" s="34">
        <v>5.50000000000068E-2</v>
      </c>
      <c r="H479" s="35">
        <v>27</v>
      </c>
      <c r="I479" s="37">
        <f t="shared" si="7"/>
        <v>1.2368867103394567E-3</v>
      </c>
      <c r="J479" s="33"/>
    </row>
    <row r="480" spans="1:10">
      <c r="A480" s="33" t="s">
        <v>54</v>
      </c>
      <c r="B480" s="34">
        <v>230.786</v>
      </c>
      <c r="C480" s="35">
        <v>21829</v>
      </c>
      <c r="D480" s="33" t="s">
        <v>165</v>
      </c>
      <c r="E480" s="34">
        <v>230.73500000000001</v>
      </c>
      <c r="F480" s="36">
        <v>5.0999999999987701E-2</v>
      </c>
      <c r="G480" s="34">
        <v>5.0999999999987701E-2</v>
      </c>
      <c r="H480" s="35">
        <v>48.4</v>
      </c>
      <c r="I480" s="37">
        <f t="shared" si="7"/>
        <v>2.2172339548307296E-3</v>
      </c>
      <c r="J480" s="33"/>
    </row>
    <row r="481" spans="1:10">
      <c r="A481" s="33" t="s">
        <v>54</v>
      </c>
      <c r="B481" s="34">
        <v>230.786</v>
      </c>
      <c r="C481" s="35">
        <v>21829</v>
      </c>
      <c r="D481" s="33" t="s">
        <v>54</v>
      </c>
      <c r="E481" s="34">
        <v>230.751</v>
      </c>
      <c r="F481" s="36">
        <v>3.4999999999996603E-2</v>
      </c>
      <c r="G481" s="34">
        <v>3.4999999999996603E-2</v>
      </c>
      <c r="H481" s="35">
        <v>44.6</v>
      </c>
      <c r="I481" s="37">
        <f t="shared" si="7"/>
        <v>2.0431536030051769E-3</v>
      </c>
      <c r="J481" s="33"/>
    </row>
    <row r="482" spans="1:10">
      <c r="A482" s="33" t="s">
        <v>54</v>
      </c>
      <c r="B482" s="34">
        <v>230.786</v>
      </c>
      <c r="C482" s="35">
        <v>21829</v>
      </c>
      <c r="D482" s="33" t="s">
        <v>239</v>
      </c>
      <c r="E482" s="34">
        <v>230.75200000000001</v>
      </c>
      <c r="F482" s="36">
        <v>3.3999999999991801E-2</v>
      </c>
      <c r="G482" s="34">
        <v>3.3999999999991801E-2</v>
      </c>
      <c r="H482" s="35">
        <v>22.8</v>
      </c>
      <c r="I482" s="37">
        <f t="shared" si="7"/>
        <v>1.044482110953319E-3</v>
      </c>
      <c r="J482" s="33"/>
    </row>
    <row r="483" spans="1:10">
      <c r="A483" s="33" t="s">
        <v>54</v>
      </c>
      <c r="B483" s="34">
        <v>230.786</v>
      </c>
      <c r="C483" s="35">
        <v>21829</v>
      </c>
      <c r="D483" s="33" t="s">
        <v>274</v>
      </c>
      <c r="E483" s="34">
        <v>230.76599999999999</v>
      </c>
      <c r="F483" s="36">
        <v>2.0000000000010201E-2</v>
      </c>
      <c r="G483" s="34">
        <v>2.0000000000010201E-2</v>
      </c>
      <c r="H483" s="35">
        <v>67.599999999999994</v>
      </c>
      <c r="I483" s="37">
        <f t="shared" si="7"/>
        <v>3.0967978377387877E-3</v>
      </c>
      <c r="J483" s="33"/>
    </row>
    <row r="484" spans="1:10">
      <c r="A484" s="33" t="s">
        <v>54</v>
      </c>
      <c r="B484" s="34">
        <v>230.786</v>
      </c>
      <c r="C484" s="35">
        <v>21829</v>
      </c>
      <c r="D484" s="33" t="s">
        <v>268</v>
      </c>
      <c r="E484" s="34">
        <v>230.77699999999999</v>
      </c>
      <c r="F484" s="36">
        <v>9.0000000000145502E-3</v>
      </c>
      <c r="G484" s="34">
        <v>9.0000000000145502E-3</v>
      </c>
      <c r="H484" s="35">
        <v>1.2</v>
      </c>
      <c r="I484" s="37">
        <f t="shared" si="7"/>
        <v>5.4972742681753629E-5</v>
      </c>
      <c r="J484" s="33"/>
    </row>
    <row r="485" spans="1:10">
      <c r="A485" s="33" t="s">
        <v>54</v>
      </c>
      <c r="B485" s="34">
        <v>230.786</v>
      </c>
      <c r="C485" s="35">
        <v>21829</v>
      </c>
      <c r="D485" s="33" t="s">
        <v>165</v>
      </c>
      <c r="E485" s="34">
        <v>230.77799999999999</v>
      </c>
      <c r="F485" s="36">
        <v>8.0000000000097805E-3</v>
      </c>
      <c r="G485" s="34">
        <v>8.0000000000097805E-3</v>
      </c>
      <c r="H485" s="35">
        <v>76</v>
      </c>
      <c r="I485" s="37">
        <f t="shared" si="7"/>
        <v>3.4816070365110631E-3</v>
      </c>
      <c r="J485" s="33"/>
    </row>
    <row r="486" spans="1:10">
      <c r="A486" s="33" t="s">
        <v>54</v>
      </c>
      <c r="B486" s="34">
        <v>230.786</v>
      </c>
      <c r="C486" s="35">
        <v>21829</v>
      </c>
      <c r="D486" s="33" t="s">
        <v>274</v>
      </c>
      <c r="E486" s="34">
        <v>230.78200000000001</v>
      </c>
      <c r="F486" s="36">
        <v>3.9999999999906803E-3</v>
      </c>
      <c r="G486" s="34">
        <v>3.9999999999906803E-3</v>
      </c>
      <c r="H486" s="35">
        <v>28.2</v>
      </c>
      <c r="I486" s="37">
        <f t="shared" si="7"/>
        <v>1.2918594530212102E-3</v>
      </c>
      <c r="J486" s="33"/>
    </row>
    <row r="487" spans="1:10">
      <c r="A487" s="33" t="s">
        <v>54</v>
      </c>
      <c r="B487" s="34">
        <v>230.786</v>
      </c>
      <c r="C487" s="35">
        <v>21829</v>
      </c>
      <c r="D487" s="33" t="s">
        <v>293</v>
      </c>
      <c r="E487" s="34">
        <v>230.786</v>
      </c>
      <c r="F487" s="36">
        <v>0</v>
      </c>
      <c r="G487" s="34">
        <v>0</v>
      </c>
      <c r="H487" s="35">
        <v>0.2</v>
      </c>
      <c r="I487" s="37">
        <f t="shared" si="7"/>
        <v>9.1621237802922715E-6</v>
      </c>
      <c r="J487" s="33"/>
    </row>
    <row r="488" spans="1:10">
      <c r="A488" s="33" t="s">
        <v>54</v>
      </c>
      <c r="B488" s="34">
        <v>230.786</v>
      </c>
      <c r="C488" s="35">
        <v>21829</v>
      </c>
      <c r="D488" s="33" t="s">
        <v>274</v>
      </c>
      <c r="E488" s="34">
        <v>230.792</v>
      </c>
      <c r="F488" s="36">
        <v>6.00000000000023E-3</v>
      </c>
      <c r="G488" s="34">
        <v>6.00000000000023E-3</v>
      </c>
      <c r="H488" s="35">
        <v>27.6</v>
      </c>
      <c r="I488" s="37">
        <f t="shared" si="7"/>
        <v>1.2643730816803336E-3</v>
      </c>
      <c r="J488" s="33"/>
    </row>
    <row r="489" spans="1:10">
      <c r="A489" s="33" t="s">
        <v>54</v>
      </c>
      <c r="B489" s="34">
        <v>230.786</v>
      </c>
      <c r="C489" s="35">
        <v>21829</v>
      </c>
      <c r="D489" s="33" t="s">
        <v>275</v>
      </c>
      <c r="E489" s="34">
        <v>230.798</v>
      </c>
      <c r="F489" s="36">
        <v>1.20000000000005E-2</v>
      </c>
      <c r="G489" s="34">
        <v>1.20000000000005E-2</v>
      </c>
      <c r="H489" s="35">
        <v>199.2</v>
      </c>
      <c r="I489" s="37">
        <f t="shared" si="7"/>
        <v>9.125475285171103E-3</v>
      </c>
      <c r="J489" s="33"/>
    </row>
    <row r="490" spans="1:10">
      <c r="A490" s="33" t="s">
        <v>54</v>
      </c>
      <c r="B490" s="34">
        <v>230.786</v>
      </c>
      <c r="C490" s="35">
        <v>21829</v>
      </c>
      <c r="D490" s="33" t="s">
        <v>269</v>
      </c>
      <c r="E490" s="34">
        <v>230.804</v>
      </c>
      <c r="F490" s="36">
        <v>1.8000000000000699E-2</v>
      </c>
      <c r="G490" s="34">
        <v>1.8000000000000699E-2</v>
      </c>
      <c r="H490" s="35">
        <v>48</v>
      </c>
      <c r="I490" s="37">
        <f t="shared" si="7"/>
        <v>2.1989097072701454E-3</v>
      </c>
      <c r="J490" s="33"/>
    </row>
    <row r="491" spans="1:10">
      <c r="A491" s="33" t="s">
        <v>54</v>
      </c>
      <c r="B491" s="34">
        <v>230.786</v>
      </c>
      <c r="C491" s="35">
        <v>21829</v>
      </c>
      <c r="D491" s="33" t="s">
        <v>294</v>
      </c>
      <c r="E491" s="34">
        <v>230.804</v>
      </c>
      <c r="F491" s="36">
        <v>1.8000000000000699E-2</v>
      </c>
      <c r="G491" s="34">
        <v>1.8000000000000699E-2</v>
      </c>
      <c r="H491" s="35">
        <v>190.2</v>
      </c>
      <c r="I491" s="37">
        <f t="shared" si="7"/>
        <v>8.7131797150579501E-3</v>
      </c>
      <c r="J491" s="33"/>
    </row>
    <row r="492" spans="1:10">
      <c r="A492" s="33" t="s">
        <v>54</v>
      </c>
      <c r="B492" s="34">
        <v>230.786</v>
      </c>
      <c r="C492" s="35">
        <v>21829</v>
      </c>
      <c r="D492" s="33" t="s">
        <v>290</v>
      </c>
      <c r="E492" s="34">
        <v>230.80600000000001</v>
      </c>
      <c r="F492" s="36">
        <v>2.0000000000010201E-2</v>
      </c>
      <c r="G492" s="34">
        <v>2.0000000000010201E-2</v>
      </c>
      <c r="H492" s="35">
        <v>5.3</v>
      </c>
      <c r="I492" s="37">
        <f t="shared" si="7"/>
        <v>2.4279628017774519E-4</v>
      </c>
      <c r="J492" s="33"/>
    </row>
    <row r="493" spans="1:10">
      <c r="A493" s="33" t="s">
        <v>54</v>
      </c>
      <c r="B493" s="34">
        <v>230.786</v>
      </c>
      <c r="C493" s="35">
        <v>21829</v>
      </c>
      <c r="D493" s="33" t="s">
        <v>279</v>
      </c>
      <c r="E493" s="34">
        <v>230.80600000000001</v>
      </c>
      <c r="F493" s="36">
        <v>2.0000000000010201E-2</v>
      </c>
      <c r="G493" s="34">
        <v>2.0000000000010201E-2</v>
      </c>
      <c r="H493" s="35">
        <v>21.5</v>
      </c>
      <c r="I493" s="37">
        <f t="shared" si="7"/>
        <v>9.849283063814193E-4</v>
      </c>
      <c r="J493" s="33"/>
    </row>
    <row r="494" spans="1:10">
      <c r="A494" s="33" t="s">
        <v>54</v>
      </c>
      <c r="B494" s="34">
        <v>230.786</v>
      </c>
      <c r="C494" s="35">
        <v>21829</v>
      </c>
      <c r="D494" s="33" t="s">
        <v>279</v>
      </c>
      <c r="E494" s="34">
        <v>230.815</v>
      </c>
      <c r="F494" s="36">
        <v>2.89999999999964E-2</v>
      </c>
      <c r="G494" s="34">
        <v>2.89999999999964E-2</v>
      </c>
      <c r="H494" s="35">
        <v>15</v>
      </c>
      <c r="I494" s="37">
        <f t="shared" si="7"/>
        <v>6.8715928352192036E-4</v>
      </c>
      <c r="J494" s="33"/>
    </row>
    <row r="495" spans="1:10">
      <c r="A495" s="33" t="s">
        <v>54</v>
      </c>
      <c r="B495" s="34">
        <v>230.786</v>
      </c>
      <c r="C495" s="35">
        <v>21829</v>
      </c>
      <c r="D495" s="33" t="s">
        <v>193</v>
      </c>
      <c r="E495" s="34">
        <v>230.816</v>
      </c>
      <c r="F495" s="36">
        <v>3.0000000000001099E-2</v>
      </c>
      <c r="G495" s="34">
        <v>3.0000000000001099E-2</v>
      </c>
      <c r="H495" s="35">
        <v>34.799999999999997</v>
      </c>
      <c r="I495" s="37">
        <f t="shared" si="7"/>
        <v>1.5942095377708551E-3</v>
      </c>
      <c r="J495" s="33"/>
    </row>
    <row r="496" spans="1:10">
      <c r="A496" s="33" t="s">
        <v>54</v>
      </c>
      <c r="B496" s="34">
        <v>230.786</v>
      </c>
      <c r="C496" s="35">
        <v>21829</v>
      </c>
      <c r="D496" s="33" t="s">
        <v>165</v>
      </c>
      <c r="E496" s="34">
        <v>230.81700000000001</v>
      </c>
      <c r="F496" s="36">
        <v>3.1000000000005901E-2</v>
      </c>
      <c r="G496" s="34">
        <v>3.1000000000005901E-2</v>
      </c>
      <c r="H496" s="35">
        <v>72.5</v>
      </c>
      <c r="I496" s="37">
        <f t="shared" si="7"/>
        <v>3.3212698703559483E-3</v>
      </c>
      <c r="J496" s="33"/>
    </row>
    <row r="497" spans="1:10">
      <c r="A497" s="33" t="s">
        <v>54</v>
      </c>
      <c r="B497" s="34">
        <v>230.786</v>
      </c>
      <c r="C497" s="35">
        <v>21829</v>
      </c>
      <c r="D497" s="33" t="s">
        <v>284</v>
      </c>
      <c r="E497" s="34">
        <v>230.83099999999999</v>
      </c>
      <c r="F497" s="36">
        <v>4.4999999999987501E-2</v>
      </c>
      <c r="G497" s="34">
        <v>4.4999999999987501E-2</v>
      </c>
      <c r="H497" s="35">
        <v>8.9</v>
      </c>
      <c r="I497" s="37">
        <f t="shared" si="7"/>
        <v>4.077145082230061E-4</v>
      </c>
      <c r="J497" s="33"/>
    </row>
    <row r="498" spans="1:10">
      <c r="A498" s="33" t="s">
        <v>54</v>
      </c>
      <c r="B498" s="34">
        <v>230.786</v>
      </c>
      <c r="C498" s="35">
        <v>21829</v>
      </c>
      <c r="D498" s="33" t="s">
        <v>25</v>
      </c>
      <c r="E498" s="34">
        <v>230.834</v>
      </c>
      <c r="F498" s="36">
        <v>4.8000000000001798E-2</v>
      </c>
      <c r="G498" s="34">
        <v>4.8000000000001798E-2</v>
      </c>
      <c r="H498" s="35">
        <v>3.9</v>
      </c>
      <c r="I498" s="37">
        <f t="shared" si="7"/>
        <v>1.786614137156993E-4</v>
      </c>
      <c r="J498" s="33" t="s">
        <v>116</v>
      </c>
    </row>
    <row r="499" spans="1:10">
      <c r="A499" s="33" t="s">
        <v>54</v>
      </c>
      <c r="B499" s="34">
        <v>230.786</v>
      </c>
      <c r="C499" s="35">
        <v>21829</v>
      </c>
      <c r="D499" s="33" t="s">
        <v>279</v>
      </c>
      <c r="E499" s="34">
        <v>230.845</v>
      </c>
      <c r="F499" s="36">
        <v>5.8999999999997499E-2</v>
      </c>
      <c r="G499" s="34">
        <v>5.8999999999997499E-2</v>
      </c>
      <c r="H499" s="35">
        <v>443</v>
      </c>
      <c r="I499" s="37">
        <f t="shared" si="7"/>
        <v>2.0294104173347382E-2</v>
      </c>
      <c r="J499" s="33"/>
    </row>
    <row r="500" spans="1:10">
      <c r="A500" s="33" t="s">
        <v>54</v>
      </c>
      <c r="B500" s="34">
        <v>230.786</v>
      </c>
      <c r="C500" s="35">
        <v>21829</v>
      </c>
      <c r="D500" s="33" t="s">
        <v>193</v>
      </c>
      <c r="E500" s="34">
        <v>230.851</v>
      </c>
      <c r="F500" s="36">
        <v>6.4999999999997699E-2</v>
      </c>
      <c r="G500" s="34">
        <v>6.4999999999997699E-2</v>
      </c>
      <c r="H500" s="35">
        <v>277.5</v>
      </c>
      <c r="I500" s="37">
        <f t="shared" si="7"/>
        <v>1.2712446745155526E-2</v>
      </c>
      <c r="J500" s="33"/>
    </row>
    <row r="501" spans="1:10">
      <c r="A501" s="33" t="s">
        <v>54</v>
      </c>
      <c r="B501" s="34">
        <v>230.786</v>
      </c>
      <c r="C501" s="35">
        <v>21829</v>
      </c>
      <c r="D501" s="33" t="s">
        <v>165</v>
      </c>
      <c r="E501" s="34">
        <v>230.852</v>
      </c>
      <c r="F501" s="36">
        <v>6.6000000000002501E-2</v>
      </c>
      <c r="G501" s="34">
        <v>6.6000000000002501E-2</v>
      </c>
      <c r="H501" s="35">
        <v>131</v>
      </c>
      <c r="I501" s="37">
        <f t="shared" si="7"/>
        <v>6.0011910760914382E-3</v>
      </c>
      <c r="J501" s="33"/>
    </row>
    <row r="502" spans="1:10">
      <c r="A502" s="33" t="s">
        <v>54</v>
      </c>
      <c r="B502" s="34">
        <v>230.786</v>
      </c>
      <c r="C502" s="35">
        <v>21829</v>
      </c>
      <c r="D502" s="33" t="s">
        <v>25</v>
      </c>
      <c r="E502" s="34">
        <v>230.85400000000001</v>
      </c>
      <c r="F502" s="36">
        <v>6.8000000000012106E-2</v>
      </c>
      <c r="G502" s="34">
        <v>6.8000000000012106E-2</v>
      </c>
      <c r="H502" s="35">
        <v>16.899999999999999</v>
      </c>
      <c r="I502" s="37">
        <f t="shared" si="7"/>
        <v>7.7419945943469693E-4</v>
      </c>
      <c r="J502" s="33" t="s">
        <v>116</v>
      </c>
    </row>
    <row r="503" spans="1:10">
      <c r="A503" s="33" t="s">
        <v>54</v>
      </c>
      <c r="B503" s="34">
        <v>230.786</v>
      </c>
      <c r="C503" s="35">
        <v>21829</v>
      </c>
      <c r="D503" s="33" t="s">
        <v>279</v>
      </c>
      <c r="E503" s="34">
        <v>230.86600000000001</v>
      </c>
      <c r="F503" s="36">
        <v>8.0000000000012506E-2</v>
      </c>
      <c r="G503" s="34">
        <v>8.0000000000012506E-2</v>
      </c>
      <c r="H503" s="35">
        <v>46.9</v>
      </c>
      <c r="I503" s="37">
        <f t="shared" si="7"/>
        <v>2.1485180264785375E-3</v>
      </c>
      <c r="J503" s="33"/>
    </row>
    <row r="504" spans="1:10">
      <c r="A504" s="33" t="s">
        <v>54</v>
      </c>
      <c r="B504" s="34">
        <v>230.786</v>
      </c>
      <c r="C504" s="35">
        <v>21829</v>
      </c>
      <c r="D504" s="33" t="s">
        <v>97</v>
      </c>
      <c r="E504" s="34">
        <v>230.87700000000001</v>
      </c>
      <c r="F504" s="36">
        <v>9.1000000000008199E-2</v>
      </c>
      <c r="G504" s="34">
        <v>9.1000000000008199E-2</v>
      </c>
      <c r="H504" s="35">
        <v>1</v>
      </c>
      <c r="I504" s="37">
        <f t="shared" si="7"/>
        <v>4.5810618901461361E-5</v>
      </c>
      <c r="J504" s="33"/>
    </row>
    <row r="505" spans="1:10">
      <c r="A505" s="33" t="s">
        <v>54</v>
      </c>
      <c r="B505" s="34">
        <v>230.786</v>
      </c>
      <c r="C505" s="35">
        <v>21829</v>
      </c>
      <c r="D505" s="33" t="s">
        <v>290</v>
      </c>
      <c r="E505" s="34">
        <v>230.89</v>
      </c>
      <c r="F505" s="36">
        <v>0.10399999999998499</v>
      </c>
      <c r="G505" s="34">
        <v>0.10399999999998499</v>
      </c>
      <c r="H505" s="35">
        <v>56.77</v>
      </c>
      <c r="I505" s="37">
        <f t="shared" si="7"/>
        <v>2.6006688350359614E-3</v>
      </c>
      <c r="J505" s="33"/>
    </row>
    <row r="506" spans="1:10">
      <c r="A506" s="33" t="s">
        <v>54</v>
      </c>
      <c r="B506" s="34">
        <v>230.786</v>
      </c>
      <c r="C506" s="35">
        <v>21829</v>
      </c>
      <c r="D506" s="33" t="s">
        <v>237</v>
      </c>
      <c r="E506" s="34">
        <v>230.89</v>
      </c>
      <c r="F506" s="36">
        <v>0.10399999999998499</v>
      </c>
      <c r="G506" s="34">
        <v>0.10399999999998499</v>
      </c>
      <c r="H506" s="35">
        <v>42</v>
      </c>
      <c r="I506" s="37">
        <f t="shared" si="7"/>
        <v>1.924045993861377E-3</v>
      </c>
      <c r="J506" s="33"/>
    </row>
    <row r="507" spans="1:10">
      <c r="A507" s="33" t="s">
        <v>54</v>
      </c>
      <c r="B507" s="34">
        <v>231.16</v>
      </c>
      <c r="C507" s="35">
        <v>13310.5</v>
      </c>
      <c r="D507" s="33" t="s">
        <v>274</v>
      </c>
      <c r="E507" s="34">
        <v>230.90199999999999</v>
      </c>
      <c r="F507" s="36">
        <v>0.25800000000001</v>
      </c>
      <c r="G507" s="34">
        <v>0.25800000000001</v>
      </c>
      <c r="H507" s="35">
        <v>76.099999999999994</v>
      </c>
      <c r="I507" s="37">
        <f t="shared" si="7"/>
        <v>5.7172908605987753E-3</v>
      </c>
      <c r="J507" s="33"/>
    </row>
    <row r="508" spans="1:10">
      <c r="A508" s="33" t="s">
        <v>54</v>
      </c>
      <c r="B508" s="34">
        <v>231.16</v>
      </c>
      <c r="C508" s="35">
        <v>13310.5</v>
      </c>
      <c r="D508" s="33" t="s">
        <v>278</v>
      </c>
      <c r="E508" s="34">
        <v>230.90700000000001</v>
      </c>
      <c r="F508" s="36">
        <v>0.25299999999998601</v>
      </c>
      <c r="G508" s="34">
        <v>0.25299999999998601</v>
      </c>
      <c r="H508" s="35">
        <v>10.4</v>
      </c>
      <c r="I508" s="37">
        <f t="shared" si="7"/>
        <v>7.8133804139589053E-4</v>
      </c>
      <c r="J508" s="33"/>
    </row>
    <row r="509" spans="1:10">
      <c r="A509" s="33" t="s">
        <v>54</v>
      </c>
      <c r="B509" s="34">
        <v>231.16</v>
      </c>
      <c r="C509" s="35">
        <v>13310.5</v>
      </c>
      <c r="D509" s="33" t="s">
        <v>273</v>
      </c>
      <c r="E509" s="34">
        <v>230.923</v>
      </c>
      <c r="F509" s="36">
        <v>0.23699999999999499</v>
      </c>
      <c r="G509" s="34">
        <v>0.23699999999999499</v>
      </c>
      <c r="H509" s="35">
        <v>1533.6</v>
      </c>
      <c r="I509" s="37">
        <f t="shared" si="7"/>
        <v>0.11521730964276322</v>
      </c>
      <c r="J509" s="33"/>
    </row>
    <row r="510" spans="1:10">
      <c r="A510" s="33" t="s">
        <v>54</v>
      </c>
      <c r="B510" s="34">
        <v>231.16</v>
      </c>
      <c r="C510" s="35">
        <v>13310.5</v>
      </c>
      <c r="D510" s="33" t="s">
        <v>165</v>
      </c>
      <c r="E510" s="34">
        <v>230.94900000000001</v>
      </c>
      <c r="F510" s="36">
        <v>0.21099999999998401</v>
      </c>
      <c r="G510" s="34">
        <v>0.21099999999998401</v>
      </c>
      <c r="H510" s="35">
        <v>122.3</v>
      </c>
      <c r="I510" s="37">
        <f t="shared" si="7"/>
        <v>9.1882348521843647E-3</v>
      </c>
      <c r="J510" s="33"/>
    </row>
    <row r="511" spans="1:10">
      <c r="A511" s="33" t="s">
        <v>54</v>
      </c>
      <c r="B511" s="34">
        <v>231.16</v>
      </c>
      <c r="C511" s="35">
        <v>13310.5</v>
      </c>
      <c r="D511" s="33" t="s">
        <v>295</v>
      </c>
      <c r="E511" s="34">
        <v>230.95599999999999</v>
      </c>
      <c r="F511" s="36">
        <v>0.20400000000000801</v>
      </c>
      <c r="G511" s="34">
        <v>0.20400000000000801</v>
      </c>
      <c r="H511" s="35">
        <v>32.1</v>
      </c>
      <c r="I511" s="37">
        <f t="shared" si="7"/>
        <v>2.4116299162315466E-3</v>
      </c>
      <c r="J511" s="33"/>
    </row>
    <row r="512" spans="1:10">
      <c r="A512" s="33" t="s">
        <v>54</v>
      </c>
      <c r="B512" s="34">
        <v>231.16</v>
      </c>
      <c r="C512" s="35">
        <v>13310.5</v>
      </c>
      <c r="D512" s="33" t="s">
        <v>282</v>
      </c>
      <c r="E512" s="34">
        <v>230.982</v>
      </c>
      <c r="F512" s="36">
        <v>0.17799999999999699</v>
      </c>
      <c r="G512" s="34">
        <v>0.17799999999999699</v>
      </c>
      <c r="H512" s="35">
        <v>42.4</v>
      </c>
      <c r="I512" s="37">
        <f t="shared" si="7"/>
        <v>3.1854550918447842E-3</v>
      </c>
      <c r="J512" s="33"/>
    </row>
    <row r="513" spans="1:10">
      <c r="A513" s="33" t="s">
        <v>54</v>
      </c>
      <c r="B513" s="34">
        <v>231.16</v>
      </c>
      <c r="C513" s="35">
        <v>13310.5</v>
      </c>
      <c r="D513" s="33" t="s">
        <v>275</v>
      </c>
      <c r="E513" s="34">
        <v>230.98500000000001</v>
      </c>
      <c r="F513" s="36">
        <v>0.174999999999983</v>
      </c>
      <c r="G513" s="34">
        <v>0.174999999999983</v>
      </c>
      <c r="H513" s="35">
        <v>8.3000000000000007</v>
      </c>
      <c r="I513" s="37">
        <f t="shared" si="7"/>
        <v>6.2356785996018184E-4</v>
      </c>
      <c r="J513" s="33"/>
    </row>
    <row r="514" spans="1:10">
      <c r="A514" s="33" t="s">
        <v>54</v>
      </c>
      <c r="B514" s="34">
        <v>231.16</v>
      </c>
      <c r="C514" s="35">
        <v>13310.5</v>
      </c>
      <c r="D514" s="33" t="s">
        <v>274</v>
      </c>
      <c r="E514" s="34">
        <v>230.98500000000001</v>
      </c>
      <c r="F514" s="36">
        <v>0.174999999999983</v>
      </c>
      <c r="G514" s="34">
        <v>0.174999999999983</v>
      </c>
      <c r="H514" s="35">
        <v>67.5</v>
      </c>
      <c r="I514" s="37">
        <f t="shared" ref="I514:I577" si="8">H514/C514</f>
        <v>5.0711844032906355E-3</v>
      </c>
      <c r="J514" s="33"/>
    </row>
    <row r="515" spans="1:10">
      <c r="A515" s="33" t="s">
        <v>54</v>
      </c>
      <c r="B515" s="34">
        <v>231.16</v>
      </c>
      <c r="C515" s="35">
        <v>13310.5</v>
      </c>
      <c r="D515" s="33" t="s">
        <v>165</v>
      </c>
      <c r="E515" s="34">
        <v>231.00200000000001</v>
      </c>
      <c r="F515" s="36">
        <v>0.15799999999998701</v>
      </c>
      <c r="G515" s="34">
        <v>0.15799999999998701</v>
      </c>
      <c r="H515" s="35">
        <v>68.099999999999994</v>
      </c>
      <c r="I515" s="37">
        <f t="shared" si="8"/>
        <v>5.1162615979865513E-3</v>
      </c>
      <c r="J515" s="33"/>
    </row>
    <row r="516" spans="1:10">
      <c r="A516" s="33" t="s">
        <v>54</v>
      </c>
      <c r="B516" s="34">
        <v>231.16</v>
      </c>
      <c r="C516" s="35">
        <v>13310.5</v>
      </c>
      <c r="D516" s="33" t="s">
        <v>278</v>
      </c>
      <c r="E516" s="34">
        <v>231.018</v>
      </c>
      <c r="F516" s="36">
        <v>0.14199999999999599</v>
      </c>
      <c r="G516" s="34">
        <v>0.14199999999999599</v>
      </c>
      <c r="H516" s="35">
        <v>1.5</v>
      </c>
      <c r="I516" s="37">
        <f t="shared" si="8"/>
        <v>1.126929867397919E-4</v>
      </c>
      <c r="J516" s="33"/>
    </row>
    <row r="517" spans="1:10">
      <c r="A517" s="33" t="s">
        <v>54</v>
      </c>
      <c r="B517" s="34">
        <v>231.16</v>
      </c>
      <c r="C517" s="35">
        <v>13310.5</v>
      </c>
      <c r="D517" s="33" t="s">
        <v>54</v>
      </c>
      <c r="E517" s="34">
        <v>231.02600000000001</v>
      </c>
      <c r="F517" s="36">
        <v>0.13399999999998599</v>
      </c>
      <c r="G517" s="34">
        <v>0.13399999999998599</v>
      </c>
      <c r="H517" s="35">
        <v>6</v>
      </c>
      <c r="I517" s="37">
        <f t="shared" si="8"/>
        <v>4.5077194695916759E-4</v>
      </c>
      <c r="J517" s="33"/>
    </row>
    <row r="518" spans="1:10">
      <c r="A518" s="33" t="s">
        <v>54</v>
      </c>
      <c r="B518" s="34">
        <v>231.16</v>
      </c>
      <c r="C518" s="35">
        <v>13310.5</v>
      </c>
      <c r="D518" s="33" t="s">
        <v>290</v>
      </c>
      <c r="E518" s="34">
        <v>231.053</v>
      </c>
      <c r="F518" s="36">
        <v>0.106999999999999</v>
      </c>
      <c r="G518" s="34">
        <v>0.106999999999999</v>
      </c>
      <c r="H518" s="35">
        <v>20</v>
      </c>
      <c r="I518" s="37">
        <f t="shared" si="8"/>
        <v>1.5025731565305586E-3</v>
      </c>
      <c r="J518" s="33"/>
    </row>
    <row r="519" spans="1:10">
      <c r="A519" s="33" t="s">
        <v>54</v>
      </c>
      <c r="B519" s="34">
        <v>231.16</v>
      </c>
      <c r="C519" s="35">
        <v>13310.5</v>
      </c>
      <c r="D519" s="33" t="s">
        <v>239</v>
      </c>
      <c r="E519" s="34">
        <v>231.07400000000001</v>
      </c>
      <c r="F519" s="36">
        <v>8.5999999999984297E-2</v>
      </c>
      <c r="G519" s="34">
        <v>8.5999999999984297E-2</v>
      </c>
      <c r="H519" s="35">
        <v>11</v>
      </c>
      <c r="I519" s="37">
        <f t="shared" si="8"/>
        <v>8.2641523609180718E-4</v>
      </c>
      <c r="J519" s="33"/>
    </row>
    <row r="520" spans="1:10">
      <c r="A520" s="33" t="s">
        <v>54</v>
      </c>
      <c r="B520" s="34">
        <v>231.16</v>
      </c>
      <c r="C520" s="35">
        <v>13310.5</v>
      </c>
      <c r="D520" s="33" t="s">
        <v>294</v>
      </c>
      <c r="E520" s="34">
        <v>231.095</v>
      </c>
      <c r="F520" s="36">
        <v>6.4999999999997699E-2</v>
      </c>
      <c r="G520" s="34">
        <v>6.4999999999997699E-2</v>
      </c>
      <c r="H520" s="35">
        <v>453.5</v>
      </c>
      <c r="I520" s="37">
        <f t="shared" si="8"/>
        <v>3.4070846324330419E-2</v>
      </c>
      <c r="J520" s="33"/>
    </row>
    <row r="521" spans="1:10">
      <c r="A521" s="33" t="s">
        <v>54</v>
      </c>
      <c r="B521" s="34">
        <v>231.16</v>
      </c>
      <c r="C521" s="35">
        <v>13310.5</v>
      </c>
      <c r="D521" s="33" t="s">
        <v>165</v>
      </c>
      <c r="E521" s="34">
        <v>231.096</v>
      </c>
      <c r="F521" s="36">
        <v>6.3999999999993007E-2</v>
      </c>
      <c r="G521" s="34">
        <v>6.3999999999993007E-2</v>
      </c>
      <c r="H521" s="35">
        <v>4900</v>
      </c>
      <c r="I521" s="37">
        <f t="shared" si="8"/>
        <v>0.36813042334998686</v>
      </c>
      <c r="J521" s="33"/>
    </row>
    <row r="522" spans="1:10">
      <c r="A522" s="33" t="s">
        <v>54</v>
      </c>
      <c r="B522" s="34">
        <v>231.16</v>
      </c>
      <c r="C522" s="35">
        <v>13310.5</v>
      </c>
      <c r="D522" s="33" t="s">
        <v>54</v>
      </c>
      <c r="E522" s="34">
        <v>231.102</v>
      </c>
      <c r="F522" s="36">
        <v>5.7999999999992703E-2</v>
      </c>
      <c r="G522" s="34">
        <v>5.7999999999992703E-2</v>
      </c>
      <c r="H522" s="35">
        <v>9.6</v>
      </c>
      <c r="I522" s="37">
        <f t="shared" si="8"/>
        <v>7.2123511513466805E-4</v>
      </c>
      <c r="J522" s="33"/>
    </row>
    <row r="523" spans="1:10">
      <c r="A523" s="33" t="s">
        <v>54</v>
      </c>
      <c r="B523" s="34">
        <v>231.16</v>
      </c>
      <c r="C523" s="35">
        <v>13310.5</v>
      </c>
      <c r="D523" s="33" t="s">
        <v>97</v>
      </c>
      <c r="E523" s="34">
        <v>231.12899999999999</v>
      </c>
      <c r="F523" s="36">
        <v>3.1000000000005901E-2</v>
      </c>
      <c r="G523" s="34">
        <v>3.1000000000005901E-2</v>
      </c>
      <c r="H523" s="35">
        <v>40</v>
      </c>
      <c r="I523" s="37">
        <f t="shared" si="8"/>
        <v>3.0051463130611172E-3</v>
      </c>
      <c r="J523" s="33"/>
    </row>
    <row r="524" spans="1:10">
      <c r="A524" s="33" t="s">
        <v>54</v>
      </c>
      <c r="B524" s="34">
        <v>231.16</v>
      </c>
      <c r="C524" s="35">
        <v>13310.5</v>
      </c>
      <c r="D524" s="33" t="s">
        <v>184</v>
      </c>
      <c r="E524" s="34">
        <v>231.12899999999999</v>
      </c>
      <c r="F524" s="36">
        <v>3.1000000000005901E-2</v>
      </c>
      <c r="G524" s="34">
        <v>3.1000000000005901E-2</v>
      </c>
      <c r="H524" s="35">
        <v>46</v>
      </c>
      <c r="I524" s="37">
        <f t="shared" si="8"/>
        <v>3.4559182600202849E-3</v>
      </c>
      <c r="J524" s="33"/>
    </row>
    <row r="525" spans="1:10">
      <c r="A525" s="33" t="s">
        <v>54</v>
      </c>
      <c r="B525" s="34">
        <v>231.16</v>
      </c>
      <c r="C525" s="35">
        <v>13310.5</v>
      </c>
      <c r="D525" s="33" t="s">
        <v>291</v>
      </c>
      <c r="E525" s="34">
        <v>231.14599999999999</v>
      </c>
      <c r="F525" s="36">
        <v>1.4000000000009999E-2</v>
      </c>
      <c r="G525" s="34">
        <v>1.4000000000009999E-2</v>
      </c>
      <c r="H525" s="35">
        <v>1843</v>
      </c>
      <c r="I525" s="37">
        <f t="shared" si="8"/>
        <v>0.13846211637429098</v>
      </c>
      <c r="J525" s="33"/>
    </row>
    <row r="526" spans="1:10">
      <c r="A526" s="33" t="s">
        <v>54</v>
      </c>
      <c r="B526" s="34">
        <v>231.16</v>
      </c>
      <c r="C526" s="35">
        <v>13310.5</v>
      </c>
      <c r="D526" s="33" t="s">
        <v>97</v>
      </c>
      <c r="E526" s="34">
        <v>231.203</v>
      </c>
      <c r="F526" s="36">
        <v>4.3000000000006401E-2</v>
      </c>
      <c r="G526" s="34">
        <v>4.3000000000006401E-2</v>
      </c>
      <c r="H526" s="35">
        <v>21</v>
      </c>
      <c r="I526" s="37">
        <f t="shared" si="8"/>
        <v>1.5777018143570865E-3</v>
      </c>
      <c r="J526" s="33"/>
    </row>
    <row r="527" spans="1:10">
      <c r="A527" s="33" t="s">
        <v>54</v>
      </c>
      <c r="B527" s="34">
        <v>231.16</v>
      </c>
      <c r="C527" s="35">
        <v>13310.5</v>
      </c>
      <c r="D527" s="33" t="s">
        <v>165</v>
      </c>
      <c r="E527" s="34">
        <v>231.23400000000001</v>
      </c>
      <c r="F527" s="36">
        <v>7.4000000000012306E-2</v>
      </c>
      <c r="G527" s="34">
        <v>7.4000000000012306E-2</v>
      </c>
      <c r="H527" s="35">
        <v>2551.9</v>
      </c>
      <c r="I527" s="37">
        <f t="shared" si="8"/>
        <v>0.19172082190751663</v>
      </c>
      <c r="J527" s="33"/>
    </row>
    <row r="528" spans="1:10">
      <c r="A528" s="33" t="s">
        <v>54</v>
      </c>
      <c r="B528" s="34">
        <v>231.16</v>
      </c>
      <c r="C528" s="35">
        <v>13310.5</v>
      </c>
      <c r="D528" s="33" t="s">
        <v>283</v>
      </c>
      <c r="E528" s="34">
        <v>231.249</v>
      </c>
      <c r="F528" s="36">
        <v>8.8999999999998594E-2</v>
      </c>
      <c r="G528" s="34">
        <v>8.8999999999998594E-2</v>
      </c>
      <c r="H528" s="35">
        <v>5.7</v>
      </c>
      <c r="I528" s="37">
        <f t="shared" si="8"/>
        <v>4.2823334961120921E-4</v>
      </c>
      <c r="J528" s="33"/>
    </row>
    <row r="529" spans="1:10">
      <c r="A529" s="33" t="s">
        <v>54</v>
      </c>
      <c r="B529" s="34">
        <v>231.16</v>
      </c>
      <c r="C529" s="35">
        <v>13310.5</v>
      </c>
      <c r="D529" s="33" t="s">
        <v>54</v>
      </c>
      <c r="E529" s="34">
        <v>231.256</v>
      </c>
      <c r="F529" s="36">
        <v>9.6000000000003596E-2</v>
      </c>
      <c r="G529" s="34">
        <v>9.6000000000003596E-2</v>
      </c>
      <c r="H529" s="35">
        <v>310.8</v>
      </c>
      <c r="I529" s="37">
        <f t="shared" si="8"/>
        <v>2.3349986852484881E-2</v>
      </c>
      <c r="J529" s="33"/>
    </row>
    <row r="530" spans="1:10">
      <c r="A530" s="33" t="s">
        <v>54</v>
      </c>
      <c r="B530" s="34">
        <v>231.16</v>
      </c>
      <c r="C530" s="35">
        <v>13310.5</v>
      </c>
      <c r="D530" s="33" t="s">
        <v>193</v>
      </c>
      <c r="E530" s="34">
        <v>231.261</v>
      </c>
      <c r="F530" s="36">
        <v>0.10099999999999899</v>
      </c>
      <c r="G530" s="34">
        <v>0.10099999999999899</v>
      </c>
      <c r="H530" s="35">
        <v>865</v>
      </c>
      <c r="I530" s="37">
        <f t="shared" si="8"/>
        <v>6.4986289019946658E-2</v>
      </c>
      <c r="J530" s="33"/>
    </row>
    <row r="531" spans="1:10">
      <c r="A531" s="33" t="s">
        <v>54</v>
      </c>
      <c r="B531" s="34">
        <v>231.16</v>
      </c>
      <c r="C531" s="35">
        <v>13310.5</v>
      </c>
      <c r="D531" s="33" t="s">
        <v>282</v>
      </c>
      <c r="E531" s="34">
        <v>231.26499999999999</v>
      </c>
      <c r="F531" s="36">
        <v>0.10499999999999</v>
      </c>
      <c r="G531" s="34">
        <v>0.10499999999999</v>
      </c>
      <c r="H531" s="35">
        <v>21.2</v>
      </c>
      <c r="I531" s="37">
        <f t="shared" si="8"/>
        <v>1.5927275459223921E-3</v>
      </c>
      <c r="J531" s="33"/>
    </row>
    <row r="532" spans="1:10">
      <c r="A532" s="33" t="s">
        <v>54</v>
      </c>
      <c r="B532" s="34">
        <v>231.16</v>
      </c>
      <c r="C532" s="35">
        <v>13310.5</v>
      </c>
      <c r="D532" s="33" t="s">
        <v>240</v>
      </c>
      <c r="E532" s="34">
        <v>231.268</v>
      </c>
      <c r="F532" s="36">
        <v>0.108000000000004</v>
      </c>
      <c r="G532" s="34">
        <v>0.108000000000004</v>
      </c>
      <c r="H532" s="35">
        <v>10.5</v>
      </c>
      <c r="I532" s="37">
        <f t="shared" si="8"/>
        <v>7.8885090717854323E-4</v>
      </c>
      <c r="J532" s="33"/>
    </row>
    <row r="533" spans="1:10">
      <c r="A533" s="33" t="s">
        <v>54</v>
      </c>
      <c r="B533" s="34">
        <v>231.16</v>
      </c>
      <c r="C533" s="35">
        <v>13310.5</v>
      </c>
      <c r="D533" s="33" t="s">
        <v>292</v>
      </c>
      <c r="E533" s="34">
        <v>231.27500000000001</v>
      </c>
      <c r="F533" s="36">
        <v>0.115000000000009</v>
      </c>
      <c r="G533" s="34">
        <v>0.115000000000009</v>
      </c>
      <c r="H533" s="35">
        <v>81.2</v>
      </c>
      <c r="I533" s="37">
        <f t="shared" si="8"/>
        <v>6.1004470155140676E-3</v>
      </c>
      <c r="J533" s="33"/>
    </row>
    <row r="534" spans="1:10">
      <c r="A534" s="33" t="s">
        <v>54</v>
      </c>
      <c r="B534" s="34">
        <v>231.16</v>
      </c>
      <c r="C534" s="35">
        <v>13310.5</v>
      </c>
      <c r="D534" s="33" t="s">
        <v>274</v>
      </c>
      <c r="E534" s="34">
        <v>231.291</v>
      </c>
      <c r="F534" s="36">
        <v>0.13100000000000001</v>
      </c>
      <c r="G534" s="34">
        <v>0.13100000000000001</v>
      </c>
      <c r="H534" s="35">
        <v>33.1</v>
      </c>
      <c r="I534" s="37">
        <f t="shared" si="8"/>
        <v>2.4867585740580745E-3</v>
      </c>
      <c r="J534" s="33"/>
    </row>
    <row r="535" spans="1:10">
      <c r="A535" s="33" t="s">
        <v>54</v>
      </c>
      <c r="B535" s="34">
        <v>231.16</v>
      </c>
      <c r="C535" s="35">
        <v>13310.5</v>
      </c>
      <c r="D535" s="33" t="s">
        <v>165</v>
      </c>
      <c r="E535" s="34">
        <v>231.292</v>
      </c>
      <c r="F535" s="36">
        <v>0.132000000000005</v>
      </c>
      <c r="G535" s="34">
        <v>0.132000000000005</v>
      </c>
      <c r="H535" s="35">
        <v>345.1</v>
      </c>
      <c r="I535" s="37">
        <f t="shared" si="8"/>
        <v>2.5926899815934792E-2</v>
      </c>
      <c r="J535" s="33"/>
    </row>
    <row r="536" spans="1:10">
      <c r="A536" s="33" t="s">
        <v>54</v>
      </c>
      <c r="B536" s="34">
        <v>231.16</v>
      </c>
      <c r="C536" s="35">
        <v>13310.5</v>
      </c>
      <c r="D536" s="33" t="s">
        <v>279</v>
      </c>
      <c r="E536" s="34">
        <v>231.297</v>
      </c>
      <c r="F536" s="36">
        <v>0.13700000000000101</v>
      </c>
      <c r="G536" s="34">
        <v>0.13700000000000101</v>
      </c>
      <c r="H536" s="35">
        <v>24</v>
      </c>
      <c r="I536" s="37">
        <f t="shared" si="8"/>
        <v>1.8030877878366703E-3</v>
      </c>
      <c r="J536" s="33"/>
    </row>
    <row r="537" spans="1:10">
      <c r="A537" s="33" t="s">
        <v>54</v>
      </c>
      <c r="B537" s="34">
        <v>231.16</v>
      </c>
      <c r="C537" s="35">
        <v>13310.5</v>
      </c>
      <c r="D537" s="33" t="s">
        <v>97</v>
      </c>
      <c r="E537" s="34">
        <v>231.31</v>
      </c>
      <c r="F537" s="36">
        <v>0.15000000000000599</v>
      </c>
      <c r="G537" s="34">
        <v>0.15000000000000599</v>
      </c>
      <c r="H537" s="35">
        <v>40.4</v>
      </c>
      <c r="I537" s="37">
        <f t="shared" si="8"/>
        <v>3.0351977761917284E-3</v>
      </c>
      <c r="J537" s="33"/>
    </row>
    <row r="538" spans="1:10">
      <c r="A538" s="33" t="s">
        <v>54</v>
      </c>
      <c r="B538" s="34">
        <v>231.16</v>
      </c>
      <c r="C538" s="35">
        <v>13310.5</v>
      </c>
      <c r="D538" s="33" t="s">
        <v>274</v>
      </c>
      <c r="E538" s="34">
        <v>231.31800000000001</v>
      </c>
      <c r="F538" s="36">
        <v>0.15800000000001599</v>
      </c>
      <c r="G538" s="34">
        <v>0.15800000000001599</v>
      </c>
      <c r="H538" s="35">
        <v>61.1</v>
      </c>
      <c r="I538" s="37">
        <f t="shared" si="8"/>
        <v>4.5903609932008566E-3</v>
      </c>
      <c r="J538" s="33"/>
    </row>
    <row r="539" spans="1:10">
      <c r="A539" s="33" t="s">
        <v>54</v>
      </c>
      <c r="B539" s="34">
        <v>231.16</v>
      </c>
      <c r="C539" s="35">
        <v>13310.5</v>
      </c>
      <c r="D539" s="33" t="s">
        <v>279</v>
      </c>
      <c r="E539" s="34">
        <v>231.334</v>
      </c>
      <c r="F539" s="36">
        <v>0.17400000000000701</v>
      </c>
      <c r="G539" s="34">
        <v>0.17400000000000701</v>
      </c>
      <c r="H539" s="35">
        <v>24.3</v>
      </c>
      <c r="I539" s="37">
        <f t="shared" si="8"/>
        <v>1.8256263851846287E-3</v>
      </c>
      <c r="J539" s="33"/>
    </row>
    <row r="540" spans="1:10">
      <c r="A540" s="33" t="s">
        <v>54</v>
      </c>
      <c r="B540" s="34">
        <v>231.16</v>
      </c>
      <c r="C540" s="35">
        <v>13310.5</v>
      </c>
      <c r="D540" s="33" t="s">
        <v>268</v>
      </c>
      <c r="E540" s="34">
        <v>231.33699999999999</v>
      </c>
      <c r="F540" s="36">
        <v>0.176999999999993</v>
      </c>
      <c r="G540" s="34">
        <v>0.176999999999993</v>
      </c>
      <c r="H540" s="35">
        <v>63</v>
      </c>
      <c r="I540" s="37">
        <f t="shared" si="8"/>
        <v>4.7331054430712598E-3</v>
      </c>
      <c r="J540" s="33"/>
    </row>
    <row r="541" spans="1:10">
      <c r="A541" s="33" t="s">
        <v>54</v>
      </c>
      <c r="B541" s="34">
        <v>231.16</v>
      </c>
      <c r="C541" s="35">
        <v>13310.5</v>
      </c>
      <c r="D541" s="33" t="s">
        <v>273</v>
      </c>
      <c r="E541" s="34">
        <v>231.352</v>
      </c>
      <c r="F541" s="36">
        <v>0.192000000000007</v>
      </c>
      <c r="G541" s="34">
        <v>0.192000000000007</v>
      </c>
      <c r="H541" s="35">
        <v>78.599999999999994</v>
      </c>
      <c r="I541" s="37">
        <f t="shared" si="8"/>
        <v>5.9051125051650952E-3</v>
      </c>
      <c r="J541" s="33"/>
    </row>
    <row r="542" spans="1:10">
      <c r="A542" s="33" t="s">
        <v>54</v>
      </c>
      <c r="B542" s="34">
        <v>231.16</v>
      </c>
      <c r="C542" s="35">
        <v>13310.5</v>
      </c>
      <c r="D542" s="33" t="s">
        <v>283</v>
      </c>
      <c r="E542" s="34">
        <v>231.35300000000001</v>
      </c>
      <c r="F542" s="36">
        <v>0.193000000000012</v>
      </c>
      <c r="G542" s="34">
        <v>0.193000000000012</v>
      </c>
      <c r="H542" s="35">
        <v>6.3</v>
      </c>
      <c r="I542" s="37">
        <f t="shared" si="8"/>
        <v>4.7331054430712596E-4</v>
      </c>
      <c r="J542" s="33"/>
    </row>
    <row r="543" spans="1:10">
      <c r="A543" s="33" t="s">
        <v>54</v>
      </c>
      <c r="B543" s="34">
        <v>231.16</v>
      </c>
      <c r="C543" s="35">
        <v>13310.5</v>
      </c>
      <c r="D543" s="33" t="s">
        <v>54</v>
      </c>
      <c r="E543" s="34">
        <v>231.36</v>
      </c>
      <c r="F543" s="36">
        <v>0.200000000000017</v>
      </c>
      <c r="G543" s="34">
        <v>0.200000000000017</v>
      </c>
      <c r="H543" s="35">
        <v>321.7</v>
      </c>
      <c r="I543" s="37">
        <f t="shared" si="8"/>
        <v>2.4168889222794036E-2</v>
      </c>
      <c r="J543" s="33"/>
    </row>
    <row r="544" spans="1:10">
      <c r="A544" s="33" t="s">
        <v>54</v>
      </c>
      <c r="B544" s="34">
        <v>231.16</v>
      </c>
      <c r="C544" s="35">
        <v>13310.5</v>
      </c>
      <c r="D544" s="33" t="s">
        <v>165</v>
      </c>
      <c r="E544" s="34">
        <v>231.36600000000001</v>
      </c>
      <c r="F544" s="36">
        <v>0.206000000000017</v>
      </c>
      <c r="G544" s="34">
        <v>0.206000000000017</v>
      </c>
      <c r="H544" s="35">
        <v>1518.5</v>
      </c>
      <c r="I544" s="37">
        <f t="shared" si="8"/>
        <v>0.11408286690958266</v>
      </c>
      <c r="J544" s="33"/>
    </row>
    <row r="545" spans="1:10">
      <c r="A545" s="33" t="s">
        <v>54</v>
      </c>
      <c r="B545" s="34">
        <v>231.16</v>
      </c>
      <c r="C545" s="35">
        <v>13310.5</v>
      </c>
      <c r="D545" s="33" t="s">
        <v>284</v>
      </c>
      <c r="E545" s="34">
        <v>231.375</v>
      </c>
      <c r="F545" s="36">
        <v>0.21500000000000299</v>
      </c>
      <c r="G545" s="34">
        <v>0.21500000000000299</v>
      </c>
      <c r="H545" s="35">
        <v>47.87</v>
      </c>
      <c r="I545" s="37">
        <f t="shared" si="8"/>
        <v>3.5964088501558916E-3</v>
      </c>
      <c r="J545" s="33"/>
    </row>
    <row r="546" spans="1:10">
      <c r="A546" s="33" t="s">
        <v>54</v>
      </c>
      <c r="B546" s="34">
        <v>236.37899999999999</v>
      </c>
      <c r="C546" s="35">
        <v>9708.5</v>
      </c>
      <c r="D546" s="33" t="s">
        <v>193</v>
      </c>
      <c r="E546" s="34">
        <v>236.11099999999999</v>
      </c>
      <c r="F546" s="36">
        <v>0.26800000000000102</v>
      </c>
      <c r="G546" s="34">
        <v>0.26800000000000102</v>
      </c>
      <c r="H546" s="35">
        <v>14.7</v>
      </c>
      <c r="I546" s="37">
        <f t="shared" si="8"/>
        <v>1.5141370963588608E-3</v>
      </c>
      <c r="J546" s="33"/>
    </row>
    <row r="547" spans="1:10">
      <c r="A547" s="33" t="s">
        <v>54</v>
      </c>
      <c r="B547" s="34">
        <v>236.37899999999999</v>
      </c>
      <c r="C547" s="35">
        <v>9708.5</v>
      </c>
      <c r="D547" s="33" t="s">
        <v>54</v>
      </c>
      <c r="E547" s="34">
        <v>236.15199999999999</v>
      </c>
      <c r="F547" s="36">
        <v>0.227000000000004</v>
      </c>
      <c r="G547" s="34">
        <v>0.227000000000004</v>
      </c>
      <c r="H547" s="35">
        <v>235.4</v>
      </c>
      <c r="I547" s="37">
        <f t="shared" si="8"/>
        <v>2.4246794046454138E-2</v>
      </c>
      <c r="J547" s="33"/>
    </row>
    <row r="548" spans="1:10">
      <c r="A548" s="33" t="s">
        <v>54</v>
      </c>
      <c r="B548" s="34">
        <v>236.37899999999999</v>
      </c>
      <c r="C548" s="35">
        <v>9708.5</v>
      </c>
      <c r="D548" s="33" t="s">
        <v>25</v>
      </c>
      <c r="E548" s="34">
        <v>236.15299999999999</v>
      </c>
      <c r="F548" s="36">
        <v>0.22599999999999901</v>
      </c>
      <c r="G548" s="34">
        <v>0.22599999999999901</v>
      </c>
      <c r="H548" s="35">
        <v>16.399999999999999</v>
      </c>
      <c r="I548" s="37">
        <f t="shared" si="8"/>
        <v>1.689241386413967E-3</v>
      </c>
      <c r="J548" s="33" t="s">
        <v>116</v>
      </c>
    </row>
    <row r="549" spans="1:10">
      <c r="A549" s="33" t="s">
        <v>54</v>
      </c>
      <c r="B549" s="34">
        <v>236.37899999999999</v>
      </c>
      <c r="C549" s="35">
        <v>9708.5</v>
      </c>
      <c r="D549" s="33" t="s">
        <v>97</v>
      </c>
      <c r="E549" s="34">
        <v>236.17400000000001</v>
      </c>
      <c r="F549" s="36">
        <v>0.204999999999984</v>
      </c>
      <c r="G549" s="34">
        <v>0.204999999999984</v>
      </c>
      <c r="H549" s="35">
        <v>17.399999999999999</v>
      </c>
      <c r="I549" s="37">
        <f t="shared" si="8"/>
        <v>1.7922439099757942E-3</v>
      </c>
      <c r="J549" s="33"/>
    </row>
    <row r="550" spans="1:10">
      <c r="A550" s="33" t="s">
        <v>54</v>
      </c>
      <c r="B550" s="34">
        <v>236.37899999999999</v>
      </c>
      <c r="C550" s="35">
        <v>9708.5</v>
      </c>
      <c r="D550" s="33" t="s">
        <v>236</v>
      </c>
      <c r="E550" s="34">
        <v>236.17500000000001</v>
      </c>
      <c r="F550" s="36">
        <v>0.203999999999979</v>
      </c>
      <c r="G550" s="34">
        <v>0.203999999999979</v>
      </c>
      <c r="H550" s="35">
        <v>54.2</v>
      </c>
      <c r="I550" s="37">
        <f t="shared" si="8"/>
        <v>5.5827367770510377E-3</v>
      </c>
      <c r="J550" s="33"/>
    </row>
    <row r="551" spans="1:10">
      <c r="A551" s="33" t="s">
        <v>54</v>
      </c>
      <c r="B551" s="34">
        <v>236.37899999999999</v>
      </c>
      <c r="C551" s="35">
        <v>9708.5</v>
      </c>
      <c r="D551" s="33" t="s">
        <v>240</v>
      </c>
      <c r="E551" s="34">
        <v>236.17699999999999</v>
      </c>
      <c r="F551" s="36">
        <v>0.20199999999999799</v>
      </c>
      <c r="G551" s="34">
        <v>0.20199999999999799</v>
      </c>
      <c r="H551" s="35">
        <v>21.6</v>
      </c>
      <c r="I551" s="37">
        <f t="shared" si="8"/>
        <v>2.2248545089354689E-3</v>
      </c>
      <c r="J551" s="33"/>
    </row>
    <row r="552" spans="1:10">
      <c r="A552" s="33" t="s">
        <v>54</v>
      </c>
      <c r="B552" s="34">
        <v>236.37899999999999</v>
      </c>
      <c r="C552" s="35">
        <v>9708.5</v>
      </c>
      <c r="D552" s="33" t="s">
        <v>282</v>
      </c>
      <c r="E552" s="34">
        <v>236.19200000000001</v>
      </c>
      <c r="F552" s="36">
        <v>0.18699999999998301</v>
      </c>
      <c r="G552" s="34">
        <v>0.18699999999998301</v>
      </c>
      <c r="H552" s="35">
        <v>183.3</v>
      </c>
      <c r="I552" s="37">
        <f t="shared" si="8"/>
        <v>1.8880362568882939E-2</v>
      </c>
      <c r="J552" s="33"/>
    </row>
    <row r="553" spans="1:10">
      <c r="A553" s="33" t="s">
        <v>54</v>
      </c>
      <c r="B553" s="34">
        <v>236.37899999999999</v>
      </c>
      <c r="C553" s="35">
        <v>9708.5</v>
      </c>
      <c r="D553" s="33" t="s">
        <v>97</v>
      </c>
      <c r="E553" s="34">
        <v>236.202</v>
      </c>
      <c r="F553" s="36">
        <v>0.176999999999993</v>
      </c>
      <c r="G553" s="34">
        <v>0.176999999999993</v>
      </c>
      <c r="H553" s="35">
        <v>470.8</v>
      </c>
      <c r="I553" s="37">
        <f t="shared" si="8"/>
        <v>4.8493588092908275E-2</v>
      </c>
      <c r="J553" s="33"/>
    </row>
    <row r="554" spans="1:10">
      <c r="A554" s="33" t="s">
        <v>54</v>
      </c>
      <c r="B554" s="34">
        <v>236.37899999999999</v>
      </c>
      <c r="C554" s="35">
        <v>9708.5</v>
      </c>
      <c r="D554" s="33" t="s">
        <v>165</v>
      </c>
      <c r="E554" s="34">
        <v>236.20699999999999</v>
      </c>
      <c r="F554" s="36">
        <v>0.17199999999999699</v>
      </c>
      <c r="G554" s="34">
        <v>0.17199999999999699</v>
      </c>
      <c r="H554" s="35">
        <v>71.900000000000006</v>
      </c>
      <c r="I554" s="37">
        <f t="shared" si="8"/>
        <v>7.4058814440953807E-3</v>
      </c>
      <c r="J554" s="33"/>
    </row>
    <row r="555" spans="1:10">
      <c r="A555" s="33" t="s">
        <v>54</v>
      </c>
      <c r="B555" s="34">
        <v>236.37899999999999</v>
      </c>
      <c r="C555" s="35">
        <v>9708.5</v>
      </c>
      <c r="D555" s="33" t="s">
        <v>63</v>
      </c>
      <c r="E555" s="34">
        <v>236.209</v>
      </c>
      <c r="F555" s="36">
        <v>0.17</v>
      </c>
      <c r="G555" s="34">
        <v>0.17</v>
      </c>
      <c r="H555" s="35">
        <v>316.10000000000002</v>
      </c>
      <c r="I555" s="37">
        <f t="shared" si="8"/>
        <v>3.2559097697893599E-2</v>
      </c>
      <c r="J555" s="33" t="s">
        <v>116</v>
      </c>
    </row>
    <row r="556" spans="1:10">
      <c r="A556" s="33" t="s">
        <v>54</v>
      </c>
      <c r="B556" s="34">
        <v>236.37899999999999</v>
      </c>
      <c r="C556" s="35">
        <v>9708.5</v>
      </c>
      <c r="D556" s="33" t="s">
        <v>239</v>
      </c>
      <c r="E556" s="34">
        <v>236.22</v>
      </c>
      <c r="F556" s="36">
        <v>0.15899999999999201</v>
      </c>
      <c r="G556" s="34">
        <v>0.15899999999999201</v>
      </c>
      <c r="H556" s="35">
        <v>5.6</v>
      </c>
      <c r="I556" s="37">
        <f t="shared" si="8"/>
        <v>5.7681413194623262E-4</v>
      </c>
      <c r="J556" s="33"/>
    </row>
    <row r="557" spans="1:10">
      <c r="A557" s="33" t="s">
        <v>54</v>
      </c>
      <c r="B557" s="34">
        <v>236.37899999999999</v>
      </c>
      <c r="C557" s="35">
        <v>9708.5</v>
      </c>
      <c r="D557" s="33" t="s">
        <v>285</v>
      </c>
      <c r="E557" s="34">
        <v>236.232</v>
      </c>
      <c r="F557" s="36">
        <v>0.146999999999991</v>
      </c>
      <c r="G557" s="34">
        <v>0.146999999999991</v>
      </c>
      <c r="H557" s="35">
        <v>184.6</v>
      </c>
      <c r="I557" s="37">
        <f t="shared" si="8"/>
        <v>1.9014265849513313E-2</v>
      </c>
      <c r="J557" s="33"/>
    </row>
    <row r="558" spans="1:10">
      <c r="A558" s="33" t="s">
        <v>54</v>
      </c>
      <c r="B558" s="34">
        <v>236.37899999999999</v>
      </c>
      <c r="C558" s="35">
        <v>9708.5</v>
      </c>
      <c r="D558" s="33" t="s">
        <v>284</v>
      </c>
      <c r="E558" s="34">
        <v>236.24100000000001</v>
      </c>
      <c r="F558" s="36">
        <v>0.137999999999977</v>
      </c>
      <c r="G558" s="34">
        <v>0.137999999999977</v>
      </c>
      <c r="H558" s="35">
        <v>1.8</v>
      </c>
      <c r="I558" s="37">
        <f t="shared" si="8"/>
        <v>1.8540454241128908E-4</v>
      </c>
      <c r="J558" s="33"/>
    </row>
    <row r="559" spans="1:10">
      <c r="A559" s="33" t="s">
        <v>54</v>
      </c>
      <c r="B559" s="34">
        <v>236.37899999999999</v>
      </c>
      <c r="C559" s="35">
        <v>9708.5</v>
      </c>
      <c r="D559" s="33" t="s">
        <v>284</v>
      </c>
      <c r="E559" s="34">
        <v>236.27699999999999</v>
      </c>
      <c r="F559" s="36">
        <v>0.102000000000004</v>
      </c>
      <c r="G559" s="34">
        <v>0.102000000000004</v>
      </c>
      <c r="H559" s="35">
        <v>6.6</v>
      </c>
      <c r="I559" s="37">
        <f t="shared" si="8"/>
        <v>6.7981665550805991E-4</v>
      </c>
      <c r="J559" s="33"/>
    </row>
    <row r="560" spans="1:10">
      <c r="A560" s="33" t="s">
        <v>54</v>
      </c>
      <c r="B560" s="34">
        <v>236.37899999999999</v>
      </c>
      <c r="C560" s="35">
        <v>9708.5</v>
      </c>
      <c r="D560" s="33" t="s">
        <v>193</v>
      </c>
      <c r="E560" s="34">
        <v>236.27799999999999</v>
      </c>
      <c r="F560" s="36">
        <v>0.10099999999999899</v>
      </c>
      <c r="G560" s="34">
        <v>0.10099999999999899</v>
      </c>
      <c r="H560" s="35">
        <v>8.1</v>
      </c>
      <c r="I560" s="37">
        <f t="shared" si="8"/>
        <v>8.3432044085080079E-4</v>
      </c>
      <c r="J560" s="33"/>
    </row>
    <row r="561" spans="1:10">
      <c r="A561" s="33" t="s">
        <v>54</v>
      </c>
      <c r="B561" s="34">
        <v>236.37899999999999</v>
      </c>
      <c r="C561" s="35">
        <v>9708.5</v>
      </c>
      <c r="D561" s="33" t="s">
        <v>201</v>
      </c>
      <c r="E561" s="34">
        <v>236.28899999999999</v>
      </c>
      <c r="F561" s="36">
        <v>9.0000000000003397E-2</v>
      </c>
      <c r="G561" s="34">
        <v>9.0000000000003397E-2</v>
      </c>
      <c r="H561" s="35">
        <v>316.10000000000002</v>
      </c>
      <c r="I561" s="37">
        <f t="shared" si="8"/>
        <v>3.2559097697893599E-2</v>
      </c>
      <c r="J561" s="33"/>
    </row>
    <row r="562" spans="1:10">
      <c r="A562" s="33" t="s">
        <v>54</v>
      </c>
      <c r="B562" s="34">
        <v>236.37899999999999</v>
      </c>
      <c r="C562" s="35">
        <v>9708.5</v>
      </c>
      <c r="D562" s="33" t="s">
        <v>290</v>
      </c>
      <c r="E562" s="34">
        <v>236.30500000000001</v>
      </c>
      <c r="F562" s="36">
        <v>7.3999999999983898E-2</v>
      </c>
      <c r="G562" s="34">
        <v>7.3999999999983898E-2</v>
      </c>
      <c r="H562" s="35">
        <v>162.9</v>
      </c>
      <c r="I562" s="37">
        <f t="shared" si="8"/>
        <v>1.6779111088221662E-2</v>
      </c>
      <c r="J562" s="33"/>
    </row>
    <row r="563" spans="1:10">
      <c r="A563" s="33" t="s">
        <v>54</v>
      </c>
      <c r="B563" s="34">
        <v>236.37899999999999</v>
      </c>
      <c r="C563" s="35">
        <v>9708.5</v>
      </c>
      <c r="D563" s="33" t="s">
        <v>274</v>
      </c>
      <c r="E563" s="34">
        <v>236.30699999999999</v>
      </c>
      <c r="F563" s="36">
        <v>7.2000000000002701E-2</v>
      </c>
      <c r="G563" s="34">
        <v>7.2000000000002701E-2</v>
      </c>
      <c r="H563" s="35">
        <v>112.8</v>
      </c>
      <c r="I563" s="37">
        <f t="shared" si="8"/>
        <v>1.1618684657774115E-2</v>
      </c>
      <c r="J563" s="33"/>
    </row>
    <row r="564" spans="1:10">
      <c r="A564" s="33" t="s">
        <v>54</v>
      </c>
      <c r="B564" s="34">
        <v>236.37899999999999</v>
      </c>
      <c r="C564" s="35">
        <v>9708.5</v>
      </c>
      <c r="D564" s="33" t="s">
        <v>193</v>
      </c>
      <c r="E564" s="34">
        <v>236.33199999999999</v>
      </c>
      <c r="F564" s="36">
        <v>4.6999999999997003E-2</v>
      </c>
      <c r="G564" s="34">
        <v>4.6999999999997003E-2</v>
      </c>
      <c r="H564" s="35">
        <v>10.6</v>
      </c>
      <c r="I564" s="37">
        <f t="shared" si="8"/>
        <v>1.0918267497553691E-3</v>
      </c>
      <c r="J564" s="33"/>
    </row>
    <row r="565" spans="1:10">
      <c r="A565" s="33" t="s">
        <v>54</v>
      </c>
      <c r="B565" s="34">
        <v>236.37899999999999</v>
      </c>
      <c r="C565" s="35">
        <v>9708.5</v>
      </c>
      <c r="D565" s="33" t="s">
        <v>284</v>
      </c>
      <c r="E565" s="34">
        <v>236.33500000000001</v>
      </c>
      <c r="F565" s="36">
        <v>4.3999999999982699E-2</v>
      </c>
      <c r="G565" s="34">
        <v>4.3999999999982699E-2</v>
      </c>
      <c r="H565" s="35">
        <v>2</v>
      </c>
      <c r="I565" s="37">
        <f t="shared" si="8"/>
        <v>2.0600504712365452E-4</v>
      </c>
      <c r="J565" s="33"/>
    </row>
    <row r="566" spans="1:10">
      <c r="A566" s="33" t="s">
        <v>54</v>
      </c>
      <c r="B566" s="34">
        <v>236.37899999999999</v>
      </c>
      <c r="C566" s="35">
        <v>9708.5</v>
      </c>
      <c r="D566" s="33" t="s">
        <v>274</v>
      </c>
      <c r="E566" s="34">
        <v>236.346</v>
      </c>
      <c r="F566" s="36">
        <v>3.2999999999986998E-2</v>
      </c>
      <c r="G566" s="34">
        <v>3.2999999999986998E-2</v>
      </c>
      <c r="H566" s="35">
        <v>66.099999999999994</v>
      </c>
      <c r="I566" s="37">
        <f t="shared" si="8"/>
        <v>6.8084668074367815E-3</v>
      </c>
      <c r="J566" s="33"/>
    </row>
    <row r="567" spans="1:10">
      <c r="A567" s="33" t="s">
        <v>54</v>
      </c>
      <c r="B567" s="34">
        <v>236.37899999999999</v>
      </c>
      <c r="C567" s="35">
        <v>9708.5</v>
      </c>
      <c r="D567" s="33" t="s">
        <v>97</v>
      </c>
      <c r="E567" s="34">
        <v>236.386</v>
      </c>
      <c r="F567" s="36">
        <v>7.0000000000049996E-3</v>
      </c>
      <c r="G567" s="34">
        <v>7.0000000000049996E-3</v>
      </c>
      <c r="H567" s="35">
        <v>34.5</v>
      </c>
      <c r="I567" s="37">
        <f t="shared" si="8"/>
        <v>3.5535870628830408E-3</v>
      </c>
      <c r="J567" s="33"/>
    </row>
    <row r="568" spans="1:10">
      <c r="A568" s="33" t="s">
        <v>54</v>
      </c>
      <c r="B568" s="34">
        <v>236.37899999999999</v>
      </c>
      <c r="C568" s="35">
        <v>9708.5</v>
      </c>
      <c r="D568" s="33" t="s">
        <v>239</v>
      </c>
      <c r="E568" s="34">
        <v>236.40700000000001</v>
      </c>
      <c r="F568" s="36">
        <v>2.8000000000019998E-2</v>
      </c>
      <c r="G568" s="34">
        <v>2.8000000000019998E-2</v>
      </c>
      <c r="H568" s="35">
        <v>14.6</v>
      </c>
      <c r="I568" s="37">
        <f t="shared" si="8"/>
        <v>1.503836844002678E-3</v>
      </c>
      <c r="J568" s="33"/>
    </row>
    <row r="569" spans="1:10">
      <c r="A569" s="33" t="s">
        <v>54</v>
      </c>
      <c r="B569" s="34">
        <v>236.37899999999999</v>
      </c>
      <c r="C569" s="35">
        <v>9708.5</v>
      </c>
      <c r="D569" s="33" t="s">
        <v>274</v>
      </c>
      <c r="E569" s="34">
        <v>236.422</v>
      </c>
      <c r="F569" s="36">
        <v>4.3000000000006401E-2</v>
      </c>
      <c r="G569" s="34">
        <v>4.3000000000006401E-2</v>
      </c>
      <c r="H569" s="35">
        <v>204.4</v>
      </c>
      <c r="I569" s="37">
        <f t="shared" si="8"/>
        <v>2.1053715816037495E-2</v>
      </c>
      <c r="J569" s="33"/>
    </row>
    <row r="570" spans="1:10">
      <c r="A570" s="33" t="s">
        <v>54</v>
      </c>
      <c r="B570" s="34">
        <v>236.37899999999999</v>
      </c>
      <c r="C570" s="35">
        <v>9708.5</v>
      </c>
      <c r="D570" s="33" t="s">
        <v>193</v>
      </c>
      <c r="E570" s="34">
        <v>236.42599999999999</v>
      </c>
      <c r="F570" s="36">
        <v>4.6999999999997003E-2</v>
      </c>
      <c r="G570" s="34">
        <v>4.6999999999997003E-2</v>
      </c>
      <c r="H570" s="35">
        <v>1462.2</v>
      </c>
      <c r="I570" s="37">
        <f t="shared" si="8"/>
        <v>0.15061028995210382</v>
      </c>
      <c r="J570" s="33"/>
    </row>
    <row r="571" spans="1:10">
      <c r="A571" s="33" t="s">
        <v>54</v>
      </c>
      <c r="B571" s="34">
        <v>236.37899999999999</v>
      </c>
      <c r="C571" s="35">
        <v>9708.5</v>
      </c>
      <c r="D571" s="33" t="s">
        <v>276</v>
      </c>
      <c r="E571" s="34">
        <v>236.45599999999999</v>
      </c>
      <c r="F571" s="36">
        <v>7.6999999999998195E-2</v>
      </c>
      <c r="G571" s="34">
        <v>7.6999999999998195E-2</v>
      </c>
      <c r="H571" s="35">
        <v>14.3</v>
      </c>
      <c r="I571" s="37">
        <f t="shared" si="8"/>
        <v>1.47293608693413E-3</v>
      </c>
      <c r="J571" s="33"/>
    </row>
    <row r="572" spans="1:10">
      <c r="A572" s="33" t="s">
        <v>54</v>
      </c>
      <c r="B572" s="34">
        <v>236.37899999999999</v>
      </c>
      <c r="C572" s="35">
        <v>9708.5</v>
      </c>
      <c r="D572" s="33" t="s">
        <v>239</v>
      </c>
      <c r="E572" s="34">
        <v>236.47300000000001</v>
      </c>
      <c r="F572" s="36">
        <v>9.4000000000022496E-2</v>
      </c>
      <c r="G572" s="34">
        <v>9.4000000000022496E-2</v>
      </c>
      <c r="H572" s="35">
        <v>42.1</v>
      </c>
      <c r="I572" s="37">
        <f t="shared" si="8"/>
        <v>4.3364062419529283E-3</v>
      </c>
      <c r="J572" s="33"/>
    </row>
    <row r="573" spans="1:10">
      <c r="A573" s="33" t="s">
        <v>54</v>
      </c>
      <c r="B573" s="34">
        <v>236.37899999999999</v>
      </c>
      <c r="C573" s="35">
        <v>9708.5</v>
      </c>
      <c r="D573" s="33" t="s">
        <v>97</v>
      </c>
      <c r="E573" s="34">
        <v>236.483</v>
      </c>
      <c r="F573" s="36">
        <v>0.104000000000013</v>
      </c>
      <c r="G573" s="34">
        <v>0.104000000000013</v>
      </c>
      <c r="H573" s="35">
        <v>3766.3</v>
      </c>
      <c r="I573" s="37">
        <f t="shared" si="8"/>
        <v>0.38793840449091005</v>
      </c>
      <c r="J573" s="33"/>
    </row>
    <row r="574" spans="1:10">
      <c r="A574" s="33" t="s">
        <v>54</v>
      </c>
      <c r="B574" s="34">
        <v>236.37899999999999</v>
      </c>
      <c r="C574" s="35">
        <v>9708.5</v>
      </c>
      <c r="D574" s="33" t="s">
        <v>54</v>
      </c>
      <c r="E574" s="34">
        <v>236.506</v>
      </c>
      <c r="F574" s="36">
        <v>0.12700000000000999</v>
      </c>
      <c r="G574" s="34">
        <v>0.12700000000000999</v>
      </c>
      <c r="H574" s="35">
        <v>74</v>
      </c>
      <c r="I574" s="37">
        <f t="shared" si="8"/>
        <v>7.6221867435752174E-3</v>
      </c>
      <c r="J574" s="33"/>
    </row>
    <row r="575" spans="1:10">
      <c r="A575" s="33" t="s">
        <v>54</v>
      </c>
      <c r="B575" s="34">
        <v>236.37899999999999</v>
      </c>
      <c r="C575" s="35">
        <v>9708.5</v>
      </c>
      <c r="D575" s="33" t="s">
        <v>273</v>
      </c>
      <c r="E575" s="34">
        <v>236.52199999999999</v>
      </c>
      <c r="F575" s="36">
        <v>0.14300000000000099</v>
      </c>
      <c r="G575" s="34">
        <v>0.14300000000000099</v>
      </c>
      <c r="H575" s="35">
        <v>199.4</v>
      </c>
      <c r="I575" s="37">
        <f t="shared" si="8"/>
        <v>2.0538703198228356E-2</v>
      </c>
      <c r="J575" s="33"/>
    </row>
    <row r="576" spans="1:10">
      <c r="A576" s="33" t="s">
        <v>54</v>
      </c>
      <c r="B576" s="34">
        <v>236.37899999999999</v>
      </c>
      <c r="C576" s="35">
        <v>9708.5</v>
      </c>
      <c r="D576" s="33" t="s">
        <v>239</v>
      </c>
      <c r="E576" s="34">
        <v>236.52500000000001</v>
      </c>
      <c r="F576" s="36">
        <v>0.14600000000001501</v>
      </c>
      <c r="G576" s="34">
        <v>0.14600000000001501</v>
      </c>
      <c r="H576" s="35">
        <v>22.3</v>
      </c>
      <c r="I576" s="37">
        <f t="shared" si="8"/>
        <v>2.2969562754287481E-3</v>
      </c>
      <c r="J576" s="33"/>
    </row>
    <row r="577" spans="1:10">
      <c r="A577" s="33" t="s">
        <v>54</v>
      </c>
      <c r="B577" s="34">
        <v>236.37899999999999</v>
      </c>
      <c r="C577" s="35">
        <v>9708.5</v>
      </c>
      <c r="D577" s="33" t="s">
        <v>279</v>
      </c>
      <c r="E577" s="34">
        <v>236.53200000000001</v>
      </c>
      <c r="F577" s="36">
        <v>0.15300000000002001</v>
      </c>
      <c r="G577" s="34">
        <v>0.15300000000002001</v>
      </c>
      <c r="H577" s="35">
        <v>22.4</v>
      </c>
      <c r="I577" s="37">
        <f t="shared" si="8"/>
        <v>2.3072565277849305E-3</v>
      </c>
      <c r="J577" s="33"/>
    </row>
    <row r="578" spans="1:10">
      <c r="A578" s="33" t="s">
        <v>54</v>
      </c>
      <c r="B578" s="34">
        <v>236.37899999999999</v>
      </c>
      <c r="C578" s="35">
        <v>9708.5</v>
      </c>
      <c r="D578" s="33" t="s">
        <v>274</v>
      </c>
      <c r="E578" s="34">
        <v>236.54499999999999</v>
      </c>
      <c r="F578" s="36">
        <v>0.16599999999999701</v>
      </c>
      <c r="G578" s="34">
        <v>0.16599999999999701</v>
      </c>
      <c r="H578" s="35">
        <v>14.2</v>
      </c>
      <c r="I578" s="37">
        <f t="shared" ref="I578:I641" si="9">H578/C578</f>
        <v>1.462635834577947E-3</v>
      </c>
      <c r="J578" s="33"/>
    </row>
    <row r="579" spans="1:10">
      <c r="A579" s="33" t="s">
        <v>54</v>
      </c>
      <c r="B579" s="34">
        <v>236.37899999999999</v>
      </c>
      <c r="C579" s="35">
        <v>9708.5</v>
      </c>
      <c r="D579" s="33" t="s">
        <v>165</v>
      </c>
      <c r="E579" s="34">
        <v>236.566</v>
      </c>
      <c r="F579" s="36">
        <v>0.18700000000001199</v>
      </c>
      <c r="G579" s="34">
        <v>0.18700000000001199</v>
      </c>
      <c r="H579" s="35">
        <v>3.7</v>
      </c>
      <c r="I579" s="37">
        <f t="shared" si="9"/>
        <v>3.811093371787609E-4</v>
      </c>
      <c r="J579" s="33"/>
    </row>
    <row r="580" spans="1:10">
      <c r="A580" s="33" t="s">
        <v>54</v>
      </c>
      <c r="B580" s="34">
        <v>236.37899999999999</v>
      </c>
      <c r="C580" s="35">
        <v>9708.5</v>
      </c>
      <c r="D580" s="33" t="s">
        <v>274</v>
      </c>
      <c r="E580" s="34">
        <v>236.58500000000001</v>
      </c>
      <c r="F580" s="36">
        <v>0.206000000000017</v>
      </c>
      <c r="G580" s="34">
        <v>0.206000000000017</v>
      </c>
      <c r="H580" s="35">
        <v>32.200000000000003</v>
      </c>
      <c r="I580" s="37">
        <f t="shared" si="9"/>
        <v>3.3166812586908384E-3</v>
      </c>
      <c r="J580" s="33"/>
    </row>
    <row r="581" spans="1:10">
      <c r="A581" s="33" t="s">
        <v>54</v>
      </c>
      <c r="B581" s="34">
        <v>236.37899999999999</v>
      </c>
      <c r="C581" s="35">
        <v>9708.5</v>
      </c>
      <c r="D581" s="33" t="s">
        <v>239</v>
      </c>
      <c r="E581" s="34">
        <v>236.59100000000001</v>
      </c>
      <c r="F581" s="36">
        <v>0.21200000000001801</v>
      </c>
      <c r="G581" s="34">
        <v>0.21200000000001801</v>
      </c>
      <c r="H581" s="35">
        <v>20.7</v>
      </c>
      <c r="I581" s="37">
        <f t="shared" si="9"/>
        <v>2.1321522377298241E-3</v>
      </c>
      <c r="J581" s="33"/>
    </row>
    <row r="582" spans="1:10">
      <c r="A582" s="33" t="s">
        <v>54</v>
      </c>
      <c r="B582" s="34">
        <v>236.37899999999999</v>
      </c>
      <c r="C582" s="35">
        <v>9708.5</v>
      </c>
      <c r="D582" s="33" t="s">
        <v>279</v>
      </c>
      <c r="E582" s="34">
        <v>236.59100000000001</v>
      </c>
      <c r="F582" s="36">
        <v>0.21200000000001801</v>
      </c>
      <c r="G582" s="34">
        <v>0.21200000000001801</v>
      </c>
      <c r="H582" s="35">
        <v>172.1</v>
      </c>
      <c r="I582" s="37">
        <f t="shared" si="9"/>
        <v>1.7726734304990471E-2</v>
      </c>
      <c r="J582" s="33"/>
    </row>
    <row r="583" spans="1:10">
      <c r="A583" s="33" t="s">
        <v>54</v>
      </c>
      <c r="B583" s="34">
        <v>236.37899999999999</v>
      </c>
      <c r="C583" s="35">
        <v>9708.5</v>
      </c>
      <c r="D583" s="33" t="s">
        <v>269</v>
      </c>
      <c r="E583" s="34">
        <v>236.59899999999999</v>
      </c>
      <c r="F583" s="36">
        <v>0.219999999999999</v>
      </c>
      <c r="G583" s="34">
        <v>0.219999999999999</v>
      </c>
      <c r="H583" s="35">
        <v>195.9</v>
      </c>
      <c r="I583" s="37">
        <f t="shared" si="9"/>
        <v>2.0178194365761962E-2</v>
      </c>
      <c r="J583" s="33"/>
    </row>
    <row r="584" spans="1:10">
      <c r="A584" s="33" t="s">
        <v>54</v>
      </c>
      <c r="B584" s="34">
        <v>236.37899999999999</v>
      </c>
      <c r="C584" s="35">
        <v>9708.5</v>
      </c>
      <c r="D584" s="33" t="s">
        <v>271</v>
      </c>
      <c r="E584" s="34">
        <v>236.60400000000001</v>
      </c>
      <c r="F584" s="36">
        <v>0.22500000000002299</v>
      </c>
      <c r="G584" s="34">
        <v>0.22500000000002299</v>
      </c>
      <c r="H584" s="35">
        <v>176.9</v>
      </c>
      <c r="I584" s="37">
        <f t="shared" si="9"/>
        <v>1.8221146418087242E-2</v>
      </c>
      <c r="J584" s="33"/>
    </row>
    <row r="585" spans="1:10">
      <c r="A585" s="33" t="s">
        <v>54</v>
      </c>
      <c r="B585" s="34">
        <v>236.37899999999999</v>
      </c>
      <c r="C585" s="35">
        <v>9708.5</v>
      </c>
      <c r="D585" s="33" t="s">
        <v>275</v>
      </c>
      <c r="E585" s="34">
        <v>236.61099999999999</v>
      </c>
      <c r="F585" s="36">
        <v>0.23199999999999901</v>
      </c>
      <c r="G585" s="34">
        <v>0.23199999999999901</v>
      </c>
      <c r="H585" s="35">
        <v>170.07</v>
      </c>
      <c r="I585" s="37">
        <f t="shared" si="9"/>
        <v>1.7517639182159962E-2</v>
      </c>
      <c r="J585" s="33"/>
    </row>
    <row r="586" spans="1:10">
      <c r="A586" s="33" t="s">
        <v>54</v>
      </c>
      <c r="B586" s="34">
        <v>237.863</v>
      </c>
      <c r="C586" s="35">
        <v>15306</v>
      </c>
      <c r="D586" s="33" t="s">
        <v>240</v>
      </c>
      <c r="E586" s="34">
        <v>237.672</v>
      </c>
      <c r="F586" s="36">
        <v>0.191000000000003</v>
      </c>
      <c r="G586" s="34">
        <v>0.191000000000003</v>
      </c>
      <c r="H586" s="35">
        <v>44</v>
      </c>
      <c r="I586" s="37">
        <f t="shared" si="9"/>
        <v>2.8746896641839801E-3</v>
      </c>
      <c r="J586" s="33"/>
    </row>
    <row r="587" spans="1:10">
      <c r="A587" s="33" t="s">
        <v>54</v>
      </c>
      <c r="B587" s="34">
        <v>237.863</v>
      </c>
      <c r="C587" s="35">
        <v>15306</v>
      </c>
      <c r="D587" s="33" t="s">
        <v>282</v>
      </c>
      <c r="E587" s="34">
        <v>237.684</v>
      </c>
      <c r="F587" s="36">
        <v>0.17900000000000199</v>
      </c>
      <c r="G587" s="34">
        <v>0.17900000000000199</v>
      </c>
      <c r="H587" s="35">
        <v>0.3</v>
      </c>
      <c r="I587" s="37">
        <f t="shared" si="9"/>
        <v>1.960015680125441E-5</v>
      </c>
      <c r="J587" s="33"/>
    </row>
    <row r="588" spans="1:10">
      <c r="A588" s="33" t="s">
        <v>54</v>
      </c>
      <c r="B588" s="34">
        <v>237.863</v>
      </c>
      <c r="C588" s="35">
        <v>15306</v>
      </c>
      <c r="D588" s="33" t="s">
        <v>284</v>
      </c>
      <c r="E588" s="34">
        <v>237.70400000000001</v>
      </c>
      <c r="F588" s="36">
        <v>0.15899999999999201</v>
      </c>
      <c r="G588" s="34">
        <v>0.15899999999999201</v>
      </c>
      <c r="H588" s="35">
        <v>417</v>
      </c>
      <c r="I588" s="37">
        <f t="shared" si="9"/>
        <v>2.724421795374363E-2</v>
      </c>
      <c r="J588" s="33"/>
    </row>
    <row r="589" spans="1:10">
      <c r="A589" s="33" t="s">
        <v>54</v>
      </c>
      <c r="B589" s="34">
        <v>237.863</v>
      </c>
      <c r="C589" s="35">
        <v>15306</v>
      </c>
      <c r="D589" s="33" t="s">
        <v>240</v>
      </c>
      <c r="E589" s="34">
        <v>237.715</v>
      </c>
      <c r="F589" s="36">
        <v>0.147999999999996</v>
      </c>
      <c r="G589" s="34">
        <v>0.147999999999996</v>
      </c>
      <c r="H589" s="35">
        <v>43</v>
      </c>
      <c r="I589" s="37">
        <f t="shared" si="9"/>
        <v>2.8093558081797986E-3</v>
      </c>
      <c r="J589" s="33"/>
    </row>
    <row r="590" spans="1:10">
      <c r="A590" s="33" t="s">
        <v>54</v>
      </c>
      <c r="B590" s="34">
        <v>237.863</v>
      </c>
      <c r="C590" s="35">
        <v>15306</v>
      </c>
      <c r="D590" s="33" t="s">
        <v>193</v>
      </c>
      <c r="E590" s="34">
        <v>237.71700000000001</v>
      </c>
      <c r="F590" s="36">
        <v>0.145999999999987</v>
      </c>
      <c r="G590" s="34">
        <v>0.145999999999987</v>
      </c>
      <c r="H590" s="35">
        <v>153.6</v>
      </c>
      <c r="I590" s="37">
        <f t="shared" si="9"/>
        <v>1.0035280282242258E-2</v>
      </c>
      <c r="J590" s="33"/>
    </row>
    <row r="591" spans="1:10">
      <c r="A591" s="33" t="s">
        <v>54</v>
      </c>
      <c r="B591" s="34">
        <v>237.863</v>
      </c>
      <c r="C591" s="35">
        <v>15306</v>
      </c>
      <c r="D591" s="33" t="s">
        <v>274</v>
      </c>
      <c r="E591" s="34">
        <v>237.71700000000001</v>
      </c>
      <c r="F591" s="36">
        <v>0.145999999999987</v>
      </c>
      <c r="G591" s="34">
        <v>0.145999999999987</v>
      </c>
      <c r="H591" s="35">
        <v>48.3</v>
      </c>
      <c r="I591" s="37">
        <f t="shared" si="9"/>
        <v>3.1556252450019597E-3</v>
      </c>
      <c r="J591" s="33"/>
    </row>
    <row r="592" spans="1:10">
      <c r="A592" s="33" t="s">
        <v>54</v>
      </c>
      <c r="B592" s="34">
        <v>237.863</v>
      </c>
      <c r="C592" s="35">
        <v>15306</v>
      </c>
      <c r="D592" s="33" t="s">
        <v>54</v>
      </c>
      <c r="E592" s="34">
        <v>237.72200000000001</v>
      </c>
      <c r="F592" s="36">
        <v>0.14099999999999099</v>
      </c>
      <c r="G592" s="34">
        <v>0.14099999999999099</v>
      </c>
      <c r="H592" s="35">
        <v>31.2</v>
      </c>
      <c r="I592" s="37">
        <f t="shared" si="9"/>
        <v>2.0384163073304588E-3</v>
      </c>
      <c r="J592" s="33"/>
    </row>
    <row r="593" spans="1:10">
      <c r="A593" s="33" t="s">
        <v>54</v>
      </c>
      <c r="B593" s="34">
        <v>237.863</v>
      </c>
      <c r="C593" s="35">
        <v>15306</v>
      </c>
      <c r="D593" s="33" t="s">
        <v>290</v>
      </c>
      <c r="E593" s="34">
        <v>237.72800000000001</v>
      </c>
      <c r="F593" s="36">
        <v>0.13499999999999099</v>
      </c>
      <c r="G593" s="34">
        <v>0.13499999999999099</v>
      </c>
      <c r="H593" s="35">
        <v>11.4</v>
      </c>
      <c r="I593" s="37">
        <f t="shared" si="9"/>
        <v>7.4480595844766755E-4</v>
      </c>
      <c r="J593" s="33"/>
    </row>
    <row r="594" spans="1:10">
      <c r="A594" s="33" t="s">
        <v>54</v>
      </c>
      <c r="B594" s="34">
        <v>237.863</v>
      </c>
      <c r="C594" s="35">
        <v>15306</v>
      </c>
      <c r="D594" s="33" t="s">
        <v>294</v>
      </c>
      <c r="E594" s="34">
        <v>237.72800000000001</v>
      </c>
      <c r="F594" s="36">
        <v>0.13499999999999099</v>
      </c>
      <c r="G594" s="34">
        <v>0.13499999999999099</v>
      </c>
      <c r="H594" s="35">
        <v>250.2</v>
      </c>
      <c r="I594" s="37">
        <f t="shared" si="9"/>
        <v>1.6346530772246178E-2</v>
      </c>
      <c r="J594" s="33"/>
    </row>
    <row r="595" spans="1:10">
      <c r="A595" s="33" t="s">
        <v>54</v>
      </c>
      <c r="B595" s="34">
        <v>237.863</v>
      </c>
      <c r="C595" s="35">
        <v>15306</v>
      </c>
      <c r="D595" s="33" t="s">
        <v>274</v>
      </c>
      <c r="E595" s="34">
        <v>237.739</v>
      </c>
      <c r="F595" s="36">
        <v>0.123999999999995</v>
      </c>
      <c r="G595" s="34">
        <v>0.123999999999995</v>
      </c>
      <c r="H595" s="35">
        <v>12.5</v>
      </c>
      <c r="I595" s="37">
        <f t="shared" si="9"/>
        <v>8.1667320005226703E-4</v>
      </c>
      <c r="J595" s="33"/>
    </row>
    <row r="596" spans="1:10">
      <c r="A596" s="33" t="s">
        <v>54</v>
      </c>
      <c r="B596" s="34">
        <v>237.863</v>
      </c>
      <c r="C596" s="35">
        <v>15306</v>
      </c>
      <c r="D596" s="33" t="s">
        <v>284</v>
      </c>
      <c r="E596" s="34">
        <v>237.761</v>
      </c>
      <c r="F596" s="36">
        <v>0.102000000000004</v>
      </c>
      <c r="G596" s="34">
        <v>0.102000000000004</v>
      </c>
      <c r="H596" s="35">
        <v>3.3</v>
      </c>
      <c r="I596" s="37">
        <f t="shared" si="9"/>
        <v>2.156017248137985E-4</v>
      </c>
      <c r="J596" s="33"/>
    </row>
    <row r="597" spans="1:10">
      <c r="A597" s="33" t="s">
        <v>54</v>
      </c>
      <c r="B597" s="34">
        <v>237.863</v>
      </c>
      <c r="C597" s="35">
        <v>15306</v>
      </c>
      <c r="D597" s="33" t="s">
        <v>271</v>
      </c>
      <c r="E597" s="34">
        <v>237.78399999999999</v>
      </c>
      <c r="F597" s="36">
        <v>7.9000000000007703E-2</v>
      </c>
      <c r="G597" s="34">
        <v>7.9000000000007703E-2</v>
      </c>
      <c r="H597" s="35">
        <v>1163.5</v>
      </c>
      <c r="I597" s="37">
        <f t="shared" si="9"/>
        <v>7.6015941460865016E-2</v>
      </c>
      <c r="J597" s="33"/>
    </row>
    <row r="598" spans="1:10">
      <c r="A598" s="33" t="s">
        <v>54</v>
      </c>
      <c r="B598" s="34">
        <v>237.863</v>
      </c>
      <c r="C598" s="35">
        <v>15306</v>
      </c>
      <c r="D598" s="33" t="s">
        <v>290</v>
      </c>
      <c r="E598" s="34">
        <v>237.798</v>
      </c>
      <c r="F598" s="36">
        <v>6.4999999999997699E-2</v>
      </c>
      <c r="G598" s="34">
        <v>6.4999999999997699E-2</v>
      </c>
      <c r="H598" s="35">
        <v>12.8</v>
      </c>
      <c r="I598" s="37">
        <f t="shared" si="9"/>
        <v>8.3627335685352157E-4</v>
      </c>
      <c r="J598" s="33"/>
    </row>
    <row r="599" spans="1:10">
      <c r="A599" s="33" t="s">
        <v>54</v>
      </c>
      <c r="B599" s="34">
        <v>237.863</v>
      </c>
      <c r="C599" s="35">
        <v>15306</v>
      </c>
      <c r="D599" s="33" t="s">
        <v>296</v>
      </c>
      <c r="E599" s="34">
        <v>237.833</v>
      </c>
      <c r="F599" s="36">
        <v>3.0000000000001099E-2</v>
      </c>
      <c r="G599" s="34">
        <v>3.0000000000001099E-2</v>
      </c>
      <c r="H599" s="35">
        <v>17</v>
      </c>
      <c r="I599" s="37">
        <f t="shared" si="9"/>
        <v>1.1106755520710833E-3</v>
      </c>
      <c r="J599" s="33"/>
    </row>
    <row r="600" spans="1:10">
      <c r="A600" s="33" t="s">
        <v>54</v>
      </c>
      <c r="B600" s="34">
        <v>237.863</v>
      </c>
      <c r="C600" s="35">
        <v>15306</v>
      </c>
      <c r="D600" s="33" t="s">
        <v>193</v>
      </c>
      <c r="E600" s="34">
        <v>237.833</v>
      </c>
      <c r="F600" s="36">
        <v>3.0000000000001099E-2</v>
      </c>
      <c r="G600" s="34">
        <v>3.0000000000001099E-2</v>
      </c>
      <c r="H600" s="35">
        <v>321.10000000000002</v>
      </c>
      <c r="I600" s="37">
        <f t="shared" si="9"/>
        <v>2.0978701162942637E-2</v>
      </c>
      <c r="J600" s="33"/>
    </row>
    <row r="601" spans="1:10">
      <c r="A601" s="33" t="s">
        <v>54</v>
      </c>
      <c r="B601" s="34">
        <v>237.863</v>
      </c>
      <c r="C601" s="35">
        <v>15306</v>
      </c>
      <c r="D601" s="33" t="s">
        <v>283</v>
      </c>
      <c r="E601" s="34">
        <v>237.839</v>
      </c>
      <c r="F601" s="36">
        <v>2.4000000000000899E-2</v>
      </c>
      <c r="G601" s="34">
        <v>2.4000000000000899E-2</v>
      </c>
      <c r="H601" s="35">
        <v>112.3</v>
      </c>
      <c r="I601" s="37">
        <f t="shared" si="9"/>
        <v>7.3369920292695673E-3</v>
      </c>
      <c r="J601" s="33"/>
    </row>
    <row r="602" spans="1:10">
      <c r="A602" s="33" t="s">
        <v>54</v>
      </c>
      <c r="B602" s="34">
        <v>237.863</v>
      </c>
      <c r="C602" s="35">
        <v>15306</v>
      </c>
      <c r="D602" s="33" t="s">
        <v>279</v>
      </c>
      <c r="E602" s="34">
        <v>237.851</v>
      </c>
      <c r="F602" s="36">
        <v>1.20000000000005E-2</v>
      </c>
      <c r="G602" s="34">
        <v>1.20000000000005E-2</v>
      </c>
      <c r="H602" s="35">
        <v>19</v>
      </c>
      <c r="I602" s="37">
        <f t="shared" si="9"/>
        <v>1.241343264079446E-3</v>
      </c>
      <c r="J602" s="33"/>
    </row>
    <row r="603" spans="1:10">
      <c r="A603" s="33" t="s">
        <v>54</v>
      </c>
      <c r="B603" s="34">
        <v>237.863</v>
      </c>
      <c r="C603" s="35">
        <v>15306</v>
      </c>
      <c r="D603" s="33" t="s">
        <v>97</v>
      </c>
      <c r="E603" s="34">
        <v>237.85499999999999</v>
      </c>
      <c r="F603" s="36">
        <v>8.0000000000097805E-3</v>
      </c>
      <c r="G603" s="34">
        <v>8.0000000000097805E-3</v>
      </c>
      <c r="H603" s="35">
        <v>12.7</v>
      </c>
      <c r="I603" s="37">
        <f t="shared" si="9"/>
        <v>8.2973997125310335E-4</v>
      </c>
      <c r="J603" s="33"/>
    </row>
    <row r="604" spans="1:10">
      <c r="A604" s="33" t="s">
        <v>54</v>
      </c>
      <c r="B604" s="34">
        <v>237.863</v>
      </c>
      <c r="C604" s="35">
        <v>15306</v>
      </c>
      <c r="D604" s="33" t="s">
        <v>274</v>
      </c>
      <c r="E604" s="34">
        <v>237.86</v>
      </c>
      <c r="F604" s="36">
        <v>2.9999999999858998E-3</v>
      </c>
      <c r="G604" s="34">
        <v>2.9999999999858998E-3</v>
      </c>
      <c r="H604" s="35">
        <v>93.6</v>
      </c>
      <c r="I604" s="37">
        <f t="shared" si="9"/>
        <v>6.1152489219913758E-3</v>
      </c>
      <c r="J604" s="33"/>
    </row>
    <row r="605" spans="1:10">
      <c r="A605" s="33" t="s">
        <v>54</v>
      </c>
      <c r="B605" s="34">
        <v>237.863</v>
      </c>
      <c r="C605" s="35">
        <v>15306</v>
      </c>
      <c r="D605" s="33" t="s">
        <v>284</v>
      </c>
      <c r="E605" s="34">
        <v>237.875</v>
      </c>
      <c r="F605" s="36">
        <v>1.20000000000005E-2</v>
      </c>
      <c r="G605" s="34">
        <v>1.20000000000005E-2</v>
      </c>
      <c r="H605" s="35">
        <v>0.9</v>
      </c>
      <c r="I605" s="37">
        <f t="shared" si="9"/>
        <v>5.880047040376323E-5</v>
      </c>
      <c r="J605" s="33"/>
    </row>
    <row r="606" spans="1:10">
      <c r="A606" s="33" t="s">
        <v>54</v>
      </c>
      <c r="B606" s="34">
        <v>237.863</v>
      </c>
      <c r="C606" s="35">
        <v>15306</v>
      </c>
      <c r="D606" s="33" t="s">
        <v>97</v>
      </c>
      <c r="E606" s="34">
        <v>237.9</v>
      </c>
      <c r="F606" s="36">
        <v>3.7000000000006097E-2</v>
      </c>
      <c r="G606" s="34">
        <v>3.7000000000006097E-2</v>
      </c>
      <c r="H606" s="35">
        <v>10</v>
      </c>
      <c r="I606" s="37">
        <f t="shared" si="9"/>
        <v>6.5333856004181365E-4</v>
      </c>
      <c r="J606" s="33"/>
    </row>
    <row r="607" spans="1:10">
      <c r="A607" s="33" t="s">
        <v>54</v>
      </c>
      <c r="B607" s="34">
        <v>237.863</v>
      </c>
      <c r="C607" s="35">
        <v>15306</v>
      </c>
      <c r="D607" s="33" t="s">
        <v>279</v>
      </c>
      <c r="E607" s="34">
        <v>237.91</v>
      </c>
      <c r="F607" s="36">
        <v>4.6999999999997003E-2</v>
      </c>
      <c r="G607" s="34">
        <v>4.6999999999997003E-2</v>
      </c>
      <c r="H607" s="35">
        <v>73.400000000000006</v>
      </c>
      <c r="I607" s="37">
        <f t="shared" si="9"/>
        <v>4.795505030706913E-3</v>
      </c>
      <c r="J607" s="33"/>
    </row>
    <row r="608" spans="1:10">
      <c r="A608" s="33" t="s">
        <v>54</v>
      </c>
      <c r="B608" s="34">
        <v>237.863</v>
      </c>
      <c r="C608" s="35">
        <v>15306</v>
      </c>
      <c r="D608" s="33" t="s">
        <v>297</v>
      </c>
      <c r="E608" s="34">
        <v>237.91399999999999</v>
      </c>
      <c r="F608" s="36">
        <v>5.0999999999987701E-2</v>
      </c>
      <c r="G608" s="34">
        <v>5.0999999999987701E-2</v>
      </c>
      <c r="H608" s="35">
        <v>72</v>
      </c>
      <c r="I608" s="37">
        <f t="shared" si="9"/>
        <v>4.7040376323010582E-3</v>
      </c>
      <c r="J608" s="33"/>
    </row>
    <row r="609" spans="1:10">
      <c r="A609" s="33" t="s">
        <v>54</v>
      </c>
      <c r="B609" s="34">
        <v>237.863</v>
      </c>
      <c r="C609" s="35">
        <v>15306</v>
      </c>
      <c r="D609" s="33" t="s">
        <v>278</v>
      </c>
      <c r="E609" s="34">
        <v>237.916</v>
      </c>
      <c r="F609" s="36">
        <v>5.2999999999997299E-2</v>
      </c>
      <c r="G609" s="34">
        <v>5.2999999999997299E-2</v>
      </c>
      <c r="H609" s="35">
        <v>133.19999999999999</v>
      </c>
      <c r="I609" s="37">
        <f t="shared" si="9"/>
        <v>8.7024696197569567E-3</v>
      </c>
      <c r="J609" s="33"/>
    </row>
    <row r="610" spans="1:10">
      <c r="A610" s="33" t="s">
        <v>54</v>
      </c>
      <c r="B610" s="34">
        <v>237.863</v>
      </c>
      <c r="C610" s="35">
        <v>15306</v>
      </c>
      <c r="D610" s="33" t="s">
        <v>97</v>
      </c>
      <c r="E610" s="34">
        <v>237.928</v>
      </c>
      <c r="F610" s="36">
        <v>6.4999999999997699E-2</v>
      </c>
      <c r="G610" s="34">
        <v>6.4999999999997699E-2</v>
      </c>
      <c r="H610" s="35">
        <v>1490.2</v>
      </c>
      <c r="I610" s="37">
        <f t="shared" si="9"/>
        <v>9.7360512217431069E-2</v>
      </c>
      <c r="J610" s="33"/>
    </row>
    <row r="611" spans="1:10">
      <c r="A611" s="33" t="s">
        <v>54</v>
      </c>
      <c r="B611" s="34">
        <v>237.863</v>
      </c>
      <c r="C611" s="35">
        <v>15306</v>
      </c>
      <c r="D611" s="33" t="s">
        <v>290</v>
      </c>
      <c r="E611" s="34">
        <v>237.93799999999999</v>
      </c>
      <c r="F611" s="36">
        <v>7.4999999999988604E-2</v>
      </c>
      <c r="G611" s="34">
        <v>7.4999999999988604E-2</v>
      </c>
      <c r="H611" s="35">
        <v>29.4</v>
      </c>
      <c r="I611" s="37">
        <f t="shared" si="9"/>
        <v>1.920815366522932E-3</v>
      </c>
      <c r="J611" s="33"/>
    </row>
    <row r="612" spans="1:10">
      <c r="A612" s="33" t="s">
        <v>54</v>
      </c>
      <c r="B612" s="34">
        <v>237.863</v>
      </c>
      <c r="C612" s="35">
        <v>15306</v>
      </c>
      <c r="D612" s="33" t="s">
        <v>284</v>
      </c>
      <c r="E612" s="34">
        <v>237.94</v>
      </c>
      <c r="F612" s="36">
        <v>7.6999999999998195E-2</v>
      </c>
      <c r="G612" s="34">
        <v>7.6999999999998195E-2</v>
      </c>
      <c r="H612" s="35">
        <v>11.8</v>
      </c>
      <c r="I612" s="37">
        <f t="shared" si="9"/>
        <v>7.7093950084934019E-4</v>
      </c>
      <c r="J612" s="33"/>
    </row>
    <row r="613" spans="1:10">
      <c r="A613" s="33" t="s">
        <v>54</v>
      </c>
      <c r="B613" s="34">
        <v>237.863</v>
      </c>
      <c r="C613" s="35">
        <v>15306</v>
      </c>
      <c r="D613" s="33" t="s">
        <v>239</v>
      </c>
      <c r="E613" s="34">
        <v>237.95599999999999</v>
      </c>
      <c r="F613" s="36">
        <v>9.29999999999893E-2</v>
      </c>
      <c r="G613" s="34">
        <v>9.29999999999893E-2</v>
      </c>
      <c r="H613" s="35">
        <v>1.5</v>
      </c>
      <c r="I613" s="37">
        <f t="shared" si="9"/>
        <v>9.800078400627205E-5</v>
      </c>
      <c r="J613" s="33"/>
    </row>
    <row r="614" spans="1:10">
      <c r="A614" s="33" t="s">
        <v>54</v>
      </c>
      <c r="B614" s="34">
        <v>237.863</v>
      </c>
      <c r="C614" s="35">
        <v>15306</v>
      </c>
      <c r="D614" s="33" t="s">
        <v>298</v>
      </c>
      <c r="E614" s="34">
        <v>237.958</v>
      </c>
      <c r="F614" s="36">
        <v>9.4999999999998905E-2</v>
      </c>
      <c r="G614" s="34">
        <v>9.4999999999998905E-2</v>
      </c>
      <c r="H614" s="35">
        <v>179.4</v>
      </c>
      <c r="I614" s="37">
        <f t="shared" si="9"/>
        <v>1.1720893767150138E-2</v>
      </c>
      <c r="J614" s="33"/>
    </row>
    <row r="615" spans="1:10">
      <c r="A615" s="33" t="s">
        <v>54</v>
      </c>
      <c r="B615" s="34">
        <v>237.863</v>
      </c>
      <c r="C615" s="35">
        <v>15306</v>
      </c>
      <c r="D615" s="33" t="s">
        <v>268</v>
      </c>
      <c r="E615" s="34">
        <v>237.96</v>
      </c>
      <c r="F615" s="36">
        <v>9.7000000000008399E-2</v>
      </c>
      <c r="G615" s="34">
        <v>9.7000000000008399E-2</v>
      </c>
      <c r="H615" s="35">
        <v>26.5</v>
      </c>
      <c r="I615" s="37">
        <f t="shared" si="9"/>
        <v>1.7313471841108063E-3</v>
      </c>
      <c r="J615" s="33"/>
    </row>
    <row r="616" spans="1:10">
      <c r="A616" s="33" t="s">
        <v>54</v>
      </c>
      <c r="B616" s="34">
        <v>237.863</v>
      </c>
      <c r="C616" s="35">
        <v>15306</v>
      </c>
      <c r="D616" s="33" t="s">
        <v>280</v>
      </c>
      <c r="E616" s="34">
        <v>237.965</v>
      </c>
      <c r="F616" s="36">
        <v>0.102000000000004</v>
      </c>
      <c r="G616" s="34">
        <v>0.102000000000004</v>
      </c>
      <c r="H616" s="35">
        <v>48</v>
      </c>
      <c r="I616" s="37">
        <f t="shared" si="9"/>
        <v>3.1360250882007056E-3</v>
      </c>
      <c r="J616" s="33"/>
    </row>
    <row r="617" spans="1:10">
      <c r="A617" s="33" t="s">
        <v>54</v>
      </c>
      <c r="B617" s="34">
        <v>237.863</v>
      </c>
      <c r="C617" s="35">
        <v>15306</v>
      </c>
      <c r="D617" s="33" t="s">
        <v>284</v>
      </c>
      <c r="E617" s="34">
        <v>237.965</v>
      </c>
      <c r="F617" s="36">
        <v>0.102000000000004</v>
      </c>
      <c r="G617" s="34">
        <v>0.102000000000004</v>
      </c>
      <c r="H617" s="35">
        <v>1.8</v>
      </c>
      <c r="I617" s="37">
        <f t="shared" si="9"/>
        <v>1.1760094080752646E-4</v>
      </c>
      <c r="J617" s="33"/>
    </row>
    <row r="618" spans="1:10">
      <c r="A618" s="33" t="s">
        <v>54</v>
      </c>
      <c r="B618" s="34">
        <v>237.863</v>
      </c>
      <c r="C618" s="35">
        <v>15306</v>
      </c>
      <c r="D618" s="33" t="s">
        <v>165</v>
      </c>
      <c r="E618" s="34">
        <v>237.97200000000001</v>
      </c>
      <c r="F618" s="36">
        <v>0.10900000000000901</v>
      </c>
      <c r="G618" s="34">
        <v>0.10900000000000901</v>
      </c>
      <c r="H618" s="35">
        <v>3.9</v>
      </c>
      <c r="I618" s="37">
        <f t="shared" si="9"/>
        <v>2.5480203841630734E-4</v>
      </c>
      <c r="J618" s="33"/>
    </row>
    <row r="619" spans="1:10">
      <c r="A619" s="33" t="s">
        <v>54</v>
      </c>
      <c r="B619" s="34">
        <v>237.863</v>
      </c>
      <c r="C619" s="35">
        <v>15306</v>
      </c>
      <c r="D619" s="33" t="s">
        <v>239</v>
      </c>
      <c r="E619" s="34">
        <v>237.98400000000001</v>
      </c>
      <c r="F619" s="36">
        <v>0.121000000000009</v>
      </c>
      <c r="G619" s="34">
        <v>0.121000000000009</v>
      </c>
      <c r="H619" s="35">
        <v>5.3</v>
      </c>
      <c r="I619" s="37">
        <f t="shared" si="9"/>
        <v>3.4626943682216125E-4</v>
      </c>
      <c r="J619" s="33"/>
    </row>
    <row r="620" spans="1:10">
      <c r="A620" s="33" t="s">
        <v>54</v>
      </c>
      <c r="B620" s="34">
        <v>237.863</v>
      </c>
      <c r="C620" s="35">
        <v>15306</v>
      </c>
      <c r="D620" s="33" t="s">
        <v>268</v>
      </c>
      <c r="E620" s="34">
        <v>237.98400000000001</v>
      </c>
      <c r="F620" s="36">
        <v>0.121000000000009</v>
      </c>
      <c r="G620" s="34">
        <v>0.121000000000009</v>
      </c>
      <c r="H620" s="35">
        <v>63.1</v>
      </c>
      <c r="I620" s="37">
        <f t="shared" si="9"/>
        <v>4.122566313863844E-3</v>
      </c>
      <c r="J620" s="33"/>
    </row>
    <row r="621" spans="1:10">
      <c r="A621" s="33" t="s">
        <v>54</v>
      </c>
      <c r="B621" s="34">
        <v>237.863</v>
      </c>
      <c r="C621" s="35">
        <v>15306</v>
      </c>
      <c r="D621" s="33" t="s">
        <v>296</v>
      </c>
      <c r="E621" s="34">
        <v>238</v>
      </c>
      <c r="F621" s="36">
        <v>0.13700000000000101</v>
      </c>
      <c r="G621" s="34">
        <v>0.13700000000000101</v>
      </c>
      <c r="H621" s="35">
        <v>0.2</v>
      </c>
      <c r="I621" s="37">
        <f t="shared" si="9"/>
        <v>1.3066771200836274E-5</v>
      </c>
      <c r="J621" s="33"/>
    </row>
    <row r="622" spans="1:10">
      <c r="A622" s="33" t="s">
        <v>54</v>
      </c>
      <c r="B622" s="34">
        <v>237.863</v>
      </c>
      <c r="C622" s="35">
        <v>15306</v>
      </c>
      <c r="D622" s="33" t="s">
        <v>274</v>
      </c>
      <c r="E622" s="34">
        <v>238.01599999999999</v>
      </c>
      <c r="F622" s="36">
        <v>0.152999999999992</v>
      </c>
      <c r="G622" s="34">
        <v>0.152999999999992</v>
      </c>
      <c r="H622" s="35">
        <v>45.3</v>
      </c>
      <c r="I622" s="37">
        <f t="shared" si="9"/>
        <v>2.9596236769894157E-3</v>
      </c>
      <c r="J622" s="33"/>
    </row>
    <row r="623" spans="1:10">
      <c r="A623" s="33" t="s">
        <v>54</v>
      </c>
      <c r="B623" s="34">
        <v>237.863</v>
      </c>
      <c r="C623" s="35">
        <v>15306</v>
      </c>
      <c r="D623" s="33" t="s">
        <v>279</v>
      </c>
      <c r="E623" s="34">
        <v>238.02199999999999</v>
      </c>
      <c r="F623" s="36">
        <v>0.15899999999999201</v>
      </c>
      <c r="G623" s="34">
        <v>0.15899999999999201</v>
      </c>
      <c r="H623" s="35">
        <v>16.8</v>
      </c>
      <c r="I623" s="37">
        <f t="shared" si="9"/>
        <v>1.0976087808702471E-3</v>
      </c>
      <c r="J623" s="33"/>
    </row>
    <row r="624" spans="1:10">
      <c r="A624" s="33" t="s">
        <v>54</v>
      </c>
      <c r="B624" s="34">
        <v>238.345</v>
      </c>
      <c r="C624" s="35">
        <v>10677</v>
      </c>
      <c r="D624" s="33" t="s">
        <v>240</v>
      </c>
      <c r="E624" s="34">
        <v>238.21</v>
      </c>
      <c r="F624" s="36">
        <v>0.13499999999999099</v>
      </c>
      <c r="G624" s="34">
        <v>0.13499999999999099</v>
      </c>
      <c r="H624" s="35">
        <v>0.7</v>
      </c>
      <c r="I624" s="37">
        <f t="shared" si="9"/>
        <v>6.5561487309169232E-5</v>
      </c>
      <c r="J624" s="33"/>
    </row>
    <row r="625" spans="1:10">
      <c r="A625" s="33" t="s">
        <v>54</v>
      </c>
      <c r="B625" s="34">
        <v>238.345</v>
      </c>
      <c r="C625" s="35">
        <v>10677</v>
      </c>
      <c r="D625" s="33" t="s">
        <v>239</v>
      </c>
      <c r="E625" s="34">
        <v>238.21899999999999</v>
      </c>
      <c r="F625" s="36">
        <v>0.126000000000005</v>
      </c>
      <c r="G625" s="34">
        <v>0.126000000000005</v>
      </c>
      <c r="H625" s="35">
        <v>5.7</v>
      </c>
      <c r="I625" s="37">
        <f t="shared" si="9"/>
        <v>5.3385782523180671E-4</v>
      </c>
      <c r="J625" s="33"/>
    </row>
    <row r="626" spans="1:10">
      <c r="A626" s="33" t="s">
        <v>54</v>
      </c>
      <c r="B626" s="34">
        <v>238.345</v>
      </c>
      <c r="C626" s="35">
        <v>10677</v>
      </c>
      <c r="D626" s="33" t="s">
        <v>274</v>
      </c>
      <c r="E626" s="34">
        <v>238.22300000000001</v>
      </c>
      <c r="F626" s="36">
        <v>0.12199999999998599</v>
      </c>
      <c r="G626" s="34">
        <v>0.12199999999998599</v>
      </c>
      <c r="H626" s="35">
        <v>6.6</v>
      </c>
      <c r="I626" s="37">
        <f t="shared" si="9"/>
        <v>6.1815116605788136E-4</v>
      </c>
      <c r="J626" s="33"/>
    </row>
    <row r="627" spans="1:10">
      <c r="A627" s="33" t="s">
        <v>54</v>
      </c>
      <c r="B627" s="34">
        <v>238.345</v>
      </c>
      <c r="C627" s="35">
        <v>10677</v>
      </c>
      <c r="D627" s="33" t="s">
        <v>275</v>
      </c>
      <c r="E627" s="34">
        <v>238.22399999999999</v>
      </c>
      <c r="F627" s="36">
        <v>0.121000000000009</v>
      </c>
      <c r="G627" s="34">
        <v>0.121000000000009</v>
      </c>
      <c r="H627" s="35">
        <v>1.5</v>
      </c>
      <c r="I627" s="37">
        <f t="shared" si="9"/>
        <v>1.4048890137679124E-4</v>
      </c>
      <c r="J627" s="33"/>
    </row>
    <row r="628" spans="1:10">
      <c r="A628" s="33" t="s">
        <v>54</v>
      </c>
      <c r="B628" s="34">
        <v>238.345</v>
      </c>
      <c r="C628" s="35">
        <v>10677</v>
      </c>
      <c r="D628" s="33" t="s">
        <v>273</v>
      </c>
      <c r="E628" s="34">
        <v>238.22900000000001</v>
      </c>
      <c r="F628" s="36">
        <v>0.115999999999985</v>
      </c>
      <c r="G628" s="34">
        <v>0.115999999999985</v>
      </c>
      <c r="H628" s="35">
        <v>3.8</v>
      </c>
      <c r="I628" s="37">
        <f t="shared" si="9"/>
        <v>3.5590521682120444E-4</v>
      </c>
      <c r="J628" s="33"/>
    </row>
    <row r="629" spans="1:10">
      <c r="A629" s="33" t="s">
        <v>54</v>
      </c>
      <c r="B629" s="34">
        <v>238.345</v>
      </c>
      <c r="C629" s="35">
        <v>10677</v>
      </c>
      <c r="D629" s="33" t="s">
        <v>54</v>
      </c>
      <c r="E629" s="34">
        <v>238.232</v>
      </c>
      <c r="F629" s="36">
        <v>0.113</v>
      </c>
      <c r="G629" s="34">
        <v>0.113</v>
      </c>
      <c r="H629" s="35">
        <v>84</v>
      </c>
      <c r="I629" s="37">
        <f t="shared" si="9"/>
        <v>7.8673784771003084E-3</v>
      </c>
      <c r="J629" s="33"/>
    </row>
    <row r="630" spans="1:10">
      <c r="A630" s="33" t="s">
        <v>54</v>
      </c>
      <c r="B630" s="34">
        <v>238.345</v>
      </c>
      <c r="C630" s="35">
        <v>10677</v>
      </c>
      <c r="D630" s="33" t="s">
        <v>239</v>
      </c>
      <c r="E630" s="34">
        <v>238.23599999999999</v>
      </c>
      <c r="F630" s="36">
        <v>0.10900000000000901</v>
      </c>
      <c r="G630" s="34">
        <v>0.10900000000000901</v>
      </c>
      <c r="H630" s="35">
        <v>1</v>
      </c>
      <c r="I630" s="37">
        <f t="shared" si="9"/>
        <v>9.3659267584527485E-5</v>
      </c>
      <c r="J630" s="33"/>
    </row>
    <row r="631" spans="1:10">
      <c r="A631" s="33" t="s">
        <v>54</v>
      </c>
      <c r="B631" s="34">
        <v>238.345</v>
      </c>
      <c r="C631" s="35">
        <v>10677</v>
      </c>
      <c r="D631" s="33" t="s">
        <v>97</v>
      </c>
      <c r="E631" s="34">
        <v>238.23599999999999</v>
      </c>
      <c r="F631" s="36">
        <v>0.10900000000000901</v>
      </c>
      <c r="G631" s="34">
        <v>0.10900000000000901</v>
      </c>
      <c r="H631" s="35">
        <v>78.7</v>
      </c>
      <c r="I631" s="37">
        <f t="shared" si="9"/>
        <v>7.3709843589023138E-3</v>
      </c>
      <c r="J631" s="33"/>
    </row>
    <row r="632" spans="1:10">
      <c r="A632" s="33" t="s">
        <v>54</v>
      </c>
      <c r="B632" s="34">
        <v>238.345</v>
      </c>
      <c r="C632" s="35">
        <v>10677</v>
      </c>
      <c r="D632" s="33" t="s">
        <v>274</v>
      </c>
      <c r="E632" s="34">
        <v>238.23599999999999</v>
      </c>
      <c r="F632" s="36">
        <v>0.10900000000000901</v>
      </c>
      <c r="G632" s="34">
        <v>0.10900000000000901</v>
      </c>
      <c r="H632" s="35">
        <v>63.1</v>
      </c>
      <c r="I632" s="37">
        <f t="shared" si="9"/>
        <v>5.9098997845836851E-3</v>
      </c>
      <c r="J632" s="33"/>
    </row>
    <row r="633" spans="1:10">
      <c r="A633" s="33" t="s">
        <v>54</v>
      </c>
      <c r="B633" s="34">
        <v>238.345</v>
      </c>
      <c r="C633" s="35">
        <v>10677</v>
      </c>
      <c r="D633" s="33" t="s">
        <v>284</v>
      </c>
      <c r="E633" s="34">
        <v>238.24799999999999</v>
      </c>
      <c r="F633" s="36">
        <v>9.7000000000008399E-2</v>
      </c>
      <c r="G633" s="34">
        <v>9.7000000000008399E-2</v>
      </c>
      <c r="H633" s="35">
        <v>1.5</v>
      </c>
      <c r="I633" s="37">
        <f t="shared" si="9"/>
        <v>1.4048890137679124E-4</v>
      </c>
      <c r="J633" s="33"/>
    </row>
    <row r="634" spans="1:10">
      <c r="A634" s="33" t="s">
        <v>54</v>
      </c>
      <c r="B634" s="34">
        <v>238.345</v>
      </c>
      <c r="C634" s="35">
        <v>10677</v>
      </c>
      <c r="D634" s="33" t="s">
        <v>278</v>
      </c>
      <c r="E634" s="34">
        <v>238.24799999999999</v>
      </c>
      <c r="F634" s="36">
        <v>9.7000000000008399E-2</v>
      </c>
      <c r="G634" s="34">
        <v>9.7000000000008399E-2</v>
      </c>
      <c r="H634" s="35">
        <v>29.5</v>
      </c>
      <c r="I634" s="37">
        <f t="shared" si="9"/>
        <v>2.7629483937435611E-3</v>
      </c>
      <c r="J634" s="33"/>
    </row>
    <row r="635" spans="1:10">
      <c r="A635" s="33" t="s">
        <v>54</v>
      </c>
      <c r="B635" s="34">
        <v>238.345</v>
      </c>
      <c r="C635" s="35">
        <v>10677</v>
      </c>
      <c r="D635" s="33" t="s">
        <v>282</v>
      </c>
      <c r="E635" s="34">
        <v>238.28899999999999</v>
      </c>
      <c r="F635" s="36">
        <v>5.6000000000011603E-2</v>
      </c>
      <c r="G635" s="34">
        <v>5.6000000000011603E-2</v>
      </c>
      <c r="H635" s="35">
        <v>157.9</v>
      </c>
      <c r="I635" s="37">
        <f t="shared" si="9"/>
        <v>1.4788798351596891E-2</v>
      </c>
      <c r="J635" s="33"/>
    </row>
    <row r="636" spans="1:10">
      <c r="A636" s="33" t="s">
        <v>54</v>
      </c>
      <c r="B636" s="34">
        <v>238.345</v>
      </c>
      <c r="C636" s="35">
        <v>10677</v>
      </c>
      <c r="D636" s="33" t="s">
        <v>274</v>
      </c>
      <c r="E636" s="34">
        <v>238.29900000000001</v>
      </c>
      <c r="F636" s="36">
        <v>4.5999999999992297E-2</v>
      </c>
      <c r="G636" s="34">
        <v>4.5999999999992297E-2</v>
      </c>
      <c r="H636" s="35">
        <v>39.700000000000003</v>
      </c>
      <c r="I636" s="37">
        <f t="shared" si="9"/>
        <v>3.7182729231057415E-3</v>
      </c>
      <c r="J636" s="33"/>
    </row>
    <row r="637" spans="1:10">
      <c r="A637" s="33" t="s">
        <v>54</v>
      </c>
      <c r="B637" s="34">
        <v>238.345</v>
      </c>
      <c r="C637" s="35">
        <v>10677</v>
      </c>
      <c r="D637" s="33" t="s">
        <v>97</v>
      </c>
      <c r="E637" s="34">
        <v>238.30600000000001</v>
      </c>
      <c r="F637" s="36">
        <v>3.8999999999987302E-2</v>
      </c>
      <c r="G637" s="34">
        <v>3.8999999999987302E-2</v>
      </c>
      <c r="H637" s="35">
        <v>493.1</v>
      </c>
      <c r="I637" s="37">
        <f t="shared" si="9"/>
        <v>4.6183384845930507E-2</v>
      </c>
      <c r="J637" s="33"/>
    </row>
    <row r="638" spans="1:10">
      <c r="A638" s="33" t="s">
        <v>54</v>
      </c>
      <c r="B638" s="34">
        <v>238.345</v>
      </c>
      <c r="C638" s="35">
        <v>10677</v>
      </c>
      <c r="D638" s="33" t="s">
        <v>290</v>
      </c>
      <c r="E638" s="34">
        <v>238.31700000000001</v>
      </c>
      <c r="F638" s="36">
        <v>2.7999999999991601E-2</v>
      </c>
      <c r="G638" s="34">
        <v>2.7999999999991601E-2</v>
      </c>
      <c r="H638" s="35">
        <v>14.1</v>
      </c>
      <c r="I638" s="37">
        <f t="shared" si="9"/>
        <v>1.3205956729418376E-3</v>
      </c>
      <c r="J638" s="33"/>
    </row>
    <row r="639" spans="1:10">
      <c r="A639" s="33" t="s">
        <v>54</v>
      </c>
      <c r="B639" s="34">
        <v>238.345</v>
      </c>
      <c r="C639" s="35">
        <v>10677</v>
      </c>
      <c r="D639" s="33" t="s">
        <v>97</v>
      </c>
      <c r="E639" s="34">
        <v>238.32499999999999</v>
      </c>
      <c r="F639" s="36">
        <v>2.0000000000010201E-2</v>
      </c>
      <c r="G639" s="34">
        <v>2.0000000000010201E-2</v>
      </c>
      <c r="H639" s="35">
        <v>1345.2</v>
      </c>
      <c r="I639" s="37">
        <f t="shared" si="9"/>
        <v>0.12599044675470639</v>
      </c>
      <c r="J639" s="33"/>
    </row>
    <row r="640" spans="1:10">
      <c r="A640" s="33" t="s">
        <v>54</v>
      </c>
      <c r="B640" s="34">
        <v>238.345</v>
      </c>
      <c r="C640" s="35">
        <v>10677</v>
      </c>
      <c r="D640" s="33" t="s">
        <v>299</v>
      </c>
      <c r="E640" s="34">
        <v>238.328</v>
      </c>
      <c r="F640" s="36">
        <v>1.69999999999959E-2</v>
      </c>
      <c r="G640" s="34">
        <v>1.69999999999959E-2</v>
      </c>
      <c r="H640" s="35">
        <v>327.60000000000002</v>
      </c>
      <c r="I640" s="37">
        <f t="shared" si="9"/>
        <v>3.0682776060691207E-2</v>
      </c>
      <c r="J640" s="33"/>
    </row>
    <row r="641" spans="1:10">
      <c r="A641" s="33" t="s">
        <v>54</v>
      </c>
      <c r="B641" s="34">
        <v>238.345</v>
      </c>
      <c r="C641" s="35">
        <v>10677</v>
      </c>
      <c r="D641" s="33" t="s">
        <v>239</v>
      </c>
      <c r="E641" s="34">
        <v>238.33099999999999</v>
      </c>
      <c r="F641" s="36">
        <v>1.4000000000009999E-2</v>
      </c>
      <c r="G641" s="34">
        <v>1.4000000000009999E-2</v>
      </c>
      <c r="H641" s="35">
        <v>45.9</v>
      </c>
      <c r="I641" s="37">
        <f t="shared" si="9"/>
        <v>4.2989603821298114E-3</v>
      </c>
      <c r="J641" s="33"/>
    </row>
    <row r="642" spans="1:10">
      <c r="A642" s="33" t="s">
        <v>54</v>
      </c>
      <c r="B642" s="34">
        <v>238.345</v>
      </c>
      <c r="C642" s="35">
        <v>10677</v>
      </c>
      <c r="D642" s="33" t="s">
        <v>282</v>
      </c>
      <c r="E642" s="34">
        <v>238.34</v>
      </c>
      <c r="F642" s="36">
        <v>4.9999999999954499E-3</v>
      </c>
      <c r="G642" s="34">
        <v>4.9999999999954499E-3</v>
      </c>
      <c r="H642" s="35">
        <v>118.1</v>
      </c>
      <c r="I642" s="37">
        <f t="shared" ref="I642:I705" si="10">H642/C642</f>
        <v>1.1061159501732696E-2</v>
      </c>
      <c r="J642" s="33"/>
    </row>
    <row r="643" spans="1:10">
      <c r="A643" s="33" t="s">
        <v>54</v>
      </c>
      <c r="B643" s="34">
        <v>238.345</v>
      </c>
      <c r="C643" s="35">
        <v>10677</v>
      </c>
      <c r="D643" s="33" t="s">
        <v>268</v>
      </c>
      <c r="E643" s="34">
        <v>238.34399999999999</v>
      </c>
      <c r="F643" s="36">
        <v>1.0000000000047801E-3</v>
      </c>
      <c r="G643" s="34">
        <v>1.0000000000047801E-3</v>
      </c>
      <c r="H643" s="35">
        <v>63.2</v>
      </c>
      <c r="I643" s="37">
        <f t="shared" si="10"/>
        <v>5.9192657113421379E-3</v>
      </c>
      <c r="J643" s="33"/>
    </row>
    <row r="644" spans="1:10">
      <c r="A644" s="33" t="s">
        <v>54</v>
      </c>
      <c r="B644" s="34">
        <v>238.345</v>
      </c>
      <c r="C644" s="35">
        <v>10677</v>
      </c>
      <c r="D644" s="33" t="s">
        <v>275</v>
      </c>
      <c r="E644" s="34">
        <v>238.352</v>
      </c>
      <c r="F644" s="36">
        <v>7.0000000000049996E-3</v>
      </c>
      <c r="G644" s="34">
        <v>7.0000000000049996E-3</v>
      </c>
      <c r="H644" s="35">
        <v>13.9</v>
      </c>
      <c r="I644" s="37">
        <f t="shared" si="10"/>
        <v>1.3018638194249321E-3</v>
      </c>
      <c r="J644" s="33"/>
    </row>
    <row r="645" spans="1:10">
      <c r="A645" s="33" t="s">
        <v>54</v>
      </c>
      <c r="B645" s="34">
        <v>238.345</v>
      </c>
      <c r="C645" s="35">
        <v>10677</v>
      </c>
      <c r="D645" s="33" t="s">
        <v>294</v>
      </c>
      <c r="E645" s="34">
        <v>238.364</v>
      </c>
      <c r="F645" s="36">
        <v>1.9000000000005499E-2</v>
      </c>
      <c r="G645" s="34">
        <v>1.9000000000005499E-2</v>
      </c>
      <c r="H645" s="35">
        <v>70.3</v>
      </c>
      <c r="I645" s="37">
        <f t="shared" si="10"/>
        <v>6.5842465111922823E-3</v>
      </c>
      <c r="J645" s="33"/>
    </row>
    <row r="646" spans="1:10">
      <c r="A646" s="33" t="s">
        <v>54</v>
      </c>
      <c r="B646" s="34">
        <v>238.345</v>
      </c>
      <c r="C646" s="35">
        <v>10677</v>
      </c>
      <c r="D646" s="33" t="s">
        <v>291</v>
      </c>
      <c r="E646" s="34">
        <v>238.36500000000001</v>
      </c>
      <c r="F646" s="36">
        <v>2.0000000000010201E-2</v>
      </c>
      <c r="G646" s="34">
        <v>2.0000000000010201E-2</v>
      </c>
      <c r="H646" s="35">
        <v>26.6</v>
      </c>
      <c r="I646" s="37">
        <f t="shared" si="10"/>
        <v>2.4913365177484312E-3</v>
      </c>
      <c r="J646" s="33"/>
    </row>
    <row r="647" spans="1:10">
      <c r="A647" s="33" t="s">
        <v>54</v>
      </c>
      <c r="B647" s="34">
        <v>238.345</v>
      </c>
      <c r="C647" s="35">
        <v>10677</v>
      </c>
      <c r="D647" s="33" t="s">
        <v>193</v>
      </c>
      <c r="E647" s="34">
        <v>238.374</v>
      </c>
      <c r="F647" s="36">
        <v>2.89999999999964E-2</v>
      </c>
      <c r="G647" s="34">
        <v>2.89999999999964E-2</v>
      </c>
      <c r="H647" s="35">
        <v>408.1</v>
      </c>
      <c r="I647" s="37">
        <f t="shared" si="10"/>
        <v>3.8222347101245668E-2</v>
      </c>
      <c r="J647" s="33"/>
    </row>
    <row r="648" spans="1:10">
      <c r="A648" s="33" t="s">
        <v>54</v>
      </c>
      <c r="B648" s="34">
        <v>238.345</v>
      </c>
      <c r="C648" s="35">
        <v>10677</v>
      </c>
      <c r="D648" s="33" t="s">
        <v>290</v>
      </c>
      <c r="E648" s="34">
        <v>238.37899999999999</v>
      </c>
      <c r="F648" s="36">
        <v>3.3999999999991801E-2</v>
      </c>
      <c r="G648" s="34">
        <v>3.3999999999991801E-2</v>
      </c>
      <c r="H648" s="35">
        <v>6.9</v>
      </c>
      <c r="I648" s="37">
        <f t="shared" si="10"/>
        <v>6.4624894633323973E-4</v>
      </c>
      <c r="J648" s="33"/>
    </row>
    <row r="649" spans="1:10">
      <c r="A649" s="33" t="s">
        <v>54</v>
      </c>
      <c r="B649" s="34">
        <v>238.345</v>
      </c>
      <c r="C649" s="35">
        <v>10677</v>
      </c>
      <c r="D649" s="33" t="s">
        <v>278</v>
      </c>
      <c r="E649" s="34">
        <v>238.4</v>
      </c>
      <c r="F649" s="36">
        <v>5.50000000000068E-2</v>
      </c>
      <c r="G649" s="34">
        <v>5.50000000000068E-2</v>
      </c>
      <c r="H649" s="35">
        <v>183.6</v>
      </c>
      <c r="I649" s="37">
        <f t="shared" si="10"/>
        <v>1.7195841528519246E-2</v>
      </c>
      <c r="J649" s="33"/>
    </row>
    <row r="650" spans="1:10">
      <c r="A650" s="33" t="s">
        <v>54</v>
      </c>
      <c r="B650" s="34">
        <v>238.345</v>
      </c>
      <c r="C650" s="35">
        <v>10677</v>
      </c>
      <c r="D650" s="33" t="s">
        <v>240</v>
      </c>
      <c r="E650" s="34">
        <v>238.405</v>
      </c>
      <c r="F650" s="36">
        <v>6.0000000000002301E-2</v>
      </c>
      <c r="G650" s="34">
        <v>6.0000000000002301E-2</v>
      </c>
      <c r="H650" s="35">
        <v>5.0999999999999996</v>
      </c>
      <c r="I650" s="37">
        <f t="shared" si="10"/>
        <v>4.7766226468109015E-4</v>
      </c>
      <c r="J650" s="33"/>
    </row>
    <row r="651" spans="1:10">
      <c r="A651" s="33" t="s">
        <v>54</v>
      </c>
      <c r="B651" s="34">
        <v>238.345</v>
      </c>
      <c r="C651" s="35">
        <v>10677</v>
      </c>
      <c r="D651" s="33" t="s">
        <v>236</v>
      </c>
      <c r="E651" s="34">
        <v>238.417</v>
      </c>
      <c r="F651" s="36">
        <v>7.2000000000002701E-2</v>
      </c>
      <c r="G651" s="34">
        <v>7.2000000000002701E-2</v>
      </c>
      <c r="H651" s="35">
        <v>13.5</v>
      </c>
      <c r="I651" s="37">
        <f t="shared" si="10"/>
        <v>1.2644001123911211E-3</v>
      </c>
      <c r="J651" s="33"/>
    </row>
    <row r="652" spans="1:10">
      <c r="A652" s="33" t="s">
        <v>54</v>
      </c>
      <c r="B652" s="34">
        <v>238.345</v>
      </c>
      <c r="C652" s="35">
        <v>10677</v>
      </c>
      <c r="D652" s="33" t="s">
        <v>278</v>
      </c>
      <c r="E652" s="34">
        <v>238.429</v>
      </c>
      <c r="F652" s="36">
        <v>8.4000000000003197E-2</v>
      </c>
      <c r="G652" s="34">
        <v>8.4000000000003197E-2</v>
      </c>
      <c r="H652" s="35">
        <v>1.9</v>
      </c>
      <c r="I652" s="37">
        <f t="shared" si="10"/>
        <v>1.7795260841060222E-4</v>
      </c>
      <c r="J652" s="33"/>
    </row>
    <row r="653" spans="1:10">
      <c r="A653" s="33" t="s">
        <v>54</v>
      </c>
      <c r="B653" s="34">
        <v>238.345</v>
      </c>
      <c r="C653" s="35">
        <v>10677</v>
      </c>
      <c r="D653" s="33" t="s">
        <v>193</v>
      </c>
      <c r="E653" s="34">
        <v>238.43</v>
      </c>
      <c r="F653" s="36">
        <v>8.5000000000008E-2</v>
      </c>
      <c r="G653" s="34">
        <v>8.5000000000008E-2</v>
      </c>
      <c r="H653" s="35">
        <v>580</v>
      </c>
      <c r="I653" s="37">
        <f t="shared" si="10"/>
        <v>5.4322375199025941E-2</v>
      </c>
      <c r="J653" s="33"/>
    </row>
    <row r="654" spans="1:10">
      <c r="A654" s="33" t="s">
        <v>54</v>
      </c>
      <c r="B654" s="34">
        <v>238.345</v>
      </c>
      <c r="C654" s="35">
        <v>10677</v>
      </c>
      <c r="D654" s="33" t="s">
        <v>271</v>
      </c>
      <c r="E654" s="34">
        <v>238.43600000000001</v>
      </c>
      <c r="F654" s="36">
        <v>9.1000000000008199E-2</v>
      </c>
      <c r="G654" s="34">
        <v>9.1000000000008199E-2</v>
      </c>
      <c r="H654" s="35">
        <v>135</v>
      </c>
      <c r="I654" s="37">
        <f t="shared" si="10"/>
        <v>1.2644001123911211E-2</v>
      </c>
      <c r="J654" s="33"/>
    </row>
    <row r="655" spans="1:10">
      <c r="A655" s="33" t="s">
        <v>54</v>
      </c>
      <c r="B655" s="34">
        <v>238.345</v>
      </c>
      <c r="C655" s="35">
        <v>10677</v>
      </c>
      <c r="D655" s="33" t="s">
        <v>97</v>
      </c>
      <c r="E655" s="34">
        <v>238.43899999999999</v>
      </c>
      <c r="F655" s="36">
        <v>9.3999999999994102E-2</v>
      </c>
      <c r="G655" s="34">
        <v>9.3999999999994102E-2</v>
      </c>
      <c r="H655" s="35">
        <v>887.4</v>
      </c>
      <c r="I655" s="37">
        <f t="shared" si="10"/>
        <v>8.3113234054509696E-2</v>
      </c>
      <c r="J655" s="33"/>
    </row>
    <row r="656" spans="1:10">
      <c r="A656" s="33" t="s">
        <v>54</v>
      </c>
      <c r="B656" s="34">
        <v>238.345</v>
      </c>
      <c r="C656" s="35">
        <v>10677</v>
      </c>
      <c r="D656" s="33" t="s">
        <v>165</v>
      </c>
      <c r="E656" s="34">
        <v>238.43899999999999</v>
      </c>
      <c r="F656" s="36">
        <v>9.3999999999994102E-2</v>
      </c>
      <c r="G656" s="34">
        <v>9.3999999999994102E-2</v>
      </c>
      <c r="H656" s="35">
        <v>31.5</v>
      </c>
      <c r="I656" s="37">
        <f t="shared" si="10"/>
        <v>2.9502669289126161E-3</v>
      </c>
      <c r="J656" s="33"/>
    </row>
    <row r="657" spans="1:10">
      <c r="A657" s="33" t="s">
        <v>54</v>
      </c>
      <c r="B657" s="34">
        <v>238.345</v>
      </c>
      <c r="C657" s="35">
        <v>10677</v>
      </c>
      <c r="D657" s="33" t="s">
        <v>237</v>
      </c>
      <c r="E657" s="34">
        <v>238.452</v>
      </c>
      <c r="F657" s="36">
        <v>0.106999999999999</v>
      </c>
      <c r="G657" s="34">
        <v>0.106999999999999</v>
      </c>
      <c r="H657" s="35">
        <v>10.6</v>
      </c>
      <c r="I657" s="37">
        <f t="shared" si="10"/>
        <v>9.9278823639599141E-4</v>
      </c>
      <c r="J657" s="33"/>
    </row>
    <row r="658" spans="1:10">
      <c r="A658" s="33" t="s">
        <v>54</v>
      </c>
      <c r="B658" s="34">
        <v>238.345</v>
      </c>
      <c r="C658" s="35">
        <v>10677</v>
      </c>
      <c r="D658" s="33" t="s">
        <v>284</v>
      </c>
      <c r="E658" s="34">
        <v>238.46299999999999</v>
      </c>
      <c r="F658" s="36">
        <v>0.117999999999995</v>
      </c>
      <c r="G658" s="34">
        <v>0.117999999999995</v>
      </c>
      <c r="H658" s="35">
        <v>1.8</v>
      </c>
      <c r="I658" s="37">
        <f t="shared" si="10"/>
        <v>1.685866816521495E-4</v>
      </c>
      <c r="J658" s="33"/>
    </row>
    <row r="659" spans="1:10">
      <c r="A659" s="33" t="s">
        <v>54</v>
      </c>
      <c r="B659" s="34">
        <v>238.345</v>
      </c>
      <c r="C659" s="35">
        <v>10677</v>
      </c>
      <c r="D659" s="33" t="s">
        <v>282</v>
      </c>
      <c r="E659" s="34">
        <v>238.465</v>
      </c>
      <c r="F659" s="36">
        <v>0.12000000000000501</v>
      </c>
      <c r="G659" s="34">
        <v>0.12000000000000501</v>
      </c>
      <c r="H659" s="35">
        <v>22.2</v>
      </c>
      <c r="I659" s="37">
        <f t="shared" si="10"/>
        <v>2.0792357403765101E-3</v>
      </c>
      <c r="J659" s="33"/>
    </row>
    <row r="660" spans="1:10">
      <c r="A660" s="33" t="s">
        <v>54</v>
      </c>
      <c r="B660" s="34">
        <v>238.345</v>
      </c>
      <c r="C660" s="35">
        <v>10677</v>
      </c>
      <c r="D660" s="33" t="s">
        <v>290</v>
      </c>
      <c r="E660" s="34">
        <v>238.48099999999999</v>
      </c>
      <c r="F660" s="36">
        <v>0.13599999999999601</v>
      </c>
      <c r="G660" s="34">
        <v>0.13599999999999601</v>
      </c>
      <c r="H660" s="35">
        <v>76.5</v>
      </c>
      <c r="I660" s="37">
        <f t="shared" si="10"/>
        <v>7.1649339702163526E-3</v>
      </c>
      <c r="J660" s="33"/>
    </row>
    <row r="661" spans="1:10">
      <c r="A661" s="33" t="s">
        <v>54</v>
      </c>
      <c r="B661" s="34">
        <v>238.345</v>
      </c>
      <c r="C661" s="35">
        <v>10677</v>
      </c>
      <c r="D661" s="33" t="s">
        <v>274</v>
      </c>
      <c r="E661" s="34">
        <v>238.482</v>
      </c>
      <c r="F661" s="36">
        <v>0.13700000000000101</v>
      </c>
      <c r="G661" s="34">
        <v>0.13700000000000101</v>
      </c>
      <c r="H661" s="35">
        <v>154.4</v>
      </c>
      <c r="I661" s="37">
        <f t="shared" si="10"/>
        <v>1.4460990915051045E-2</v>
      </c>
      <c r="J661" s="33"/>
    </row>
    <row r="662" spans="1:10">
      <c r="A662" s="33" t="s">
        <v>54</v>
      </c>
      <c r="B662" s="34">
        <v>238.345</v>
      </c>
      <c r="C662" s="35">
        <v>10677</v>
      </c>
      <c r="D662" s="33" t="s">
        <v>54</v>
      </c>
      <c r="E662" s="34">
        <v>238.48599999999999</v>
      </c>
      <c r="F662" s="36">
        <v>0.14099999999999099</v>
      </c>
      <c r="G662" s="34">
        <v>0.14099999999999099</v>
      </c>
      <c r="H662" s="35">
        <v>146.66999999999999</v>
      </c>
      <c r="I662" s="37">
        <f t="shared" si="10"/>
        <v>1.3737004776622645E-2</v>
      </c>
      <c r="J662" s="33"/>
    </row>
    <row r="663" spans="1:10">
      <c r="A663" s="33" t="s">
        <v>54</v>
      </c>
      <c r="B663" s="34">
        <v>238.892</v>
      </c>
      <c r="C663" s="35">
        <v>273225</v>
      </c>
      <c r="D663" s="33" t="s">
        <v>97</v>
      </c>
      <c r="E663" s="34">
        <v>238.73699999999999</v>
      </c>
      <c r="F663" s="36">
        <v>0.155000000000001</v>
      </c>
      <c r="G663" s="34">
        <v>0.155000000000001</v>
      </c>
      <c r="H663" s="35">
        <v>14.2</v>
      </c>
      <c r="I663" s="37">
        <f t="shared" si="10"/>
        <v>5.1971818098636653E-5</v>
      </c>
      <c r="J663" s="33"/>
    </row>
    <row r="664" spans="1:10">
      <c r="A664" s="33" t="s">
        <v>54</v>
      </c>
      <c r="B664" s="34">
        <v>238.892</v>
      </c>
      <c r="C664" s="35">
        <v>273225</v>
      </c>
      <c r="D664" s="33" t="s">
        <v>54</v>
      </c>
      <c r="E664" s="34">
        <v>238.74600000000001</v>
      </c>
      <c r="F664" s="36">
        <v>0.145999999999987</v>
      </c>
      <c r="G664" s="34">
        <v>0.145999999999987</v>
      </c>
      <c r="H664" s="35">
        <v>25.7</v>
      </c>
      <c r="I664" s="37">
        <f t="shared" si="10"/>
        <v>9.4061670784152256E-5</v>
      </c>
      <c r="J664" s="33"/>
    </row>
    <row r="665" spans="1:10">
      <c r="A665" s="33" t="s">
        <v>54</v>
      </c>
      <c r="B665" s="34">
        <v>238.892</v>
      </c>
      <c r="C665" s="35">
        <v>273225</v>
      </c>
      <c r="D665" s="33" t="s">
        <v>273</v>
      </c>
      <c r="E665" s="34">
        <v>238.75200000000001</v>
      </c>
      <c r="F665" s="36">
        <v>0.139999999999986</v>
      </c>
      <c r="G665" s="34">
        <v>0.139999999999986</v>
      </c>
      <c r="H665" s="35">
        <v>910.3</v>
      </c>
      <c r="I665" s="37">
        <f t="shared" si="10"/>
        <v>3.3316863390978131E-3</v>
      </c>
      <c r="J665" s="33"/>
    </row>
    <row r="666" spans="1:10">
      <c r="A666" s="33" t="s">
        <v>54</v>
      </c>
      <c r="B666" s="34">
        <v>238.892</v>
      </c>
      <c r="C666" s="35">
        <v>273225</v>
      </c>
      <c r="D666" s="33" t="s">
        <v>276</v>
      </c>
      <c r="E666" s="34">
        <v>238.77500000000001</v>
      </c>
      <c r="F666" s="36">
        <v>0.11699999999999</v>
      </c>
      <c r="G666" s="34">
        <v>0.11699999999999</v>
      </c>
      <c r="H666" s="35">
        <v>63.8</v>
      </c>
      <c r="I666" s="37">
        <f t="shared" si="10"/>
        <v>2.3350718272486046E-4</v>
      </c>
      <c r="J666" s="33"/>
    </row>
    <row r="667" spans="1:10">
      <c r="A667" s="33" t="s">
        <v>54</v>
      </c>
      <c r="B667" s="34">
        <v>238.892</v>
      </c>
      <c r="C667" s="35">
        <v>273225</v>
      </c>
      <c r="D667" s="33" t="s">
        <v>165</v>
      </c>
      <c r="E667" s="34">
        <v>238.77600000000001</v>
      </c>
      <c r="F667" s="36">
        <v>0.115999999999985</v>
      </c>
      <c r="G667" s="34">
        <v>0.115999999999985</v>
      </c>
      <c r="H667" s="35">
        <v>319.2</v>
      </c>
      <c r="I667" s="37">
        <f t="shared" si="10"/>
        <v>1.1682679110623113E-3</v>
      </c>
      <c r="J667" s="33"/>
    </row>
    <row r="668" spans="1:10">
      <c r="A668" s="33" t="s">
        <v>54</v>
      </c>
      <c r="B668" s="34">
        <v>238.892</v>
      </c>
      <c r="C668" s="35">
        <v>273225</v>
      </c>
      <c r="D668" s="33" t="s">
        <v>278</v>
      </c>
      <c r="E668" s="34">
        <v>238.80799999999999</v>
      </c>
      <c r="F668" s="36">
        <v>8.4000000000003197E-2</v>
      </c>
      <c r="G668" s="34">
        <v>8.4000000000003197E-2</v>
      </c>
      <c r="H668" s="35">
        <v>3.2</v>
      </c>
      <c r="I668" s="37">
        <f t="shared" si="10"/>
        <v>1.1711959008143472E-5</v>
      </c>
      <c r="J668" s="33"/>
    </row>
    <row r="669" spans="1:10">
      <c r="A669" s="33" t="s">
        <v>54</v>
      </c>
      <c r="B669" s="34">
        <v>238.892</v>
      </c>
      <c r="C669" s="35">
        <v>273225</v>
      </c>
      <c r="D669" s="33" t="s">
        <v>271</v>
      </c>
      <c r="E669" s="34">
        <v>238.81399999999999</v>
      </c>
      <c r="F669" s="36">
        <v>7.8000000000002997E-2</v>
      </c>
      <c r="G669" s="34">
        <v>7.8000000000002997E-2</v>
      </c>
      <c r="H669" s="35">
        <v>131.5</v>
      </c>
      <c r="I669" s="37">
        <f t="shared" si="10"/>
        <v>4.812883154908958E-4</v>
      </c>
      <c r="J669" s="33"/>
    </row>
    <row r="670" spans="1:10">
      <c r="A670" s="33" t="s">
        <v>54</v>
      </c>
      <c r="B670" s="34">
        <v>238.892</v>
      </c>
      <c r="C670" s="35">
        <v>273225</v>
      </c>
      <c r="D670" s="33" t="s">
        <v>273</v>
      </c>
      <c r="E670" s="34">
        <v>238.827</v>
      </c>
      <c r="F670" s="36">
        <v>6.4999999999997699E-2</v>
      </c>
      <c r="G670" s="34">
        <v>6.4999999999997699E-2</v>
      </c>
      <c r="H670" s="35">
        <v>257.5</v>
      </c>
      <c r="I670" s="37">
        <f t="shared" si="10"/>
        <v>9.4244670143654502E-4</v>
      </c>
      <c r="J670" s="33"/>
    </row>
    <row r="671" spans="1:10">
      <c r="A671" s="33" t="s">
        <v>54</v>
      </c>
      <c r="B671" s="34">
        <v>238.892</v>
      </c>
      <c r="C671" s="35">
        <v>273225</v>
      </c>
      <c r="D671" s="33" t="s">
        <v>285</v>
      </c>
      <c r="E671" s="34">
        <v>238.82900000000001</v>
      </c>
      <c r="F671" s="36">
        <v>6.2999999999988204E-2</v>
      </c>
      <c r="G671" s="34">
        <v>6.2999999999988204E-2</v>
      </c>
      <c r="H671" s="35">
        <v>27.6</v>
      </c>
      <c r="I671" s="37">
        <f t="shared" si="10"/>
        <v>1.0101564644523745E-4</v>
      </c>
      <c r="J671" s="33"/>
    </row>
    <row r="672" spans="1:10">
      <c r="A672" s="33" t="s">
        <v>54</v>
      </c>
      <c r="B672" s="34">
        <v>238.892</v>
      </c>
      <c r="C672" s="35">
        <v>273225</v>
      </c>
      <c r="D672" s="33" t="s">
        <v>193</v>
      </c>
      <c r="E672" s="34">
        <v>238.83799999999999</v>
      </c>
      <c r="F672" s="36">
        <v>5.4000000000002102E-2</v>
      </c>
      <c r="G672" s="34">
        <v>5.4000000000002102E-2</v>
      </c>
      <c r="H672" s="35">
        <v>221.4</v>
      </c>
      <c r="I672" s="37">
        <f t="shared" si="10"/>
        <v>8.1032116387592642E-4</v>
      </c>
      <c r="J672" s="33"/>
    </row>
    <row r="673" spans="1:10">
      <c r="A673" s="33" t="s">
        <v>54</v>
      </c>
      <c r="B673" s="34">
        <v>238.892</v>
      </c>
      <c r="C673" s="35">
        <v>273225</v>
      </c>
      <c r="D673" s="33" t="s">
        <v>274</v>
      </c>
      <c r="E673" s="34">
        <v>238.85400000000001</v>
      </c>
      <c r="F673" s="36">
        <v>3.7999999999982499E-2</v>
      </c>
      <c r="G673" s="34">
        <v>3.7999999999982499E-2</v>
      </c>
      <c r="H673" s="35">
        <v>10</v>
      </c>
      <c r="I673" s="37">
        <f t="shared" si="10"/>
        <v>3.6599871900448352E-5</v>
      </c>
      <c r="J673" s="33"/>
    </row>
    <row r="674" spans="1:10">
      <c r="A674" s="33" t="s">
        <v>54</v>
      </c>
      <c r="B674" s="34">
        <v>238.892</v>
      </c>
      <c r="C674" s="35">
        <v>273225</v>
      </c>
      <c r="D674" s="33" t="s">
        <v>279</v>
      </c>
      <c r="E674" s="34">
        <v>238.857</v>
      </c>
      <c r="F674" s="36">
        <v>3.4999999999996603E-2</v>
      </c>
      <c r="G674" s="34">
        <v>3.4999999999996603E-2</v>
      </c>
      <c r="H674" s="35">
        <v>28.3</v>
      </c>
      <c r="I674" s="37">
        <f t="shared" si="10"/>
        <v>1.0357763747826882E-4</v>
      </c>
      <c r="J674" s="33"/>
    </row>
    <row r="675" spans="1:10">
      <c r="A675" s="33" t="s">
        <v>54</v>
      </c>
      <c r="B675" s="34">
        <v>238.892</v>
      </c>
      <c r="C675" s="35">
        <v>273225</v>
      </c>
      <c r="D675" s="33" t="s">
        <v>97</v>
      </c>
      <c r="E675" s="34">
        <v>238.863</v>
      </c>
      <c r="F675" s="36">
        <v>2.89999999999964E-2</v>
      </c>
      <c r="G675" s="34">
        <v>2.89999999999964E-2</v>
      </c>
      <c r="H675" s="35">
        <v>8360</v>
      </c>
      <c r="I675" s="37">
        <f t="shared" si="10"/>
        <v>3.059749290877482E-2</v>
      </c>
      <c r="J675" s="33"/>
    </row>
    <row r="676" spans="1:10">
      <c r="A676" s="33" t="s">
        <v>54</v>
      </c>
      <c r="B676" s="34">
        <v>238.892</v>
      </c>
      <c r="C676" s="35">
        <v>273225</v>
      </c>
      <c r="D676" s="33" t="s">
        <v>240</v>
      </c>
      <c r="E676" s="34">
        <v>238.87</v>
      </c>
      <c r="F676" s="36">
        <v>2.1999999999991401E-2</v>
      </c>
      <c r="G676" s="34">
        <v>2.1999999999991401E-2</v>
      </c>
      <c r="H676" s="35">
        <v>48</v>
      </c>
      <c r="I676" s="37">
        <f t="shared" si="10"/>
        <v>1.7567938512215206E-4</v>
      </c>
      <c r="J676" s="33"/>
    </row>
    <row r="677" spans="1:10">
      <c r="A677" s="33" t="s">
        <v>54</v>
      </c>
      <c r="B677" s="34">
        <v>238.892</v>
      </c>
      <c r="C677" s="35">
        <v>273225</v>
      </c>
      <c r="D677" s="33" t="s">
        <v>275</v>
      </c>
      <c r="E677" s="34">
        <v>238.87</v>
      </c>
      <c r="F677" s="36">
        <v>2.1999999999991401E-2</v>
      </c>
      <c r="G677" s="34">
        <v>2.1999999999991401E-2</v>
      </c>
      <c r="H677" s="35">
        <v>58.7</v>
      </c>
      <c r="I677" s="37">
        <f t="shared" si="10"/>
        <v>2.1484124805563182E-4</v>
      </c>
      <c r="J677" s="33"/>
    </row>
    <row r="678" spans="1:10">
      <c r="A678" s="33" t="s">
        <v>54</v>
      </c>
      <c r="B678" s="34">
        <v>238.892</v>
      </c>
      <c r="C678" s="35">
        <v>273225</v>
      </c>
      <c r="D678" s="33" t="s">
        <v>273</v>
      </c>
      <c r="E678" s="34">
        <v>238.87100000000001</v>
      </c>
      <c r="F678" s="36">
        <v>2.0999999999986599E-2</v>
      </c>
      <c r="G678" s="34">
        <v>2.0999999999986599E-2</v>
      </c>
      <c r="H678" s="35">
        <v>25</v>
      </c>
      <c r="I678" s="37">
        <f t="shared" si="10"/>
        <v>9.1499679751120869E-5</v>
      </c>
      <c r="J678" s="33"/>
    </row>
    <row r="679" spans="1:10">
      <c r="A679" s="33" t="s">
        <v>54</v>
      </c>
      <c r="B679" s="34">
        <v>238.892</v>
      </c>
      <c r="C679" s="35">
        <v>273225</v>
      </c>
      <c r="D679" s="33" t="s">
        <v>300</v>
      </c>
      <c r="E679" s="34">
        <v>238.88</v>
      </c>
      <c r="F679" s="36">
        <v>1.20000000000005E-2</v>
      </c>
      <c r="G679" s="34">
        <v>1.20000000000005E-2</v>
      </c>
      <c r="H679" s="35">
        <v>47</v>
      </c>
      <c r="I679" s="37">
        <f t="shared" si="10"/>
        <v>1.7201939793210725E-4</v>
      </c>
      <c r="J679" s="33"/>
    </row>
    <row r="680" spans="1:10">
      <c r="A680" s="33" t="s">
        <v>54</v>
      </c>
      <c r="B680" s="34">
        <v>238.892</v>
      </c>
      <c r="C680" s="35">
        <v>273225</v>
      </c>
      <c r="D680" s="33" t="s">
        <v>274</v>
      </c>
      <c r="E680" s="34">
        <v>238.88</v>
      </c>
      <c r="F680" s="36">
        <v>1.20000000000005E-2</v>
      </c>
      <c r="G680" s="34">
        <v>1.20000000000005E-2</v>
      </c>
      <c r="H680" s="35">
        <v>14.2</v>
      </c>
      <c r="I680" s="37">
        <f t="shared" si="10"/>
        <v>5.1971818098636653E-5</v>
      </c>
      <c r="J680" s="33"/>
    </row>
    <row r="681" spans="1:10">
      <c r="A681" s="33" t="s">
        <v>54</v>
      </c>
      <c r="B681" s="34">
        <v>238.892</v>
      </c>
      <c r="C681" s="35">
        <v>273225</v>
      </c>
      <c r="D681" s="33" t="s">
        <v>278</v>
      </c>
      <c r="E681" s="34">
        <v>238.89099999999999</v>
      </c>
      <c r="F681" s="36">
        <v>1.0000000000047801E-3</v>
      </c>
      <c r="G681" s="34">
        <v>1.0000000000047801E-3</v>
      </c>
      <c r="H681" s="35">
        <v>49</v>
      </c>
      <c r="I681" s="37">
        <f t="shared" si="10"/>
        <v>1.793393723121969E-4</v>
      </c>
      <c r="J681" s="33"/>
    </row>
    <row r="682" spans="1:10">
      <c r="A682" s="33" t="s">
        <v>54</v>
      </c>
      <c r="B682" s="34">
        <v>238.892</v>
      </c>
      <c r="C682" s="35">
        <v>273225</v>
      </c>
      <c r="D682" s="33" t="s">
        <v>240</v>
      </c>
      <c r="E682" s="34">
        <v>238.9</v>
      </c>
      <c r="F682" s="36">
        <v>8.0000000000097805E-3</v>
      </c>
      <c r="G682" s="34">
        <v>8.0000000000097805E-3</v>
      </c>
      <c r="H682" s="35">
        <v>1.5</v>
      </c>
      <c r="I682" s="37">
        <f t="shared" si="10"/>
        <v>5.4899807850672519E-6</v>
      </c>
      <c r="J682" s="33"/>
    </row>
    <row r="683" spans="1:10">
      <c r="A683" s="33" t="s">
        <v>54</v>
      </c>
      <c r="B683" s="34">
        <v>238.892</v>
      </c>
      <c r="C683" s="35">
        <v>273225</v>
      </c>
      <c r="D683" s="33" t="s">
        <v>282</v>
      </c>
      <c r="E683" s="34">
        <v>238.9</v>
      </c>
      <c r="F683" s="36">
        <v>8.0000000000097805E-3</v>
      </c>
      <c r="G683" s="34">
        <v>8.0000000000097805E-3</v>
      </c>
      <c r="H683" s="35">
        <v>0.9</v>
      </c>
      <c r="I683" s="37">
        <f t="shared" si="10"/>
        <v>3.2939884710403513E-6</v>
      </c>
      <c r="J683" s="33"/>
    </row>
    <row r="684" spans="1:10">
      <c r="A684" s="33" t="s">
        <v>54</v>
      </c>
      <c r="B684" s="34">
        <v>238.892</v>
      </c>
      <c r="C684" s="35">
        <v>273225</v>
      </c>
      <c r="D684" s="33" t="s">
        <v>274</v>
      </c>
      <c r="E684" s="34">
        <v>238.90799999999999</v>
      </c>
      <c r="F684" s="36">
        <v>1.5999999999991101E-2</v>
      </c>
      <c r="G684" s="34">
        <v>1.5999999999991101E-2</v>
      </c>
      <c r="H684" s="35">
        <v>58.3</v>
      </c>
      <c r="I684" s="37">
        <f t="shared" si="10"/>
        <v>2.1337725317961386E-4</v>
      </c>
      <c r="J684" s="33"/>
    </row>
    <row r="685" spans="1:10">
      <c r="A685" s="33" t="s">
        <v>54</v>
      </c>
      <c r="B685" s="34">
        <v>238.892</v>
      </c>
      <c r="C685" s="35">
        <v>273225</v>
      </c>
      <c r="D685" s="33" t="s">
        <v>193</v>
      </c>
      <c r="E685" s="34">
        <v>238.911</v>
      </c>
      <c r="F685" s="36">
        <v>1.9000000000005499E-2</v>
      </c>
      <c r="G685" s="34">
        <v>1.9000000000005499E-2</v>
      </c>
      <c r="H685" s="35">
        <v>159.4</v>
      </c>
      <c r="I685" s="37">
        <f t="shared" si="10"/>
        <v>5.834019580931467E-4</v>
      </c>
      <c r="J685" s="33"/>
    </row>
    <row r="686" spans="1:10">
      <c r="A686" s="33" t="s">
        <v>54</v>
      </c>
      <c r="B686" s="34">
        <v>238.892</v>
      </c>
      <c r="C686" s="35">
        <v>273225</v>
      </c>
      <c r="D686" s="33" t="s">
        <v>279</v>
      </c>
      <c r="E686" s="34">
        <v>238.91200000000001</v>
      </c>
      <c r="F686" s="36">
        <v>2.0000000000010201E-2</v>
      </c>
      <c r="G686" s="34">
        <v>2.0000000000010201E-2</v>
      </c>
      <c r="H686" s="35">
        <v>8.4</v>
      </c>
      <c r="I686" s="37">
        <f t="shared" si="10"/>
        <v>3.0743892396376617E-5</v>
      </c>
      <c r="J686" s="33"/>
    </row>
    <row r="687" spans="1:10">
      <c r="A687" s="33" t="s">
        <v>54</v>
      </c>
      <c r="B687" s="34">
        <v>238.892</v>
      </c>
      <c r="C687" s="35">
        <v>273225</v>
      </c>
      <c r="D687" s="33" t="s">
        <v>278</v>
      </c>
      <c r="E687" s="34">
        <v>238.91499999999999</v>
      </c>
      <c r="F687" s="36">
        <v>2.29999999999961E-2</v>
      </c>
      <c r="G687" s="34">
        <v>2.29999999999961E-2</v>
      </c>
      <c r="H687" s="35">
        <v>21</v>
      </c>
      <c r="I687" s="37">
        <f t="shared" si="10"/>
        <v>7.6859730990941528E-5</v>
      </c>
      <c r="J687" s="33"/>
    </row>
    <row r="688" spans="1:10">
      <c r="A688" s="33" t="s">
        <v>54</v>
      </c>
      <c r="B688" s="34">
        <v>238.892</v>
      </c>
      <c r="C688" s="35">
        <v>273225</v>
      </c>
      <c r="D688" s="33" t="s">
        <v>275</v>
      </c>
      <c r="E688" s="34">
        <v>238.92400000000001</v>
      </c>
      <c r="F688" s="36">
        <v>3.20000000000107E-2</v>
      </c>
      <c r="G688" s="34">
        <v>3.20000000000107E-2</v>
      </c>
      <c r="H688" s="35">
        <v>140</v>
      </c>
      <c r="I688" s="37">
        <f t="shared" si="10"/>
        <v>5.1239820660627686E-4</v>
      </c>
      <c r="J688" s="33"/>
    </row>
    <row r="689" spans="1:10">
      <c r="A689" s="33" t="s">
        <v>54</v>
      </c>
      <c r="B689" s="34">
        <v>238.892</v>
      </c>
      <c r="C689" s="35">
        <v>273225</v>
      </c>
      <c r="D689" s="33" t="s">
        <v>274</v>
      </c>
      <c r="E689" s="34">
        <v>238.92500000000001</v>
      </c>
      <c r="F689" s="36">
        <v>3.3000000000015503E-2</v>
      </c>
      <c r="G689" s="34">
        <v>3.3000000000015503E-2</v>
      </c>
      <c r="H689" s="35">
        <v>16</v>
      </c>
      <c r="I689" s="37">
        <f t="shared" si="10"/>
        <v>5.8559795040717356E-5</v>
      </c>
      <c r="J689" s="33"/>
    </row>
    <row r="690" spans="1:10">
      <c r="A690" s="33" t="s">
        <v>54</v>
      </c>
      <c r="B690" s="34">
        <v>238.892</v>
      </c>
      <c r="C690" s="35">
        <v>273225</v>
      </c>
      <c r="D690" s="33" t="s">
        <v>236</v>
      </c>
      <c r="E690" s="34">
        <v>238.93100000000001</v>
      </c>
      <c r="F690" s="36">
        <v>3.9000000000015703E-2</v>
      </c>
      <c r="G690" s="34">
        <v>3.9000000000015703E-2</v>
      </c>
      <c r="H690" s="35">
        <v>58.6</v>
      </c>
      <c r="I690" s="37">
        <f t="shared" si="10"/>
        <v>2.1447524933662732E-4</v>
      </c>
      <c r="J690" s="33"/>
    </row>
    <row r="691" spans="1:10">
      <c r="A691" s="33" t="s">
        <v>54</v>
      </c>
      <c r="B691" s="34">
        <v>238.892</v>
      </c>
      <c r="C691" s="35">
        <v>273225</v>
      </c>
      <c r="D691" s="33" t="s">
        <v>239</v>
      </c>
      <c r="E691" s="34">
        <v>238.94300000000001</v>
      </c>
      <c r="F691" s="36">
        <v>5.1000000000016102E-2</v>
      </c>
      <c r="G691" s="34">
        <v>5.1000000000016102E-2</v>
      </c>
      <c r="H691" s="35">
        <v>6.9</v>
      </c>
      <c r="I691" s="37">
        <f t="shared" si="10"/>
        <v>2.5253911611309362E-5</v>
      </c>
      <c r="J691" s="33"/>
    </row>
    <row r="692" spans="1:10">
      <c r="A692" s="33" t="s">
        <v>54</v>
      </c>
      <c r="B692" s="34">
        <v>238.892</v>
      </c>
      <c r="C692" s="35">
        <v>273225</v>
      </c>
      <c r="D692" s="33" t="s">
        <v>297</v>
      </c>
      <c r="E692" s="34">
        <v>238.947</v>
      </c>
      <c r="F692" s="36">
        <v>5.50000000000068E-2</v>
      </c>
      <c r="G692" s="34">
        <v>5.50000000000068E-2</v>
      </c>
      <c r="H692" s="35">
        <v>78</v>
      </c>
      <c r="I692" s="37">
        <f t="shared" si="10"/>
        <v>2.8547900082349714E-4</v>
      </c>
      <c r="J692" s="33"/>
    </row>
    <row r="693" spans="1:10">
      <c r="A693" s="33" t="s">
        <v>54</v>
      </c>
      <c r="B693" s="34">
        <v>238.892</v>
      </c>
      <c r="C693" s="35">
        <v>273225</v>
      </c>
      <c r="D693" s="33" t="s">
        <v>236</v>
      </c>
      <c r="E693" s="34">
        <v>238.953</v>
      </c>
      <c r="F693" s="36">
        <v>6.1000000000007097E-2</v>
      </c>
      <c r="G693" s="34">
        <v>6.1000000000007097E-2</v>
      </c>
      <c r="H693" s="35">
        <v>93.1</v>
      </c>
      <c r="I693" s="37">
        <f t="shared" si="10"/>
        <v>3.407448073931741E-4</v>
      </c>
      <c r="J693" s="33"/>
    </row>
    <row r="694" spans="1:10">
      <c r="A694" s="33" t="s">
        <v>54</v>
      </c>
      <c r="B694" s="34">
        <v>238.892</v>
      </c>
      <c r="C694" s="35">
        <v>273225</v>
      </c>
      <c r="D694" s="33" t="s">
        <v>54</v>
      </c>
      <c r="E694" s="34">
        <v>238.95400000000001</v>
      </c>
      <c r="F694" s="36">
        <v>6.2000000000011803E-2</v>
      </c>
      <c r="G694" s="34">
        <v>6.2000000000011803E-2</v>
      </c>
      <c r="H694" s="35">
        <v>2919</v>
      </c>
      <c r="I694" s="37">
        <f t="shared" si="10"/>
        <v>1.0683502607740872E-2</v>
      </c>
      <c r="J694" s="33"/>
    </row>
    <row r="695" spans="1:10">
      <c r="A695" s="33" t="s">
        <v>54</v>
      </c>
      <c r="B695" s="34">
        <v>238.892</v>
      </c>
      <c r="C695" s="35">
        <v>273225</v>
      </c>
      <c r="D695" s="33" t="s">
        <v>301</v>
      </c>
      <c r="E695" s="34">
        <v>238.95400000000001</v>
      </c>
      <c r="F695" s="36">
        <v>6.2000000000011803E-2</v>
      </c>
      <c r="G695" s="34">
        <v>6.2000000000011803E-2</v>
      </c>
      <c r="H695" s="35">
        <v>5.7</v>
      </c>
      <c r="I695" s="37">
        <f t="shared" si="10"/>
        <v>2.0861926983255559E-5</v>
      </c>
      <c r="J695" s="33"/>
    </row>
    <row r="696" spans="1:10">
      <c r="A696" s="33" t="s">
        <v>54</v>
      </c>
      <c r="B696" s="34">
        <v>238.892</v>
      </c>
      <c r="C696" s="35">
        <v>273225</v>
      </c>
      <c r="D696" s="33" t="s">
        <v>294</v>
      </c>
      <c r="E696" s="34">
        <v>238.95400000000001</v>
      </c>
      <c r="F696" s="36">
        <v>6.2000000000011803E-2</v>
      </c>
      <c r="G696" s="34">
        <v>6.2000000000011803E-2</v>
      </c>
      <c r="H696" s="35">
        <v>43</v>
      </c>
      <c r="I696" s="37">
        <f t="shared" si="10"/>
        <v>1.573794491719279E-4</v>
      </c>
      <c r="J696" s="33"/>
    </row>
    <row r="697" spans="1:10">
      <c r="A697" s="33" t="s">
        <v>54</v>
      </c>
      <c r="B697" s="34">
        <v>238.892</v>
      </c>
      <c r="C697" s="35">
        <v>273225</v>
      </c>
      <c r="D697" s="33" t="s">
        <v>193</v>
      </c>
      <c r="E697" s="34">
        <v>238.96</v>
      </c>
      <c r="F697" s="36">
        <v>6.8000000000012106E-2</v>
      </c>
      <c r="G697" s="34">
        <v>6.8000000000012106E-2</v>
      </c>
      <c r="H697" s="35">
        <v>172.2</v>
      </c>
      <c r="I697" s="37">
        <f t="shared" si="10"/>
        <v>6.3024979412572052E-4</v>
      </c>
      <c r="J697" s="33"/>
    </row>
    <row r="698" spans="1:10">
      <c r="A698" s="33" t="s">
        <v>54</v>
      </c>
      <c r="B698" s="34">
        <v>238.892</v>
      </c>
      <c r="C698" s="35">
        <v>273225</v>
      </c>
      <c r="D698" s="33" t="s">
        <v>278</v>
      </c>
      <c r="E698" s="34">
        <v>238.97</v>
      </c>
      <c r="F698" s="36">
        <v>7.8000000000002997E-2</v>
      </c>
      <c r="G698" s="34">
        <v>7.8000000000002997E-2</v>
      </c>
      <c r="H698" s="35">
        <v>139.69999999999999</v>
      </c>
      <c r="I698" s="37">
        <f t="shared" si="10"/>
        <v>5.1130021044926339E-4</v>
      </c>
      <c r="J698" s="33"/>
    </row>
    <row r="699" spans="1:10">
      <c r="A699" s="33" t="s">
        <v>54</v>
      </c>
      <c r="B699" s="34">
        <v>238.892</v>
      </c>
      <c r="C699" s="35">
        <v>273225</v>
      </c>
      <c r="D699" s="33" t="s">
        <v>239</v>
      </c>
      <c r="E699" s="34">
        <v>238.97399999999999</v>
      </c>
      <c r="F699" s="36">
        <v>8.1999999999993606E-2</v>
      </c>
      <c r="G699" s="34">
        <v>8.1999999999993606E-2</v>
      </c>
      <c r="H699" s="35">
        <v>49.5</v>
      </c>
      <c r="I699" s="37">
        <f t="shared" si="10"/>
        <v>1.8116936590721933E-4</v>
      </c>
      <c r="J699" s="33"/>
    </row>
    <row r="700" spans="1:10">
      <c r="A700" s="33" t="s">
        <v>54</v>
      </c>
      <c r="B700" s="34">
        <v>238.892</v>
      </c>
      <c r="C700" s="35">
        <v>273225</v>
      </c>
      <c r="D700" s="33" t="s">
        <v>239</v>
      </c>
      <c r="E700" s="34">
        <v>238.995</v>
      </c>
      <c r="F700" s="36">
        <v>0.103000000000009</v>
      </c>
      <c r="G700" s="34">
        <v>0.103000000000009</v>
      </c>
      <c r="H700" s="35">
        <v>1.8</v>
      </c>
      <c r="I700" s="37">
        <f t="shared" si="10"/>
        <v>6.5879769420807026E-6</v>
      </c>
      <c r="J700" s="33"/>
    </row>
    <row r="701" spans="1:10">
      <c r="A701" s="33" t="s">
        <v>33</v>
      </c>
      <c r="B701" s="34">
        <v>340.78</v>
      </c>
      <c r="C701" s="35">
        <v>27582.9</v>
      </c>
      <c r="D701" s="33" t="s">
        <v>84</v>
      </c>
      <c r="E701" s="34">
        <v>340.63600000000002</v>
      </c>
      <c r="F701" s="36">
        <v>0.14399999999999999</v>
      </c>
      <c r="G701" s="34">
        <v>0.14399999999999999</v>
      </c>
      <c r="H701" s="35">
        <v>436.3</v>
      </c>
      <c r="I701" s="37">
        <f t="shared" si="10"/>
        <v>1.5817771155317243E-2</v>
      </c>
      <c r="J701" s="33" t="s">
        <v>116</v>
      </c>
    </row>
    <row r="702" spans="1:10">
      <c r="A702" s="33" t="s">
        <v>33</v>
      </c>
      <c r="B702" s="34">
        <v>340.78</v>
      </c>
      <c r="C702" s="35">
        <v>27582.9</v>
      </c>
      <c r="D702" s="33" t="s">
        <v>282</v>
      </c>
      <c r="E702" s="34">
        <v>340.65499999999997</v>
      </c>
      <c r="F702" s="36">
        <v>0.125</v>
      </c>
      <c r="G702" s="34">
        <v>0.125</v>
      </c>
      <c r="H702" s="35">
        <v>42.6</v>
      </c>
      <c r="I702" s="37">
        <f t="shared" si="10"/>
        <v>1.5444351391623071E-3</v>
      </c>
      <c r="J702" s="33"/>
    </row>
    <row r="703" spans="1:10">
      <c r="A703" s="33" t="s">
        <v>33</v>
      </c>
      <c r="B703" s="34">
        <v>340.78</v>
      </c>
      <c r="C703" s="35">
        <v>27582.9</v>
      </c>
      <c r="D703" s="33" t="s">
        <v>284</v>
      </c>
      <c r="E703" s="34">
        <v>340.66699999999997</v>
      </c>
      <c r="F703" s="36">
        <v>0.113</v>
      </c>
      <c r="G703" s="34">
        <v>0.113</v>
      </c>
      <c r="H703" s="35">
        <v>0.5</v>
      </c>
      <c r="I703" s="37">
        <f t="shared" si="10"/>
        <v>1.812717299486276E-5</v>
      </c>
      <c r="J703" s="33"/>
    </row>
    <row r="704" spans="1:10">
      <c r="A704" s="33" t="s">
        <v>33</v>
      </c>
      <c r="B704" s="34">
        <v>340.78</v>
      </c>
      <c r="C704" s="35">
        <v>27582.9</v>
      </c>
      <c r="D704" s="33" t="s">
        <v>193</v>
      </c>
      <c r="E704" s="34">
        <v>340.66699999999997</v>
      </c>
      <c r="F704" s="36">
        <v>0.113</v>
      </c>
      <c r="G704" s="34">
        <v>0.113</v>
      </c>
      <c r="H704" s="35">
        <v>468.9</v>
      </c>
      <c r="I704" s="37">
        <f t="shared" si="10"/>
        <v>1.6999662834582294E-2</v>
      </c>
      <c r="J704" s="33"/>
    </row>
    <row r="705" spans="1:10">
      <c r="A705" s="33" t="s">
        <v>33</v>
      </c>
      <c r="B705" s="34">
        <v>340.78</v>
      </c>
      <c r="C705" s="35">
        <v>27582.9</v>
      </c>
      <c r="D705" s="33" t="s">
        <v>33</v>
      </c>
      <c r="E705" s="34">
        <v>340.67599999999999</v>
      </c>
      <c r="F705" s="36">
        <v>0.10399999999998499</v>
      </c>
      <c r="G705" s="34">
        <v>0.10399999999998499</v>
      </c>
      <c r="H705" s="35">
        <v>687.2</v>
      </c>
      <c r="I705" s="37">
        <f t="shared" si="10"/>
        <v>2.4913986564139377E-2</v>
      </c>
      <c r="J705" s="33" t="s">
        <v>116</v>
      </c>
    </row>
    <row r="706" spans="1:10">
      <c r="A706" s="33" t="s">
        <v>33</v>
      </c>
      <c r="B706" s="34">
        <v>340.78</v>
      </c>
      <c r="C706" s="35">
        <v>27582.9</v>
      </c>
      <c r="D706" s="33" t="s">
        <v>97</v>
      </c>
      <c r="E706" s="34">
        <v>340.68</v>
      </c>
      <c r="F706" s="36">
        <v>9.9999999999965894E-2</v>
      </c>
      <c r="G706" s="34">
        <v>9.9999999999965894E-2</v>
      </c>
      <c r="H706" s="35">
        <v>15.4</v>
      </c>
      <c r="I706" s="37">
        <f t="shared" ref="I706:I769" si="11">H706/C706</f>
        <v>5.5831692824177294E-4</v>
      </c>
      <c r="J706" s="33"/>
    </row>
    <row r="707" spans="1:10">
      <c r="A707" s="33" t="s">
        <v>33</v>
      </c>
      <c r="B707" s="34">
        <v>340.78</v>
      </c>
      <c r="C707" s="35">
        <v>27582.9</v>
      </c>
      <c r="D707" s="33" t="s">
        <v>54</v>
      </c>
      <c r="E707" s="34">
        <v>340.68799999999999</v>
      </c>
      <c r="F707" s="36">
        <v>9.1999999999984497E-2</v>
      </c>
      <c r="G707" s="34">
        <v>9.1999999999984497E-2</v>
      </c>
      <c r="H707" s="35">
        <v>25</v>
      </c>
      <c r="I707" s="37">
        <f t="shared" si="11"/>
        <v>9.0635864974313789E-4</v>
      </c>
      <c r="J707" s="33"/>
    </row>
    <row r="708" spans="1:10">
      <c r="A708" s="33" t="s">
        <v>33</v>
      </c>
      <c r="B708" s="34">
        <v>340.78</v>
      </c>
      <c r="C708" s="35">
        <v>27582.9</v>
      </c>
      <c r="D708" s="33" t="s">
        <v>36</v>
      </c>
      <c r="E708" s="34">
        <v>340.69200000000001</v>
      </c>
      <c r="F708" s="36">
        <v>8.7999999999999995E-2</v>
      </c>
      <c r="G708" s="34">
        <v>8.7999999999999995E-2</v>
      </c>
      <c r="H708" s="35">
        <v>22.5</v>
      </c>
      <c r="I708" s="37">
        <f t="shared" si="11"/>
        <v>8.157227847688241E-4</v>
      </c>
      <c r="J708" s="33" t="s">
        <v>116</v>
      </c>
    </row>
    <row r="709" spans="1:10">
      <c r="A709" s="33" t="s">
        <v>33</v>
      </c>
      <c r="B709" s="34">
        <v>340.78</v>
      </c>
      <c r="C709" s="35">
        <v>27582.9</v>
      </c>
      <c r="D709" s="33" t="s">
        <v>193</v>
      </c>
      <c r="E709" s="34">
        <v>340.69400000000002</v>
      </c>
      <c r="F709" s="36">
        <v>8.5999999999955903E-2</v>
      </c>
      <c r="G709" s="34">
        <v>8.5999999999955903E-2</v>
      </c>
      <c r="H709" s="35">
        <v>166.1</v>
      </c>
      <c r="I709" s="37">
        <f t="shared" si="11"/>
        <v>6.0218468688934077E-3</v>
      </c>
      <c r="J709" s="33"/>
    </row>
    <row r="710" spans="1:10">
      <c r="A710" s="33" t="s">
        <v>33</v>
      </c>
      <c r="B710" s="34">
        <v>340.78</v>
      </c>
      <c r="C710" s="35">
        <v>27582.9</v>
      </c>
      <c r="D710" s="33" t="s">
        <v>269</v>
      </c>
      <c r="E710" s="34">
        <v>340.714</v>
      </c>
      <c r="F710" s="36">
        <v>6.5999999999974093E-2</v>
      </c>
      <c r="G710" s="34">
        <v>6.5999999999974093E-2</v>
      </c>
      <c r="H710" s="35">
        <v>12.1</v>
      </c>
      <c r="I710" s="37">
        <f t="shared" si="11"/>
        <v>4.3867758647567873E-4</v>
      </c>
      <c r="J710" s="33"/>
    </row>
    <row r="711" spans="1:10">
      <c r="A711" s="33" t="s">
        <v>33</v>
      </c>
      <c r="B711" s="34">
        <v>340.78</v>
      </c>
      <c r="C711" s="35">
        <v>27582.9</v>
      </c>
      <c r="D711" s="33" t="s">
        <v>33</v>
      </c>
      <c r="E711" s="34">
        <v>340.71600000000001</v>
      </c>
      <c r="F711" s="36">
        <v>6.3999999999964502E-2</v>
      </c>
      <c r="G711" s="34">
        <v>6.3999999999964502E-2</v>
      </c>
      <c r="H711" s="35">
        <v>1322.7</v>
      </c>
      <c r="I711" s="37">
        <f t="shared" si="11"/>
        <v>4.7953623440609945E-2</v>
      </c>
      <c r="J711" s="33" t="s">
        <v>116</v>
      </c>
    </row>
    <row r="712" spans="1:10">
      <c r="A712" s="33" t="s">
        <v>33</v>
      </c>
      <c r="B712" s="34">
        <v>340.78</v>
      </c>
      <c r="C712" s="35">
        <v>27582.9</v>
      </c>
      <c r="D712" s="33" t="s">
        <v>237</v>
      </c>
      <c r="E712" s="34">
        <v>340.721</v>
      </c>
      <c r="F712" s="36">
        <v>5.8999999999969098E-2</v>
      </c>
      <c r="G712" s="34">
        <v>5.8999999999969098E-2</v>
      </c>
      <c r="H712" s="35">
        <v>640.29999999999995</v>
      </c>
      <c r="I712" s="37">
        <f t="shared" si="11"/>
        <v>2.3213657737221248E-2</v>
      </c>
      <c r="J712" s="33"/>
    </row>
    <row r="713" spans="1:10">
      <c r="A713" s="33" t="s">
        <v>33</v>
      </c>
      <c r="B713" s="34">
        <v>340.78</v>
      </c>
      <c r="C713" s="35">
        <v>27582.9</v>
      </c>
      <c r="D713" s="33" t="s">
        <v>239</v>
      </c>
      <c r="E713" s="34">
        <v>340.72399999999999</v>
      </c>
      <c r="F713" s="36">
        <v>5.5999999999983202E-2</v>
      </c>
      <c r="G713" s="34">
        <v>5.5999999999983202E-2</v>
      </c>
      <c r="H713" s="35">
        <v>15.1</v>
      </c>
      <c r="I713" s="37">
        <f t="shared" si="11"/>
        <v>5.4744062444485526E-4</v>
      </c>
      <c r="J713" s="33"/>
    </row>
    <row r="714" spans="1:10">
      <c r="A714" s="33" t="s">
        <v>33</v>
      </c>
      <c r="B714" s="34">
        <v>340.78</v>
      </c>
      <c r="C714" s="35">
        <v>27582.9</v>
      </c>
      <c r="D714" s="33" t="s">
        <v>25</v>
      </c>
      <c r="E714" s="34">
        <v>340.72500000000002</v>
      </c>
      <c r="F714" s="36">
        <v>5.4999999999949999E-2</v>
      </c>
      <c r="G714" s="34">
        <v>5.4999999999949999E-2</v>
      </c>
      <c r="H714" s="35">
        <v>279.2</v>
      </c>
      <c r="I714" s="37">
        <f t="shared" si="11"/>
        <v>1.0122213400331363E-2</v>
      </c>
      <c r="J714" s="33" t="s">
        <v>116</v>
      </c>
    </row>
    <row r="715" spans="1:10">
      <c r="A715" s="33" t="s">
        <v>33</v>
      </c>
      <c r="B715" s="34">
        <v>340.78</v>
      </c>
      <c r="C715" s="35">
        <v>27582.9</v>
      </c>
      <c r="D715" s="33" t="s">
        <v>165</v>
      </c>
      <c r="E715" s="34">
        <v>340.73</v>
      </c>
      <c r="F715" s="36">
        <v>4.9999999999954498E-2</v>
      </c>
      <c r="G715" s="34">
        <v>4.9999999999954498E-2</v>
      </c>
      <c r="H715" s="35">
        <v>29.2</v>
      </c>
      <c r="I715" s="37">
        <f t="shared" si="11"/>
        <v>1.058626902899985E-3</v>
      </c>
      <c r="J715" s="33"/>
    </row>
    <row r="716" spans="1:10">
      <c r="A716" s="33" t="s">
        <v>33</v>
      </c>
      <c r="B716" s="34">
        <v>340.78</v>
      </c>
      <c r="C716" s="35">
        <v>27582.9</v>
      </c>
      <c r="D716" s="33" t="s">
        <v>97</v>
      </c>
      <c r="E716" s="34">
        <v>340.74599999999998</v>
      </c>
      <c r="F716" s="36">
        <v>3.3999999999991801E-2</v>
      </c>
      <c r="G716" s="34">
        <v>3.3999999999991801E-2</v>
      </c>
      <c r="H716" s="35">
        <v>174.1</v>
      </c>
      <c r="I716" s="37">
        <f t="shared" si="11"/>
        <v>6.3118816368112124E-3</v>
      </c>
      <c r="J716" s="33"/>
    </row>
    <row r="717" spans="1:10">
      <c r="A717" s="33" t="s">
        <v>33</v>
      </c>
      <c r="B717" s="34">
        <v>340.78</v>
      </c>
      <c r="C717" s="35">
        <v>27582.9</v>
      </c>
      <c r="D717" s="33" t="s">
        <v>54</v>
      </c>
      <c r="E717" s="34">
        <v>340.74700000000001</v>
      </c>
      <c r="F717" s="36">
        <v>3.2999999999958597E-2</v>
      </c>
      <c r="G717" s="34">
        <v>3.2999999999958597E-2</v>
      </c>
      <c r="H717" s="35">
        <v>8.5</v>
      </c>
      <c r="I717" s="37">
        <f t="shared" si="11"/>
        <v>3.0816194091266689E-4</v>
      </c>
      <c r="J717" s="33"/>
    </row>
    <row r="718" spans="1:10">
      <c r="A718" s="33" t="s">
        <v>33</v>
      </c>
      <c r="B718" s="34">
        <v>340.78</v>
      </c>
      <c r="C718" s="35">
        <v>27582.9</v>
      </c>
      <c r="D718" s="33" t="s">
        <v>36</v>
      </c>
      <c r="E718" s="34">
        <v>340.75599999999997</v>
      </c>
      <c r="F718" s="36">
        <v>2.4E-2</v>
      </c>
      <c r="G718" s="34">
        <v>2.4E-2</v>
      </c>
      <c r="H718" s="35">
        <v>5031.8999999999996</v>
      </c>
      <c r="I718" s="37">
        <f t="shared" si="11"/>
        <v>0.18242824358569981</v>
      </c>
      <c r="J718" s="33" t="s">
        <v>116</v>
      </c>
    </row>
    <row r="719" spans="1:10">
      <c r="A719" s="33" t="s">
        <v>33</v>
      </c>
      <c r="B719" s="34">
        <v>340.78</v>
      </c>
      <c r="C719" s="35">
        <v>27582.9</v>
      </c>
      <c r="D719" s="33" t="s">
        <v>271</v>
      </c>
      <c r="E719" s="34">
        <v>340.76299999999998</v>
      </c>
      <c r="F719" s="36">
        <v>1.69999999999959E-2</v>
      </c>
      <c r="G719" s="34">
        <v>1.69999999999959E-2</v>
      </c>
      <c r="H719" s="35">
        <v>142.6</v>
      </c>
      <c r="I719" s="37">
        <f t="shared" si="11"/>
        <v>5.1698697381348585E-3</v>
      </c>
      <c r="J719" s="33"/>
    </row>
    <row r="720" spans="1:10">
      <c r="A720" s="33" t="s">
        <v>33</v>
      </c>
      <c r="B720" s="34">
        <v>340.78</v>
      </c>
      <c r="C720" s="35">
        <v>27582.9</v>
      </c>
      <c r="D720" s="33" t="s">
        <v>269</v>
      </c>
      <c r="E720" s="34">
        <v>340.77600000000001</v>
      </c>
      <c r="F720" s="36">
        <v>3.9999999999622603E-3</v>
      </c>
      <c r="G720" s="34">
        <v>3.9999999999622603E-3</v>
      </c>
      <c r="H720" s="35">
        <v>920.8</v>
      </c>
      <c r="I720" s="37">
        <f t="shared" si="11"/>
        <v>3.3383001787339252E-2</v>
      </c>
      <c r="J720" s="33"/>
    </row>
    <row r="721" spans="1:10">
      <c r="A721" s="33" t="s">
        <v>33</v>
      </c>
      <c r="B721" s="34">
        <v>340.78</v>
      </c>
      <c r="C721" s="35">
        <v>27582.9</v>
      </c>
      <c r="D721" s="33" t="s">
        <v>240</v>
      </c>
      <c r="E721" s="34">
        <v>340.79599999999999</v>
      </c>
      <c r="F721" s="36">
        <v>1.6000000000019599E-2</v>
      </c>
      <c r="G721" s="34">
        <v>1.6000000000019599E-2</v>
      </c>
      <c r="H721" s="35">
        <v>1.4</v>
      </c>
      <c r="I721" s="37">
        <f t="shared" si="11"/>
        <v>5.0756084385615716E-5</v>
      </c>
      <c r="J721" s="33"/>
    </row>
    <row r="722" spans="1:10">
      <c r="A722" s="33" t="s">
        <v>33</v>
      </c>
      <c r="B722" s="34">
        <v>340.78</v>
      </c>
      <c r="C722" s="35">
        <v>27582.9</v>
      </c>
      <c r="D722" s="33" t="s">
        <v>277</v>
      </c>
      <c r="E722" s="34">
        <v>340.798</v>
      </c>
      <c r="F722" s="36">
        <v>1.80000000000291E-2</v>
      </c>
      <c r="G722" s="34">
        <v>1.80000000000291E-2</v>
      </c>
      <c r="H722" s="35">
        <v>156</v>
      </c>
      <c r="I722" s="37">
        <f t="shared" si="11"/>
        <v>5.6556779743971806E-3</v>
      </c>
      <c r="J722" s="33"/>
    </row>
    <row r="723" spans="1:10">
      <c r="A723" s="33" t="s">
        <v>33</v>
      </c>
      <c r="B723" s="34">
        <v>340.78</v>
      </c>
      <c r="C723" s="35">
        <v>27582.9</v>
      </c>
      <c r="D723" s="33" t="s">
        <v>272</v>
      </c>
      <c r="E723" s="34">
        <v>340.79899999999998</v>
      </c>
      <c r="F723" s="36">
        <v>1.9000000000005499E-2</v>
      </c>
      <c r="G723" s="34">
        <v>1.9000000000005499E-2</v>
      </c>
      <c r="H723" s="35">
        <v>0.1</v>
      </c>
      <c r="I723" s="37">
        <f t="shared" si="11"/>
        <v>3.6254345989725518E-6</v>
      </c>
      <c r="J723" s="33"/>
    </row>
    <row r="724" spans="1:10">
      <c r="A724" s="33" t="s">
        <v>33</v>
      </c>
      <c r="B724" s="34">
        <v>340.78</v>
      </c>
      <c r="C724" s="35">
        <v>27582.9</v>
      </c>
      <c r="D724" s="33" t="s">
        <v>239</v>
      </c>
      <c r="E724" s="34">
        <v>340.8</v>
      </c>
      <c r="F724" s="36">
        <v>2.0000000000038699E-2</v>
      </c>
      <c r="G724" s="34">
        <v>2.0000000000038699E-2</v>
      </c>
      <c r="H724" s="35">
        <v>10.4</v>
      </c>
      <c r="I724" s="37">
        <f t="shared" si="11"/>
        <v>3.7704519829314536E-4</v>
      </c>
      <c r="J724" s="33"/>
    </row>
    <row r="725" spans="1:10">
      <c r="A725" s="33" t="s">
        <v>33</v>
      </c>
      <c r="B725" s="34">
        <v>340.78</v>
      </c>
      <c r="C725" s="35">
        <v>27582.9</v>
      </c>
      <c r="D725" s="33" t="s">
        <v>236</v>
      </c>
      <c r="E725" s="34">
        <v>340.81</v>
      </c>
      <c r="F725" s="36">
        <v>3.00000000000296E-2</v>
      </c>
      <c r="G725" s="34">
        <v>3.00000000000296E-2</v>
      </c>
      <c r="H725" s="35">
        <v>2181.6</v>
      </c>
      <c r="I725" s="37">
        <f t="shared" si="11"/>
        <v>7.9092481211185187E-2</v>
      </c>
      <c r="J725" s="33"/>
    </row>
    <row r="726" spans="1:10">
      <c r="A726" s="33" t="s">
        <v>33</v>
      </c>
      <c r="B726" s="34">
        <v>340.78</v>
      </c>
      <c r="C726" s="35">
        <v>27582.9</v>
      </c>
      <c r="D726" s="33" t="s">
        <v>294</v>
      </c>
      <c r="E726" s="34">
        <v>340.81299999999999</v>
      </c>
      <c r="F726" s="36">
        <v>3.3000000000015503E-2</v>
      </c>
      <c r="G726" s="34">
        <v>3.3000000000015503E-2</v>
      </c>
      <c r="H726" s="35">
        <v>265.10000000000002</v>
      </c>
      <c r="I726" s="37">
        <f t="shared" si="11"/>
        <v>9.611027121876236E-3</v>
      </c>
      <c r="J726" s="33"/>
    </row>
    <row r="727" spans="1:10">
      <c r="A727" s="33" t="s">
        <v>33</v>
      </c>
      <c r="B727" s="34">
        <v>340.78</v>
      </c>
      <c r="C727" s="35">
        <v>27582.9</v>
      </c>
      <c r="D727" s="33" t="s">
        <v>33</v>
      </c>
      <c r="E727" s="34">
        <v>340.81400000000002</v>
      </c>
      <c r="F727" s="36">
        <v>3.40000000000487E-2</v>
      </c>
      <c r="G727" s="34">
        <v>3.40000000000487E-2</v>
      </c>
      <c r="H727" s="35">
        <v>2065.8000000000002</v>
      </c>
      <c r="I727" s="37">
        <f t="shared" si="11"/>
        <v>7.4894227945574973E-2</v>
      </c>
      <c r="J727" s="33" t="s">
        <v>116</v>
      </c>
    </row>
    <row r="728" spans="1:10">
      <c r="A728" s="33" t="s">
        <v>33</v>
      </c>
      <c r="B728" s="34">
        <v>340.78</v>
      </c>
      <c r="C728" s="35">
        <v>27582.9</v>
      </c>
      <c r="D728" s="33" t="s">
        <v>285</v>
      </c>
      <c r="E728" s="34">
        <v>340.86</v>
      </c>
      <c r="F728" s="36">
        <v>8.00000000000409E-2</v>
      </c>
      <c r="G728" s="34">
        <v>8.00000000000409E-2</v>
      </c>
      <c r="H728" s="35">
        <v>0.3</v>
      </c>
      <c r="I728" s="37">
        <f t="shared" si="11"/>
        <v>1.0876303796917654E-5</v>
      </c>
      <c r="J728" s="33"/>
    </row>
    <row r="729" spans="1:10">
      <c r="A729" s="33" t="s">
        <v>33</v>
      </c>
      <c r="B729" s="34">
        <v>340.78</v>
      </c>
      <c r="C729" s="35">
        <v>27582.9</v>
      </c>
      <c r="D729" s="33" t="s">
        <v>271</v>
      </c>
      <c r="E729" s="34">
        <v>340.86399999999998</v>
      </c>
      <c r="F729" s="36">
        <v>8.4000000000003197E-2</v>
      </c>
      <c r="G729" s="34">
        <v>8.4000000000003197E-2</v>
      </c>
      <c r="H729" s="35">
        <v>438</v>
      </c>
      <c r="I729" s="37">
        <f t="shared" si="11"/>
        <v>1.5879403543499777E-2</v>
      </c>
      <c r="J729" s="33"/>
    </row>
    <row r="730" spans="1:10">
      <c r="A730" s="33" t="s">
        <v>33</v>
      </c>
      <c r="B730" s="34">
        <v>340.78</v>
      </c>
      <c r="C730" s="35">
        <v>27582.9</v>
      </c>
      <c r="D730" s="33" t="s">
        <v>273</v>
      </c>
      <c r="E730" s="34">
        <v>340.86700000000002</v>
      </c>
      <c r="F730" s="36">
        <v>8.7000000000045902E-2</v>
      </c>
      <c r="G730" s="34">
        <v>8.7000000000045902E-2</v>
      </c>
      <c r="H730" s="35">
        <v>3365</v>
      </c>
      <c r="I730" s="37">
        <f t="shared" si="11"/>
        <v>0.12199587425542636</v>
      </c>
      <c r="J730" s="33"/>
    </row>
    <row r="731" spans="1:10">
      <c r="A731" s="33" t="s">
        <v>33</v>
      </c>
      <c r="B731" s="34">
        <v>340.78</v>
      </c>
      <c r="C731" s="35">
        <v>27582.9</v>
      </c>
      <c r="D731" s="33" t="s">
        <v>279</v>
      </c>
      <c r="E731" s="34">
        <v>340.86700000000002</v>
      </c>
      <c r="F731" s="36">
        <v>8.7000000000045902E-2</v>
      </c>
      <c r="G731" s="34">
        <v>8.7000000000045902E-2</v>
      </c>
      <c r="H731" s="35">
        <v>78</v>
      </c>
      <c r="I731" s="37">
        <f t="shared" si="11"/>
        <v>2.8278389871985903E-3</v>
      </c>
      <c r="J731" s="33"/>
    </row>
    <row r="732" spans="1:10">
      <c r="A732" s="33" t="s">
        <v>33</v>
      </c>
      <c r="B732" s="34">
        <v>340.78</v>
      </c>
      <c r="C732" s="35">
        <v>27582.9</v>
      </c>
      <c r="D732" s="33" t="s">
        <v>270</v>
      </c>
      <c r="E732" s="34">
        <v>340.86799999999999</v>
      </c>
      <c r="F732" s="36">
        <v>8.8000000000022296E-2</v>
      </c>
      <c r="G732" s="34">
        <v>8.8000000000022296E-2</v>
      </c>
      <c r="H732" s="35">
        <v>3988.4</v>
      </c>
      <c r="I732" s="37">
        <f t="shared" si="11"/>
        <v>0.14459683354542124</v>
      </c>
      <c r="J732" s="33"/>
    </row>
    <row r="733" spans="1:10">
      <c r="A733" s="33" t="s">
        <v>33</v>
      </c>
      <c r="B733" s="34">
        <v>340.78</v>
      </c>
      <c r="C733" s="35">
        <v>27582.9</v>
      </c>
      <c r="D733" s="33" t="s">
        <v>84</v>
      </c>
      <c r="E733" s="34">
        <v>340.86900000000003</v>
      </c>
      <c r="F733" s="36">
        <v>8.8999999999999996E-2</v>
      </c>
      <c r="G733" s="34">
        <v>8.8999999999999996E-2</v>
      </c>
      <c r="H733" s="35">
        <v>1679.2</v>
      </c>
      <c r="I733" s="37">
        <f t="shared" si="11"/>
        <v>6.087829778594709E-2</v>
      </c>
      <c r="J733" s="33" t="s">
        <v>116</v>
      </c>
    </row>
    <row r="734" spans="1:10">
      <c r="A734" s="33" t="s">
        <v>33</v>
      </c>
      <c r="B734" s="34">
        <v>340.78</v>
      </c>
      <c r="C734" s="35">
        <v>27582.9</v>
      </c>
      <c r="D734" s="33" t="s">
        <v>284</v>
      </c>
      <c r="E734" s="34">
        <v>340.875</v>
      </c>
      <c r="F734" s="36">
        <v>9.5000000000027299E-2</v>
      </c>
      <c r="G734" s="34">
        <v>9.5000000000027299E-2</v>
      </c>
      <c r="H734" s="35">
        <v>0.5</v>
      </c>
      <c r="I734" s="37">
        <f t="shared" si="11"/>
        <v>1.812717299486276E-5</v>
      </c>
      <c r="J734" s="33"/>
    </row>
    <row r="735" spans="1:10">
      <c r="A735" s="33" t="s">
        <v>33</v>
      </c>
      <c r="B735" s="34">
        <v>340.78</v>
      </c>
      <c r="C735" s="35">
        <v>27582.9</v>
      </c>
      <c r="D735" s="33" t="s">
        <v>239</v>
      </c>
      <c r="E735" s="34">
        <v>340.87599999999998</v>
      </c>
      <c r="F735" s="36">
        <v>9.6000000000003596E-2</v>
      </c>
      <c r="G735" s="34">
        <v>9.6000000000003596E-2</v>
      </c>
      <c r="H735" s="35">
        <v>4397.8</v>
      </c>
      <c r="I735" s="37">
        <f t="shared" si="11"/>
        <v>0.15943936279361487</v>
      </c>
      <c r="J735" s="33"/>
    </row>
    <row r="736" spans="1:10">
      <c r="A736" s="33" t="s">
        <v>33</v>
      </c>
      <c r="B736" s="34">
        <v>340.78</v>
      </c>
      <c r="C736" s="35">
        <v>27582.9</v>
      </c>
      <c r="D736" s="33" t="s">
        <v>25</v>
      </c>
      <c r="E736" s="34">
        <v>340.88</v>
      </c>
      <c r="F736" s="36">
        <v>0.100000000000023</v>
      </c>
      <c r="G736" s="34">
        <v>0.100000000000023</v>
      </c>
      <c r="H736" s="35">
        <v>85.3</v>
      </c>
      <c r="I736" s="37">
        <f t="shared" si="11"/>
        <v>3.0924957129235863E-3</v>
      </c>
      <c r="J736" s="33" t="s">
        <v>116</v>
      </c>
    </row>
    <row r="737" spans="1:10">
      <c r="A737" s="33" t="s">
        <v>33</v>
      </c>
      <c r="B737" s="34">
        <v>340.78</v>
      </c>
      <c r="C737" s="35">
        <v>27582.9</v>
      </c>
      <c r="D737" s="33" t="s">
        <v>278</v>
      </c>
      <c r="E737" s="34">
        <v>340.89600000000002</v>
      </c>
      <c r="F737" s="36">
        <v>0.116000000000042</v>
      </c>
      <c r="G737" s="34">
        <v>0.116000000000042</v>
      </c>
      <c r="H737" s="35">
        <v>55.4</v>
      </c>
      <c r="I737" s="37">
        <f t="shared" si="11"/>
        <v>2.0084907678307937E-3</v>
      </c>
      <c r="J737" s="33"/>
    </row>
    <row r="738" spans="1:10">
      <c r="A738" s="33" t="s">
        <v>33</v>
      </c>
      <c r="B738" s="34">
        <v>340.78</v>
      </c>
      <c r="C738" s="35">
        <v>27582.9</v>
      </c>
      <c r="D738" s="33" t="s">
        <v>54</v>
      </c>
      <c r="E738" s="34">
        <v>340.91699999999997</v>
      </c>
      <c r="F738" s="36">
        <v>0.13700000000000101</v>
      </c>
      <c r="G738" s="34">
        <v>0.13700000000000101</v>
      </c>
      <c r="H738" s="35">
        <v>1316.5</v>
      </c>
      <c r="I738" s="37">
        <f t="shared" si="11"/>
        <v>4.772884649547364E-2</v>
      </c>
      <c r="J738" s="33"/>
    </row>
    <row r="739" spans="1:10">
      <c r="A739" s="33" t="s">
        <v>33</v>
      </c>
      <c r="B739" s="34">
        <v>340.78</v>
      </c>
      <c r="C739" s="35">
        <v>27582.9</v>
      </c>
      <c r="D739" s="33" t="s">
        <v>273</v>
      </c>
      <c r="E739" s="34">
        <v>340.91899999999998</v>
      </c>
      <c r="F739" s="36">
        <v>0.13900000000001</v>
      </c>
      <c r="G739" s="34">
        <v>0.13900000000001</v>
      </c>
      <c r="H739" s="35">
        <v>1782.2</v>
      </c>
      <c r="I739" s="37">
        <f t="shared" si="11"/>
        <v>6.4612495422888813E-2</v>
      </c>
      <c r="J739" s="33"/>
    </row>
    <row r="740" spans="1:10">
      <c r="A740" s="33" t="s">
        <v>33</v>
      </c>
      <c r="B740" s="34">
        <v>340.78</v>
      </c>
      <c r="C740" s="35">
        <v>27582.9</v>
      </c>
      <c r="D740" s="33" t="s">
        <v>271</v>
      </c>
      <c r="E740" s="34">
        <v>340.92700000000002</v>
      </c>
      <c r="F740" s="36">
        <v>0.14700000000004801</v>
      </c>
      <c r="G740" s="34">
        <v>0.14700000000004801</v>
      </c>
      <c r="H740" s="35">
        <v>695.2</v>
      </c>
      <c r="I740" s="37">
        <f t="shared" si="11"/>
        <v>2.520402133205718E-2</v>
      </c>
      <c r="J740" s="33"/>
    </row>
    <row r="741" spans="1:10">
      <c r="A741" s="33" t="s">
        <v>33</v>
      </c>
      <c r="B741" s="34">
        <v>352.39800000000002</v>
      </c>
      <c r="C741" s="35">
        <v>24487</v>
      </c>
      <c r="D741" s="33" t="s">
        <v>54</v>
      </c>
      <c r="E741" s="34">
        <v>352.15699999999998</v>
      </c>
      <c r="F741" s="36">
        <v>0.24100000000004199</v>
      </c>
      <c r="G741" s="34">
        <v>0.24100000000004199</v>
      </c>
      <c r="H741" s="35">
        <v>669.7</v>
      </c>
      <c r="I741" s="37">
        <f t="shared" si="11"/>
        <v>2.7349205700984199E-2</v>
      </c>
      <c r="J741" s="33"/>
    </row>
    <row r="742" spans="1:10">
      <c r="A742" s="33" t="s">
        <v>33</v>
      </c>
      <c r="B742" s="34">
        <v>352.39800000000002</v>
      </c>
      <c r="C742" s="35">
        <v>24487</v>
      </c>
      <c r="D742" s="33" t="s">
        <v>278</v>
      </c>
      <c r="E742" s="34">
        <v>352.18400000000003</v>
      </c>
      <c r="F742" s="36">
        <v>0.213999999999999</v>
      </c>
      <c r="G742" s="34">
        <v>0.213999999999999</v>
      </c>
      <c r="H742" s="35">
        <v>387.9</v>
      </c>
      <c r="I742" s="37">
        <f t="shared" si="11"/>
        <v>1.5841058520847797E-2</v>
      </c>
      <c r="J742" s="33"/>
    </row>
    <row r="743" spans="1:10">
      <c r="A743" s="33" t="s">
        <v>33</v>
      </c>
      <c r="B743" s="34">
        <v>352.39800000000002</v>
      </c>
      <c r="C743" s="35">
        <v>24487</v>
      </c>
      <c r="D743" s="33" t="s">
        <v>25</v>
      </c>
      <c r="E743" s="34">
        <v>352.18799999999999</v>
      </c>
      <c r="F743" s="36">
        <v>0.21000000000003599</v>
      </c>
      <c r="G743" s="34">
        <v>0.21000000000003599</v>
      </c>
      <c r="H743" s="35">
        <v>1763</v>
      </c>
      <c r="I743" s="37">
        <f t="shared" si="11"/>
        <v>7.1997386368277044E-2</v>
      </c>
      <c r="J743" s="33" t="s">
        <v>116</v>
      </c>
    </row>
    <row r="744" spans="1:10">
      <c r="A744" s="33" t="s">
        <v>33</v>
      </c>
      <c r="B744" s="34">
        <v>352.39800000000002</v>
      </c>
      <c r="C744" s="35">
        <v>24487</v>
      </c>
      <c r="D744" s="33" t="s">
        <v>274</v>
      </c>
      <c r="E744" s="34">
        <v>352.19099999999997</v>
      </c>
      <c r="F744" s="36">
        <v>0.207000000000051</v>
      </c>
      <c r="G744" s="34">
        <v>0.207000000000051</v>
      </c>
      <c r="H744" s="35">
        <v>10.3</v>
      </c>
      <c r="I744" s="37">
        <f t="shared" si="11"/>
        <v>4.2063135541307633E-4</v>
      </c>
      <c r="J744" s="33"/>
    </row>
    <row r="745" spans="1:10">
      <c r="A745" s="33" t="s">
        <v>33</v>
      </c>
      <c r="B745" s="34">
        <v>352.39800000000002</v>
      </c>
      <c r="C745" s="35">
        <v>24487</v>
      </c>
      <c r="D745" s="33" t="s">
        <v>271</v>
      </c>
      <c r="E745" s="34">
        <v>352.19200000000001</v>
      </c>
      <c r="F745" s="36">
        <v>0.206000000000017</v>
      </c>
      <c r="G745" s="34">
        <v>0.206000000000017</v>
      </c>
      <c r="H745" s="35">
        <v>1813.5</v>
      </c>
      <c r="I745" s="37">
        <f t="shared" si="11"/>
        <v>7.4059705149671251E-2</v>
      </c>
      <c r="J745" s="33"/>
    </row>
    <row r="746" spans="1:10">
      <c r="A746" s="33" t="s">
        <v>33</v>
      </c>
      <c r="B746" s="34">
        <v>352.39800000000002</v>
      </c>
      <c r="C746" s="35">
        <v>24487</v>
      </c>
      <c r="D746" s="33" t="s">
        <v>290</v>
      </c>
      <c r="E746" s="34">
        <v>352.202</v>
      </c>
      <c r="F746" s="36">
        <v>0.19600000000002599</v>
      </c>
      <c r="G746" s="34">
        <v>0.19600000000002599</v>
      </c>
      <c r="H746" s="35">
        <v>93.9</v>
      </c>
      <c r="I746" s="37">
        <f t="shared" si="11"/>
        <v>3.8346877935230943E-3</v>
      </c>
      <c r="J746" s="33"/>
    </row>
    <row r="747" spans="1:10">
      <c r="A747" s="33" t="s">
        <v>33</v>
      </c>
      <c r="B747" s="34">
        <v>352.39800000000002</v>
      </c>
      <c r="C747" s="35">
        <v>24487</v>
      </c>
      <c r="D747" s="33" t="s">
        <v>27</v>
      </c>
      <c r="E747" s="34">
        <v>352.20400000000001</v>
      </c>
      <c r="F747" s="36">
        <v>0.19400000000001699</v>
      </c>
      <c r="G747" s="34">
        <v>0.19400000000001699</v>
      </c>
      <c r="H747" s="35">
        <v>398.1</v>
      </c>
      <c r="I747" s="37">
        <f t="shared" si="11"/>
        <v>1.6257606076693756E-2</v>
      </c>
      <c r="J747" s="33" t="s">
        <v>116</v>
      </c>
    </row>
    <row r="748" spans="1:10">
      <c r="A748" s="33" t="s">
        <v>33</v>
      </c>
      <c r="B748" s="34">
        <v>352.39800000000002</v>
      </c>
      <c r="C748" s="35">
        <v>24487</v>
      </c>
      <c r="D748" s="33" t="s">
        <v>36</v>
      </c>
      <c r="E748" s="34">
        <v>352.245</v>
      </c>
      <c r="F748" s="36">
        <v>0.153</v>
      </c>
      <c r="G748" s="34">
        <v>0.153</v>
      </c>
      <c r="H748" s="35">
        <v>397</v>
      </c>
      <c r="I748" s="37">
        <f t="shared" si="11"/>
        <v>1.6212684281455465E-2</v>
      </c>
      <c r="J748" s="33" t="s">
        <v>116</v>
      </c>
    </row>
    <row r="749" spans="1:10">
      <c r="A749" s="33" t="s">
        <v>33</v>
      </c>
      <c r="B749" s="34">
        <v>352.39800000000002</v>
      </c>
      <c r="C749" s="35">
        <v>24487</v>
      </c>
      <c r="D749" s="33" t="s">
        <v>54</v>
      </c>
      <c r="E749" s="34">
        <v>352.28399999999999</v>
      </c>
      <c r="F749" s="36">
        <v>0.11400000000003301</v>
      </c>
      <c r="G749" s="34">
        <v>0.11400000000003301</v>
      </c>
      <c r="H749" s="35">
        <v>27.6</v>
      </c>
      <c r="I749" s="37">
        <f t="shared" si="11"/>
        <v>1.12712868052436E-3</v>
      </c>
      <c r="J749" s="33"/>
    </row>
    <row r="750" spans="1:10">
      <c r="A750" s="33" t="s">
        <v>33</v>
      </c>
      <c r="B750" s="34">
        <v>352.39800000000002</v>
      </c>
      <c r="C750" s="35">
        <v>24487</v>
      </c>
      <c r="D750" s="33" t="s">
        <v>33</v>
      </c>
      <c r="E750" s="34">
        <v>352.286</v>
      </c>
      <c r="F750" s="36">
        <v>0.112000000000023</v>
      </c>
      <c r="G750" s="34">
        <v>0.112000000000023</v>
      </c>
      <c r="H750" s="35">
        <v>892.1</v>
      </c>
      <c r="I750" s="37">
        <f t="shared" si="11"/>
        <v>3.6431575938252948E-2</v>
      </c>
      <c r="J750" s="33" t="s">
        <v>116</v>
      </c>
    </row>
    <row r="751" spans="1:10">
      <c r="A751" s="33" t="s">
        <v>33</v>
      </c>
      <c r="B751" s="34">
        <v>352.39800000000002</v>
      </c>
      <c r="C751" s="35">
        <v>24487</v>
      </c>
      <c r="D751" s="33" t="s">
        <v>269</v>
      </c>
      <c r="E751" s="34">
        <v>352.303</v>
      </c>
      <c r="F751" s="36">
        <v>9.5000000000027299E-2</v>
      </c>
      <c r="G751" s="34">
        <v>9.5000000000027299E-2</v>
      </c>
      <c r="H751" s="35">
        <v>285.2</v>
      </c>
      <c r="I751" s="37">
        <f t="shared" si="11"/>
        <v>1.1646996365418385E-2</v>
      </c>
      <c r="J751" s="33"/>
    </row>
    <row r="752" spans="1:10">
      <c r="A752" s="33" t="s">
        <v>33</v>
      </c>
      <c r="B752" s="34">
        <v>352.39800000000002</v>
      </c>
      <c r="C752" s="35">
        <v>24487</v>
      </c>
      <c r="D752" s="33" t="s">
        <v>25</v>
      </c>
      <c r="E752" s="34">
        <v>352.31</v>
      </c>
      <c r="F752" s="36">
        <v>8.8000000000022296E-2</v>
      </c>
      <c r="G752" s="34">
        <v>8.8000000000022296E-2</v>
      </c>
      <c r="H752" s="35">
        <v>154.6</v>
      </c>
      <c r="I752" s="37">
        <f t="shared" si="11"/>
        <v>6.3135541307632621E-3</v>
      </c>
      <c r="J752" s="33" t="s">
        <v>116</v>
      </c>
    </row>
    <row r="753" spans="1:10">
      <c r="A753" s="33" t="s">
        <v>33</v>
      </c>
      <c r="B753" s="34">
        <v>352.39800000000002</v>
      </c>
      <c r="C753" s="35">
        <v>24487</v>
      </c>
      <c r="D753" s="33" t="s">
        <v>193</v>
      </c>
      <c r="E753" s="34">
        <v>352.31599999999997</v>
      </c>
      <c r="F753" s="36">
        <v>8.2000000000050505E-2</v>
      </c>
      <c r="G753" s="34">
        <v>8.2000000000050505E-2</v>
      </c>
      <c r="H753" s="35">
        <v>203.6</v>
      </c>
      <c r="I753" s="37">
        <f t="shared" si="11"/>
        <v>8.314615918650712E-3</v>
      </c>
      <c r="J753" s="33"/>
    </row>
    <row r="754" spans="1:10">
      <c r="A754" s="33" t="s">
        <v>33</v>
      </c>
      <c r="B754" s="34">
        <v>352.39800000000002</v>
      </c>
      <c r="C754" s="35">
        <v>24487</v>
      </c>
      <c r="D754" s="33" t="s">
        <v>54</v>
      </c>
      <c r="E754" s="34">
        <v>352.34300000000002</v>
      </c>
      <c r="F754" s="36">
        <v>5.50000000000068E-2</v>
      </c>
      <c r="G754" s="34">
        <v>5.50000000000068E-2</v>
      </c>
      <c r="H754" s="35">
        <v>1061.5</v>
      </c>
      <c r="I754" s="37">
        <f t="shared" si="11"/>
        <v>4.3349532404949563E-2</v>
      </c>
      <c r="J754" s="33"/>
    </row>
    <row r="755" spans="1:10">
      <c r="A755" s="33" t="s">
        <v>33</v>
      </c>
      <c r="B755" s="34">
        <v>352.39800000000002</v>
      </c>
      <c r="C755" s="35">
        <v>24487</v>
      </c>
      <c r="D755" s="33" t="s">
        <v>165</v>
      </c>
      <c r="E755" s="34">
        <v>352.346</v>
      </c>
      <c r="F755" s="36">
        <v>5.2000000000020898E-2</v>
      </c>
      <c r="G755" s="34">
        <v>5.2000000000020898E-2</v>
      </c>
      <c r="H755" s="35">
        <v>35.6</v>
      </c>
      <c r="I755" s="37">
        <f t="shared" si="11"/>
        <v>1.4538326458937395E-3</v>
      </c>
      <c r="J755" s="33"/>
    </row>
    <row r="756" spans="1:10">
      <c r="A756" s="33" t="s">
        <v>33</v>
      </c>
      <c r="B756" s="34">
        <v>352.39800000000002</v>
      </c>
      <c r="C756" s="35">
        <v>24487</v>
      </c>
      <c r="D756" s="33" t="s">
        <v>277</v>
      </c>
      <c r="E756" s="34">
        <v>352.35700000000003</v>
      </c>
      <c r="F756" s="36">
        <v>4.0999999999996803E-2</v>
      </c>
      <c r="G756" s="34">
        <v>4.0999999999996803E-2</v>
      </c>
      <c r="H756" s="35">
        <v>318.39999999999998</v>
      </c>
      <c r="I756" s="37">
        <f t="shared" si="11"/>
        <v>1.3002817821701309E-2</v>
      </c>
      <c r="J756" s="33"/>
    </row>
    <row r="757" spans="1:10">
      <c r="A757" s="33" t="s">
        <v>33</v>
      </c>
      <c r="B757" s="34">
        <v>352.39800000000002</v>
      </c>
      <c r="C757" s="35">
        <v>24487</v>
      </c>
      <c r="D757" s="33" t="s">
        <v>284</v>
      </c>
      <c r="E757" s="34">
        <v>352.363</v>
      </c>
      <c r="F757" s="36">
        <v>3.5000000000024997E-2</v>
      </c>
      <c r="G757" s="34">
        <v>3.5000000000024997E-2</v>
      </c>
      <c r="H757" s="35">
        <v>3.5</v>
      </c>
      <c r="I757" s="37">
        <f t="shared" si="11"/>
        <v>1.429329848491036E-4</v>
      </c>
      <c r="J757" s="33"/>
    </row>
    <row r="758" spans="1:10">
      <c r="A758" s="33" t="s">
        <v>33</v>
      </c>
      <c r="B758" s="34">
        <v>352.39800000000002</v>
      </c>
      <c r="C758" s="35">
        <v>24487</v>
      </c>
      <c r="D758" s="33" t="s">
        <v>201</v>
      </c>
      <c r="E758" s="34">
        <v>352.36599999999999</v>
      </c>
      <c r="F758" s="36">
        <v>3.2000000000039101E-2</v>
      </c>
      <c r="G758" s="34">
        <v>3.2000000000039101E-2</v>
      </c>
      <c r="H758" s="35">
        <v>8377.2999999999993</v>
      </c>
      <c r="I758" s="37">
        <f t="shared" si="11"/>
        <v>0.34211214113611299</v>
      </c>
      <c r="J758" s="33"/>
    </row>
    <row r="759" spans="1:10">
      <c r="A759" s="33" t="s">
        <v>33</v>
      </c>
      <c r="B759" s="34">
        <v>352.39800000000002</v>
      </c>
      <c r="C759" s="35">
        <v>24487</v>
      </c>
      <c r="D759" s="33" t="s">
        <v>25</v>
      </c>
      <c r="E759" s="34">
        <v>352.40699999999998</v>
      </c>
      <c r="F759" s="36">
        <v>8.9999999999577102E-3</v>
      </c>
      <c r="G759" s="34">
        <v>8.9999999999577102E-3</v>
      </c>
      <c r="H759" s="35">
        <v>409.5</v>
      </c>
      <c r="I759" s="37">
        <f t="shared" si="11"/>
        <v>1.6723159227345123E-2</v>
      </c>
      <c r="J759" s="33" t="s">
        <v>116</v>
      </c>
    </row>
    <row r="760" spans="1:10">
      <c r="A760" s="33" t="s">
        <v>33</v>
      </c>
      <c r="B760" s="34">
        <v>352.39800000000002</v>
      </c>
      <c r="C760" s="35">
        <v>24487</v>
      </c>
      <c r="D760" s="33" t="s">
        <v>36</v>
      </c>
      <c r="E760" s="34">
        <v>352.41899999999998</v>
      </c>
      <c r="F760" s="36">
        <v>2.1000000000000001E-2</v>
      </c>
      <c r="G760" s="34">
        <v>2.1000000000000001E-2</v>
      </c>
      <c r="H760" s="35">
        <v>5198.6000000000004</v>
      </c>
      <c r="I760" s="37">
        <f t="shared" si="11"/>
        <v>0.21230040429615715</v>
      </c>
      <c r="J760" s="33" t="s">
        <v>116</v>
      </c>
    </row>
    <row r="761" spans="1:10">
      <c r="A761" s="33" t="s">
        <v>33</v>
      </c>
      <c r="B761" s="34">
        <v>352.39800000000002</v>
      </c>
      <c r="C761" s="35">
        <v>24487</v>
      </c>
      <c r="D761" s="33" t="s">
        <v>275</v>
      </c>
      <c r="E761" s="34">
        <v>352.42200000000003</v>
      </c>
      <c r="F761" s="36">
        <v>2.4000000000000899E-2</v>
      </c>
      <c r="G761" s="34">
        <v>2.4000000000000899E-2</v>
      </c>
      <c r="H761" s="35">
        <v>16.399999999999999</v>
      </c>
      <c r="I761" s="37">
        <f t="shared" si="11"/>
        <v>6.6974312900722828E-4</v>
      </c>
      <c r="J761" s="33"/>
    </row>
    <row r="762" spans="1:10">
      <c r="A762" s="33" t="s">
        <v>33</v>
      </c>
      <c r="B762" s="34">
        <v>352.39800000000002</v>
      </c>
      <c r="C762" s="35">
        <v>24487</v>
      </c>
      <c r="D762" s="33" t="s">
        <v>286</v>
      </c>
      <c r="E762" s="34">
        <v>352.423</v>
      </c>
      <c r="F762" s="36">
        <v>2.4999999999977301E-2</v>
      </c>
      <c r="G762" s="34">
        <v>2.4999999999977301E-2</v>
      </c>
      <c r="H762" s="35">
        <v>26.8</v>
      </c>
      <c r="I762" s="37">
        <f t="shared" si="11"/>
        <v>1.0944582839874219E-3</v>
      </c>
      <c r="J762" s="33"/>
    </row>
    <row r="763" spans="1:10">
      <c r="A763" s="33" t="s">
        <v>33</v>
      </c>
      <c r="B763" s="34">
        <v>352.39800000000002</v>
      </c>
      <c r="C763" s="35">
        <v>24487</v>
      </c>
      <c r="D763" s="33" t="s">
        <v>97</v>
      </c>
      <c r="E763" s="34">
        <v>352.42399999999998</v>
      </c>
      <c r="F763" s="36">
        <v>2.5999999999953598E-2</v>
      </c>
      <c r="G763" s="34">
        <v>2.5999999999953598E-2</v>
      </c>
      <c r="H763" s="35">
        <v>12.6</v>
      </c>
      <c r="I763" s="37">
        <f t="shared" si="11"/>
        <v>5.1455874545677295E-4</v>
      </c>
      <c r="J763" s="33"/>
    </row>
    <row r="764" spans="1:10">
      <c r="A764" s="33" t="s">
        <v>33</v>
      </c>
      <c r="B764" s="34">
        <v>352.39800000000002</v>
      </c>
      <c r="C764" s="35">
        <v>24487</v>
      </c>
      <c r="D764" s="33" t="s">
        <v>165</v>
      </c>
      <c r="E764" s="34">
        <v>352.45299999999997</v>
      </c>
      <c r="F764" s="36">
        <v>5.4999999999949999E-2</v>
      </c>
      <c r="G764" s="34">
        <v>5.4999999999949999E-2</v>
      </c>
      <c r="H764" s="35">
        <v>12938</v>
      </c>
      <c r="I764" s="37">
        <f t="shared" si="11"/>
        <v>0.52836198799362932</v>
      </c>
      <c r="J764" s="33"/>
    </row>
    <row r="765" spans="1:10">
      <c r="A765" s="33" t="s">
        <v>33</v>
      </c>
      <c r="B765" s="34">
        <v>352.39800000000002</v>
      </c>
      <c r="C765" s="35">
        <v>24487</v>
      </c>
      <c r="D765" s="33" t="s">
        <v>33</v>
      </c>
      <c r="E765" s="34">
        <v>352.46300000000002</v>
      </c>
      <c r="F765" s="36">
        <v>6.4999999999997699E-2</v>
      </c>
      <c r="G765" s="34">
        <v>6.4999999999997699E-2</v>
      </c>
      <c r="H765" s="35">
        <v>788.4</v>
      </c>
      <c r="I765" s="37">
        <f t="shared" si="11"/>
        <v>3.2196675787152365E-2</v>
      </c>
      <c r="J765" s="33" t="s">
        <v>116</v>
      </c>
    </row>
    <row r="766" spans="1:10">
      <c r="A766" s="33" t="s">
        <v>33</v>
      </c>
      <c r="B766" s="34">
        <v>352.39800000000002</v>
      </c>
      <c r="C766" s="35">
        <v>24487</v>
      </c>
      <c r="D766" s="33" t="s">
        <v>275</v>
      </c>
      <c r="E766" s="34">
        <v>352.46499999999997</v>
      </c>
      <c r="F766" s="36">
        <v>6.6999999999950405E-2</v>
      </c>
      <c r="G766" s="34">
        <v>6.6999999999950405E-2</v>
      </c>
      <c r="H766" s="35">
        <v>433.9</v>
      </c>
      <c r="I766" s="37">
        <f t="shared" si="11"/>
        <v>1.7719606321721728E-2</v>
      </c>
      <c r="J766" s="33"/>
    </row>
    <row r="767" spans="1:10">
      <c r="A767" s="33" t="s">
        <v>33</v>
      </c>
      <c r="B767" s="34">
        <v>352.39800000000002</v>
      </c>
      <c r="C767" s="35">
        <v>24487</v>
      </c>
      <c r="D767" s="33" t="s">
        <v>278</v>
      </c>
      <c r="E767" s="34">
        <v>352.471</v>
      </c>
      <c r="F767" s="36">
        <v>7.2999999999979095E-2</v>
      </c>
      <c r="G767" s="34">
        <v>7.2999999999979095E-2</v>
      </c>
      <c r="H767" s="35">
        <v>1335.4</v>
      </c>
      <c r="I767" s="37">
        <f t="shared" si="11"/>
        <v>5.4535059419283702E-2</v>
      </c>
      <c r="J767" s="33"/>
    </row>
    <row r="768" spans="1:10">
      <c r="A768" s="33" t="s">
        <v>33</v>
      </c>
      <c r="B768" s="34">
        <v>352.39800000000002</v>
      </c>
      <c r="C768" s="35">
        <v>24487</v>
      </c>
      <c r="D768" s="33" t="s">
        <v>84</v>
      </c>
      <c r="E768" s="34">
        <v>352.49099999999999</v>
      </c>
      <c r="F768" s="36">
        <v>9.2999999999999999E-2</v>
      </c>
      <c r="G768" s="34">
        <v>9.2999999999999999E-2</v>
      </c>
      <c r="H768" s="35">
        <v>4983</v>
      </c>
      <c r="I768" s="37">
        <f t="shared" si="11"/>
        <v>0.20349573242945238</v>
      </c>
      <c r="J768" s="33" t="s">
        <v>116</v>
      </c>
    </row>
    <row r="769" spans="1:10">
      <c r="A769" s="33" t="s">
        <v>33</v>
      </c>
      <c r="B769" s="34">
        <v>352.39800000000002</v>
      </c>
      <c r="C769" s="35">
        <v>24487</v>
      </c>
      <c r="D769" s="33" t="s">
        <v>33</v>
      </c>
      <c r="E769" s="34">
        <v>352.49299999999999</v>
      </c>
      <c r="F769" s="36">
        <v>9.49999999999704E-2</v>
      </c>
      <c r="G769" s="34">
        <v>9.49999999999704E-2</v>
      </c>
      <c r="H769" s="35">
        <v>4.2</v>
      </c>
      <c r="I769" s="37">
        <f t="shared" si="11"/>
        <v>1.7151958181892433E-4</v>
      </c>
      <c r="J769" s="33" t="s">
        <v>116</v>
      </c>
    </row>
    <row r="770" spans="1:10">
      <c r="A770" s="33" t="s">
        <v>33</v>
      </c>
      <c r="B770" s="34">
        <v>352.39800000000002</v>
      </c>
      <c r="C770" s="35">
        <v>24487</v>
      </c>
      <c r="D770" s="33" t="s">
        <v>288</v>
      </c>
      <c r="E770" s="34">
        <v>352.49700000000001</v>
      </c>
      <c r="F770" s="36">
        <v>9.8999999999989499E-2</v>
      </c>
      <c r="G770" s="34">
        <v>9.8999999999989499E-2</v>
      </c>
      <c r="H770" s="35">
        <v>12.7</v>
      </c>
      <c r="I770" s="37">
        <f t="shared" ref="I770:I833" si="12">H770/C770</f>
        <v>5.1864254502389021E-4</v>
      </c>
      <c r="J770" s="33"/>
    </row>
    <row r="771" spans="1:10">
      <c r="A771" s="33" t="s">
        <v>33</v>
      </c>
      <c r="B771" s="34">
        <v>352.39800000000002</v>
      </c>
      <c r="C771" s="35">
        <v>24487</v>
      </c>
      <c r="D771" s="33" t="s">
        <v>275</v>
      </c>
      <c r="E771" s="34">
        <v>352.49799999999999</v>
      </c>
      <c r="F771" s="36">
        <v>9.9999999999965894E-2</v>
      </c>
      <c r="G771" s="34">
        <v>9.9999999999965894E-2</v>
      </c>
      <c r="H771" s="35">
        <v>46.9</v>
      </c>
      <c r="I771" s="37">
        <f t="shared" si="12"/>
        <v>1.9153019969779883E-3</v>
      </c>
      <c r="J771" s="33"/>
    </row>
    <row r="772" spans="1:10">
      <c r="A772" s="33" t="s">
        <v>33</v>
      </c>
      <c r="B772" s="34">
        <v>352.39800000000002</v>
      </c>
      <c r="C772" s="35">
        <v>24487</v>
      </c>
      <c r="D772" s="33" t="s">
        <v>54</v>
      </c>
      <c r="E772" s="34">
        <v>352.5</v>
      </c>
      <c r="F772" s="36">
        <v>0.101999999999975</v>
      </c>
      <c r="G772" s="34">
        <v>0.101999999999975</v>
      </c>
      <c r="H772" s="35">
        <v>0.3</v>
      </c>
      <c r="I772" s="37">
        <f t="shared" si="12"/>
        <v>1.2251398701351738E-5</v>
      </c>
      <c r="J772" s="33"/>
    </row>
    <row r="773" spans="1:10">
      <c r="A773" s="33" t="s">
        <v>33</v>
      </c>
      <c r="B773" s="34">
        <v>352.39800000000002</v>
      </c>
      <c r="C773" s="35">
        <v>24487</v>
      </c>
      <c r="D773" s="33" t="s">
        <v>201</v>
      </c>
      <c r="E773" s="34">
        <v>352.51400000000001</v>
      </c>
      <c r="F773" s="36">
        <v>0.115999999999985</v>
      </c>
      <c r="G773" s="34">
        <v>0.115999999999985</v>
      </c>
      <c r="H773" s="35">
        <v>2436.1</v>
      </c>
      <c r="I773" s="37">
        <f t="shared" si="12"/>
        <v>9.9485441254543228E-2</v>
      </c>
      <c r="J773" s="33"/>
    </row>
    <row r="774" spans="1:10">
      <c r="A774" s="33" t="s">
        <v>33</v>
      </c>
      <c r="B774" s="34">
        <v>352.39800000000002</v>
      </c>
      <c r="C774" s="35">
        <v>24487</v>
      </c>
      <c r="D774" s="33" t="s">
        <v>277</v>
      </c>
      <c r="E774" s="34">
        <v>352.51400000000001</v>
      </c>
      <c r="F774" s="36">
        <v>0.115999999999985</v>
      </c>
      <c r="G774" s="34">
        <v>0.115999999999985</v>
      </c>
      <c r="H774" s="35">
        <v>215.1</v>
      </c>
      <c r="I774" s="37">
        <f t="shared" si="12"/>
        <v>8.7842528688691964E-3</v>
      </c>
      <c r="J774" s="33"/>
    </row>
    <row r="775" spans="1:10">
      <c r="A775" s="33" t="s">
        <v>33</v>
      </c>
      <c r="B775" s="34">
        <v>352.39800000000002</v>
      </c>
      <c r="C775" s="35">
        <v>24487</v>
      </c>
      <c r="D775" s="33" t="s">
        <v>36</v>
      </c>
      <c r="E775" s="34">
        <v>352.51499999999999</v>
      </c>
      <c r="F775" s="36">
        <v>0.11700000000000001</v>
      </c>
      <c r="G775" s="34">
        <v>0.11700000000000001</v>
      </c>
      <c r="H775" s="35">
        <v>20.8</v>
      </c>
      <c r="I775" s="37">
        <f t="shared" si="12"/>
        <v>8.4943030996038719E-4</v>
      </c>
      <c r="J775" s="33" t="s">
        <v>116</v>
      </c>
    </row>
    <row r="776" spans="1:10">
      <c r="A776" s="33" t="s">
        <v>33</v>
      </c>
      <c r="B776" s="34">
        <v>352.39800000000002</v>
      </c>
      <c r="C776" s="35">
        <v>24487</v>
      </c>
      <c r="D776" s="33" t="s">
        <v>273</v>
      </c>
      <c r="E776" s="34">
        <v>352.52100000000002</v>
      </c>
      <c r="F776" s="36">
        <v>0.12299999999999101</v>
      </c>
      <c r="G776" s="34">
        <v>0.12299999999999101</v>
      </c>
      <c r="H776" s="35">
        <v>23.1</v>
      </c>
      <c r="I776" s="37">
        <f t="shared" si="12"/>
        <v>9.4335770000408381E-4</v>
      </c>
      <c r="J776" s="33"/>
    </row>
    <row r="777" spans="1:10">
      <c r="A777" s="33" t="s">
        <v>33</v>
      </c>
      <c r="B777" s="34">
        <v>352.39800000000002</v>
      </c>
      <c r="C777" s="35">
        <v>24487</v>
      </c>
      <c r="D777" s="33" t="s">
        <v>116</v>
      </c>
      <c r="E777" s="34">
        <v>352.52199999999999</v>
      </c>
      <c r="F777" s="36">
        <v>0.124</v>
      </c>
      <c r="G777" s="34">
        <v>0.124</v>
      </c>
      <c r="H777" s="35">
        <v>61.77</v>
      </c>
      <c r="I777" s="37">
        <f t="shared" si="12"/>
        <v>2.5225629926083231E-3</v>
      </c>
      <c r="J777" s="33" t="s">
        <v>116</v>
      </c>
    </row>
    <row r="778" spans="1:10">
      <c r="A778" s="33" t="s">
        <v>33</v>
      </c>
      <c r="B778" s="34">
        <v>353.17099999999999</v>
      </c>
      <c r="C778" s="35">
        <v>87732</v>
      </c>
      <c r="D778" s="33" t="s">
        <v>25</v>
      </c>
      <c r="E778" s="34">
        <v>353.00200000000001</v>
      </c>
      <c r="F778" s="36">
        <v>0.168999999999983</v>
      </c>
      <c r="G778" s="34">
        <v>0.168999999999983</v>
      </c>
      <c r="H778" s="35">
        <v>51.7</v>
      </c>
      <c r="I778" s="37">
        <f t="shared" si="12"/>
        <v>5.8929467013176494E-4</v>
      </c>
      <c r="J778" s="33" t="s">
        <v>116</v>
      </c>
    </row>
    <row r="779" spans="1:10">
      <c r="A779" s="33" t="s">
        <v>33</v>
      </c>
      <c r="B779" s="34">
        <v>353.17099999999999</v>
      </c>
      <c r="C779" s="35">
        <v>87732</v>
      </c>
      <c r="D779" s="33" t="s">
        <v>284</v>
      </c>
      <c r="E779" s="34">
        <v>353.00599999999997</v>
      </c>
      <c r="F779" s="36">
        <v>0.16500000000002099</v>
      </c>
      <c r="G779" s="34">
        <v>0.16500000000002099</v>
      </c>
      <c r="H779" s="35">
        <v>1.3</v>
      </c>
      <c r="I779" s="37">
        <f t="shared" si="12"/>
        <v>1.4817854374686546E-5</v>
      </c>
      <c r="J779" s="33"/>
    </row>
    <row r="780" spans="1:10">
      <c r="A780" s="33" t="s">
        <v>33</v>
      </c>
      <c r="B780" s="34">
        <v>353.17099999999999</v>
      </c>
      <c r="C780" s="35">
        <v>87732</v>
      </c>
      <c r="D780" s="33" t="s">
        <v>286</v>
      </c>
      <c r="E780" s="34">
        <v>353.03800000000001</v>
      </c>
      <c r="F780" s="36">
        <v>0.13299999999998099</v>
      </c>
      <c r="G780" s="34">
        <v>0.13299999999998099</v>
      </c>
      <c r="H780" s="35">
        <v>17.399999999999999</v>
      </c>
      <c r="I780" s="37">
        <f t="shared" si="12"/>
        <v>1.9833128163041991E-4</v>
      </c>
      <c r="J780" s="33"/>
    </row>
    <row r="781" spans="1:10">
      <c r="A781" s="33" t="s">
        <v>33</v>
      </c>
      <c r="B781" s="34">
        <v>353.17099999999999</v>
      </c>
      <c r="C781" s="35">
        <v>87732</v>
      </c>
      <c r="D781" s="33" t="s">
        <v>165</v>
      </c>
      <c r="E781" s="34">
        <v>353.05900000000003</v>
      </c>
      <c r="F781" s="36">
        <v>0.111999999999966</v>
      </c>
      <c r="G781" s="34">
        <v>0.111999999999966</v>
      </c>
      <c r="H781" s="35">
        <v>20.5</v>
      </c>
      <c r="I781" s="37">
        <f t="shared" si="12"/>
        <v>2.3366616513928782E-4</v>
      </c>
      <c r="J781" s="33"/>
    </row>
    <row r="782" spans="1:10">
      <c r="A782" s="33" t="s">
        <v>33</v>
      </c>
      <c r="B782" s="34">
        <v>353.17099999999999</v>
      </c>
      <c r="C782" s="35">
        <v>87732</v>
      </c>
      <c r="D782" s="33" t="s">
        <v>270</v>
      </c>
      <c r="E782" s="34">
        <v>353.06</v>
      </c>
      <c r="F782" s="36">
        <v>0.11099999999999</v>
      </c>
      <c r="G782" s="34">
        <v>0.11099999999999</v>
      </c>
      <c r="H782" s="35">
        <v>743.1</v>
      </c>
      <c r="I782" s="37">
        <f t="shared" si="12"/>
        <v>8.4701135275612096E-3</v>
      </c>
      <c r="J782" s="33"/>
    </row>
    <row r="783" spans="1:10">
      <c r="A783" s="33" t="s">
        <v>33</v>
      </c>
      <c r="B783" s="34">
        <v>353.17099999999999</v>
      </c>
      <c r="C783" s="35">
        <v>87732</v>
      </c>
      <c r="D783" s="33" t="s">
        <v>25</v>
      </c>
      <c r="E783" s="34">
        <v>353.06299999999999</v>
      </c>
      <c r="F783" s="36">
        <v>0.108000000000004</v>
      </c>
      <c r="G783" s="34">
        <v>0.108000000000004</v>
      </c>
      <c r="H783" s="35">
        <v>164</v>
      </c>
      <c r="I783" s="37">
        <f t="shared" si="12"/>
        <v>1.8693293211143026E-3</v>
      </c>
      <c r="J783" s="33" t="s">
        <v>116</v>
      </c>
    </row>
    <row r="784" spans="1:10">
      <c r="A784" s="33" t="s">
        <v>33</v>
      </c>
      <c r="B784" s="34">
        <v>353.17099999999999</v>
      </c>
      <c r="C784" s="35">
        <v>87732</v>
      </c>
      <c r="D784" s="33" t="s">
        <v>278</v>
      </c>
      <c r="E784" s="34">
        <v>353.07600000000002</v>
      </c>
      <c r="F784" s="36">
        <v>9.49999999999704E-2</v>
      </c>
      <c r="G784" s="34">
        <v>9.49999999999704E-2</v>
      </c>
      <c r="H784" s="35">
        <v>3748.3</v>
      </c>
      <c r="I784" s="37">
        <f t="shared" si="12"/>
        <v>4.2724433502028911E-2</v>
      </c>
      <c r="J784" s="33"/>
    </row>
    <row r="785" spans="1:10">
      <c r="A785" s="33" t="s">
        <v>33</v>
      </c>
      <c r="B785" s="34">
        <v>353.17099999999999</v>
      </c>
      <c r="C785" s="35">
        <v>87732</v>
      </c>
      <c r="D785" s="33" t="s">
        <v>236</v>
      </c>
      <c r="E785" s="34">
        <v>353.08600000000001</v>
      </c>
      <c r="F785" s="36">
        <v>8.4999999999979495E-2</v>
      </c>
      <c r="G785" s="34">
        <v>8.4999999999979495E-2</v>
      </c>
      <c r="H785" s="35">
        <v>764.4</v>
      </c>
      <c r="I785" s="37">
        <f t="shared" si="12"/>
        <v>8.7128983723156889E-3</v>
      </c>
      <c r="J785" s="33"/>
    </row>
    <row r="786" spans="1:10">
      <c r="A786" s="33" t="s">
        <v>33</v>
      </c>
      <c r="B786" s="34">
        <v>353.17099999999999</v>
      </c>
      <c r="C786" s="35">
        <v>87732</v>
      </c>
      <c r="D786" s="33" t="s">
        <v>269</v>
      </c>
      <c r="E786" s="34">
        <v>353.08699999999999</v>
      </c>
      <c r="F786" s="36">
        <v>8.4000000000003197E-2</v>
      </c>
      <c r="G786" s="34">
        <v>8.4000000000003197E-2</v>
      </c>
      <c r="H786" s="35">
        <v>10.3</v>
      </c>
      <c r="I786" s="37">
        <f t="shared" si="12"/>
        <v>1.1740300004559341E-4</v>
      </c>
      <c r="J786" s="33"/>
    </row>
    <row r="787" spans="1:10">
      <c r="A787" s="33" t="s">
        <v>33</v>
      </c>
      <c r="B787" s="34">
        <v>353.17099999999999</v>
      </c>
      <c r="C787" s="35">
        <v>87732</v>
      </c>
      <c r="D787" s="33" t="s">
        <v>25</v>
      </c>
      <c r="E787" s="34">
        <v>353.09500000000003</v>
      </c>
      <c r="F787" s="36">
        <v>7.5999999999964998E-2</v>
      </c>
      <c r="G787" s="34">
        <v>7.5999999999964998E-2</v>
      </c>
      <c r="H787" s="35">
        <v>251.7</v>
      </c>
      <c r="I787" s="37">
        <f t="shared" si="12"/>
        <v>2.8689645739296949E-3</v>
      </c>
      <c r="J787" s="33" t="s">
        <v>116</v>
      </c>
    </row>
    <row r="788" spans="1:10">
      <c r="A788" s="33" t="s">
        <v>33</v>
      </c>
      <c r="B788" s="34">
        <v>353.17099999999999</v>
      </c>
      <c r="C788" s="35">
        <v>87732</v>
      </c>
      <c r="D788" s="33" t="s">
        <v>277</v>
      </c>
      <c r="E788" s="34">
        <v>353.11099999999999</v>
      </c>
      <c r="F788" s="36">
        <v>6.0000000000002301E-2</v>
      </c>
      <c r="G788" s="34">
        <v>6.0000000000002301E-2</v>
      </c>
      <c r="H788" s="35">
        <v>436</v>
      </c>
      <c r="I788" s="37">
        <f t="shared" si="12"/>
        <v>4.9696803902794873E-3</v>
      </c>
      <c r="J788" s="33"/>
    </row>
    <row r="789" spans="1:10">
      <c r="A789" s="33" t="s">
        <v>33</v>
      </c>
      <c r="B789" s="34">
        <v>353.17099999999999</v>
      </c>
      <c r="C789" s="35">
        <v>87732</v>
      </c>
      <c r="D789" s="33" t="s">
        <v>280</v>
      </c>
      <c r="E789" s="34">
        <v>353.113</v>
      </c>
      <c r="F789" s="36">
        <v>5.7999999999992703E-2</v>
      </c>
      <c r="G789" s="34">
        <v>5.7999999999992703E-2</v>
      </c>
      <c r="H789" s="35">
        <v>710.3</v>
      </c>
      <c r="I789" s="37">
        <f t="shared" si="12"/>
        <v>8.0962476633383487E-3</v>
      </c>
      <c r="J789" s="33"/>
    </row>
    <row r="790" spans="1:10">
      <c r="A790" s="33" t="s">
        <v>33</v>
      </c>
      <c r="B790" s="34">
        <v>353.17099999999999</v>
      </c>
      <c r="C790" s="35">
        <v>87732</v>
      </c>
      <c r="D790" s="33" t="s">
        <v>269</v>
      </c>
      <c r="E790" s="34">
        <v>353.12299999999999</v>
      </c>
      <c r="F790" s="36">
        <v>4.8000000000001798E-2</v>
      </c>
      <c r="G790" s="34">
        <v>4.8000000000001798E-2</v>
      </c>
      <c r="H790" s="35">
        <v>11.2</v>
      </c>
      <c r="I790" s="37">
        <f t="shared" si="12"/>
        <v>1.2766151461268409E-4</v>
      </c>
      <c r="J790" s="33"/>
    </row>
    <row r="791" spans="1:10">
      <c r="A791" s="33" t="s">
        <v>33</v>
      </c>
      <c r="B791" s="34">
        <v>353.17099999999999</v>
      </c>
      <c r="C791" s="35">
        <v>87732</v>
      </c>
      <c r="D791" s="33" t="s">
        <v>275</v>
      </c>
      <c r="E791" s="34">
        <v>353.12900000000002</v>
      </c>
      <c r="F791" s="36">
        <v>4.1999999999973198E-2</v>
      </c>
      <c r="G791" s="34">
        <v>4.1999999999973198E-2</v>
      </c>
      <c r="H791" s="35">
        <v>6.9</v>
      </c>
      <c r="I791" s="37">
        <f t="shared" si="12"/>
        <v>7.8648611681028592E-5</v>
      </c>
      <c r="J791" s="33"/>
    </row>
    <row r="792" spans="1:10">
      <c r="A792" s="33" t="s">
        <v>33</v>
      </c>
      <c r="B792" s="34">
        <v>353.17099999999999</v>
      </c>
      <c r="C792" s="35">
        <v>87732</v>
      </c>
      <c r="D792" s="33" t="s">
        <v>268</v>
      </c>
      <c r="E792" s="34">
        <v>353.13900000000001</v>
      </c>
      <c r="F792" s="36">
        <v>3.19999999999823E-2</v>
      </c>
      <c r="G792" s="34">
        <v>3.19999999999823E-2</v>
      </c>
      <c r="H792" s="35">
        <v>20.100000000000001</v>
      </c>
      <c r="I792" s="37">
        <f t="shared" si="12"/>
        <v>2.2910682533169198E-4</v>
      </c>
      <c r="J792" s="33"/>
    </row>
    <row r="793" spans="1:10">
      <c r="A793" s="33" t="s">
        <v>33</v>
      </c>
      <c r="B793" s="34">
        <v>353.17099999999999</v>
      </c>
      <c r="C793" s="35">
        <v>87732</v>
      </c>
      <c r="D793" s="33" t="s">
        <v>54</v>
      </c>
      <c r="E793" s="34">
        <v>353.14</v>
      </c>
      <c r="F793" s="36">
        <v>3.1000000000005901E-2</v>
      </c>
      <c r="G793" s="34">
        <v>3.1000000000005901E-2</v>
      </c>
      <c r="H793" s="35">
        <v>11</v>
      </c>
      <c r="I793" s="37">
        <f t="shared" si="12"/>
        <v>1.2538184470888616E-4</v>
      </c>
      <c r="J793" s="33"/>
    </row>
    <row r="794" spans="1:10">
      <c r="A794" s="33" t="s">
        <v>33</v>
      </c>
      <c r="B794" s="34">
        <v>353.17099999999999</v>
      </c>
      <c r="C794" s="35">
        <v>87732</v>
      </c>
      <c r="D794" s="33" t="s">
        <v>278</v>
      </c>
      <c r="E794" s="34">
        <v>353.149</v>
      </c>
      <c r="F794" s="36">
        <v>2.1999999999991401E-2</v>
      </c>
      <c r="G794" s="34">
        <v>2.1999999999991401E-2</v>
      </c>
      <c r="H794" s="35">
        <v>66.2</v>
      </c>
      <c r="I794" s="37">
        <f t="shared" si="12"/>
        <v>7.5457073815711484E-4</v>
      </c>
      <c r="J794" s="33"/>
    </row>
    <row r="795" spans="1:10">
      <c r="A795" s="33" t="s">
        <v>33</v>
      </c>
      <c r="B795" s="34">
        <v>353.17099999999999</v>
      </c>
      <c r="C795" s="35">
        <v>87732</v>
      </c>
      <c r="D795" s="33" t="s">
        <v>239</v>
      </c>
      <c r="E795" s="34">
        <v>353.15499999999997</v>
      </c>
      <c r="F795" s="36">
        <v>1.6000000000019599E-2</v>
      </c>
      <c r="G795" s="34">
        <v>1.6000000000019599E-2</v>
      </c>
      <c r="H795" s="35">
        <v>17</v>
      </c>
      <c r="I795" s="37">
        <f t="shared" si="12"/>
        <v>1.9377194182282405E-4</v>
      </c>
      <c r="J795" s="33"/>
    </row>
    <row r="796" spans="1:10">
      <c r="A796" s="33" t="s">
        <v>33</v>
      </c>
      <c r="B796" s="34">
        <v>353.17099999999999</v>
      </c>
      <c r="C796" s="35">
        <v>87732</v>
      </c>
      <c r="D796" s="33" t="s">
        <v>193</v>
      </c>
      <c r="E796" s="34">
        <v>353.15800000000002</v>
      </c>
      <c r="F796" s="36">
        <v>1.2999999999976799E-2</v>
      </c>
      <c r="G796" s="34">
        <v>1.2999999999976799E-2</v>
      </c>
      <c r="H796" s="35">
        <v>21.1</v>
      </c>
      <c r="I796" s="37">
        <f t="shared" si="12"/>
        <v>2.4050517485068164E-4</v>
      </c>
      <c r="J796" s="33"/>
    </row>
    <row r="797" spans="1:10">
      <c r="A797" s="33" t="s">
        <v>33</v>
      </c>
      <c r="B797" s="34">
        <v>353.17099999999999</v>
      </c>
      <c r="C797" s="35">
        <v>87732</v>
      </c>
      <c r="D797" s="33" t="s">
        <v>25</v>
      </c>
      <c r="E797" s="34">
        <v>353.15899999999999</v>
      </c>
      <c r="F797" s="36">
        <v>1.20000000000005E-2</v>
      </c>
      <c r="G797" s="34">
        <v>1.20000000000005E-2</v>
      </c>
      <c r="H797" s="35">
        <v>204.1</v>
      </c>
      <c r="I797" s="37">
        <f t="shared" si="12"/>
        <v>2.3264031368257876E-3</v>
      </c>
      <c r="J797" s="33" t="s">
        <v>116</v>
      </c>
    </row>
    <row r="798" spans="1:10">
      <c r="A798" s="33" t="s">
        <v>33</v>
      </c>
      <c r="B798" s="34">
        <v>353.17099999999999</v>
      </c>
      <c r="C798" s="35">
        <v>87732</v>
      </c>
      <c r="D798" s="33" t="s">
        <v>271</v>
      </c>
      <c r="E798" s="34">
        <v>353.19299999999998</v>
      </c>
      <c r="F798" s="36">
        <v>2.1999999999991401E-2</v>
      </c>
      <c r="G798" s="34">
        <v>2.1999999999991401E-2</v>
      </c>
      <c r="H798" s="35">
        <v>275.3</v>
      </c>
      <c r="I798" s="37">
        <f t="shared" si="12"/>
        <v>3.1379656225778508E-3</v>
      </c>
      <c r="J798" s="33"/>
    </row>
    <row r="799" spans="1:10">
      <c r="A799" s="33" t="s">
        <v>33</v>
      </c>
      <c r="B799" s="34">
        <v>353.17099999999999</v>
      </c>
      <c r="C799" s="35">
        <v>87732</v>
      </c>
      <c r="D799" s="33" t="s">
        <v>240</v>
      </c>
      <c r="E799" s="34">
        <v>353.21100000000001</v>
      </c>
      <c r="F799" s="36">
        <v>4.0000000000020498E-2</v>
      </c>
      <c r="G799" s="34">
        <v>4.0000000000020498E-2</v>
      </c>
      <c r="H799" s="35">
        <v>701.1</v>
      </c>
      <c r="I799" s="37">
        <f t="shared" si="12"/>
        <v>7.991382847763644E-3</v>
      </c>
      <c r="J799" s="33"/>
    </row>
    <row r="800" spans="1:10">
      <c r="A800" s="33" t="s">
        <v>33</v>
      </c>
      <c r="B800" s="34">
        <v>353.17099999999999</v>
      </c>
      <c r="C800" s="35">
        <v>87732</v>
      </c>
      <c r="D800" s="33" t="s">
        <v>280</v>
      </c>
      <c r="E800" s="34">
        <v>353.22300000000001</v>
      </c>
      <c r="F800" s="36">
        <v>5.2000000000020898E-2</v>
      </c>
      <c r="G800" s="34">
        <v>5.2000000000020898E-2</v>
      </c>
      <c r="H800" s="35">
        <v>148.9</v>
      </c>
      <c r="I800" s="37">
        <f t="shared" si="12"/>
        <v>1.697214243377559E-3</v>
      </c>
      <c r="J800" s="33"/>
    </row>
    <row r="801" spans="1:10">
      <c r="A801" s="33" t="s">
        <v>33</v>
      </c>
      <c r="B801" s="34">
        <v>353.17099999999999</v>
      </c>
      <c r="C801" s="35">
        <v>87732</v>
      </c>
      <c r="D801" s="33" t="s">
        <v>278</v>
      </c>
      <c r="E801" s="34">
        <v>353.22800000000001</v>
      </c>
      <c r="F801" s="36">
        <v>5.7000000000016399E-2</v>
      </c>
      <c r="G801" s="34">
        <v>5.7000000000016399E-2</v>
      </c>
      <c r="H801" s="35">
        <v>32.9</v>
      </c>
      <c r="I801" s="37">
        <f t="shared" si="12"/>
        <v>3.7500569917475946E-4</v>
      </c>
      <c r="J801" s="33"/>
    </row>
    <row r="802" spans="1:10">
      <c r="A802" s="33" t="s">
        <v>33</v>
      </c>
      <c r="B802" s="34">
        <v>353.17099999999999</v>
      </c>
      <c r="C802" s="35">
        <v>87732</v>
      </c>
      <c r="D802" s="33" t="s">
        <v>270</v>
      </c>
      <c r="E802" s="34">
        <v>353.25200000000001</v>
      </c>
      <c r="F802" s="36">
        <v>8.1000000000017294E-2</v>
      </c>
      <c r="G802" s="34">
        <v>8.1000000000017294E-2</v>
      </c>
      <c r="H802" s="35">
        <v>565.79999999999995</v>
      </c>
      <c r="I802" s="37">
        <f t="shared" si="12"/>
        <v>6.4491861578443435E-3</v>
      </c>
      <c r="J802" s="33"/>
    </row>
    <row r="803" spans="1:10">
      <c r="A803" s="33" t="s">
        <v>33</v>
      </c>
      <c r="B803" s="34">
        <v>353.17099999999999</v>
      </c>
      <c r="C803" s="35">
        <v>87732</v>
      </c>
      <c r="D803" s="33" t="s">
        <v>25</v>
      </c>
      <c r="E803" s="34">
        <v>353.26100000000002</v>
      </c>
      <c r="F803" s="36">
        <v>9.0000000000031805E-2</v>
      </c>
      <c r="G803" s="34">
        <v>9.0000000000031805E-2</v>
      </c>
      <c r="H803" s="35">
        <v>286.2</v>
      </c>
      <c r="I803" s="37">
        <f t="shared" si="12"/>
        <v>3.2622076323348377E-3</v>
      </c>
      <c r="J803" s="33" t="s">
        <v>116</v>
      </c>
    </row>
    <row r="804" spans="1:10">
      <c r="A804" s="33" t="s">
        <v>33</v>
      </c>
      <c r="B804" s="34">
        <v>353.17099999999999</v>
      </c>
      <c r="C804" s="35">
        <v>87732</v>
      </c>
      <c r="D804" s="33" t="s">
        <v>97</v>
      </c>
      <c r="E804" s="34">
        <v>353.26100000000002</v>
      </c>
      <c r="F804" s="36">
        <v>9.0000000000031805E-2</v>
      </c>
      <c r="G804" s="34">
        <v>9.0000000000031805E-2</v>
      </c>
      <c r="H804" s="35">
        <v>1.8</v>
      </c>
      <c r="I804" s="37">
        <f t="shared" si="12"/>
        <v>2.0517029134181372E-5</v>
      </c>
      <c r="J804" s="33"/>
    </row>
    <row r="805" spans="1:10">
      <c r="A805" s="33" t="s">
        <v>33</v>
      </c>
      <c r="B805" s="34">
        <v>353.17099999999999</v>
      </c>
      <c r="C805" s="35">
        <v>87732</v>
      </c>
      <c r="D805" s="33" t="s">
        <v>277</v>
      </c>
      <c r="E805" s="34">
        <v>353.27800000000002</v>
      </c>
      <c r="F805" s="36">
        <v>0.107000000000028</v>
      </c>
      <c r="G805" s="34">
        <v>0.107000000000028</v>
      </c>
      <c r="H805" s="35">
        <v>85</v>
      </c>
      <c r="I805" s="37">
        <f t="shared" si="12"/>
        <v>9.6885970911412026E-4</v>
      </c>
      <c r="J805" s="33"/>
    </row>
    <row r="806" spans="1:10">
      <c r="A806" s="33" t="s">
        <v>33</v>
      </c>
      <c r="B806" s="34">
        <v>353.17099999999999</v>
      </c>
      <c r="C806" s="35">
        <v>87732</v>
      </c>
      <c r="D806" s="33" t="s">
        <v>284</v>
      </c>
      <c r="E806" s="34">
        <v>353.279</v>
      </c>
      <c r="F806" s="36">
        <v>0.108000000000004</v>
      </c>
      <c r="G806" s="34">
        <v>0.108000000000004</v>
      </c>
      <c r="H806" s="35">
        <v>1.2</v>
      </c>
      <c r="I806" s="37">
        <f t="shared" si="12"/>
        <v>1.367801942278758E-5</v>
      </c>
      <c r="J806" s="33"/>
    </row>
    <row r="807" spans="1:10">
      <c r="A807" s="33" t="s">
        <v>33</v>
      </c>
      <c r="B807" s="34">
        <v>353.17099999999999</v>
      </c>
      <c r="C807" s="35">
        <v>87732</v>
      </c>
      <c r="D807" s="33" t="s">
        <v>268</v>
      </c>
      <c r="E807" s="34">
        <v>353.28100000000001</v>
      </c>
      <c r="F807" s="36">
        <v>0.110000000000014</v>
      </c>
      <c r="G807" s="34">
        <v>0.110000000000014</v>
      </c>
      <c r="H807" s="35">
        <v>45.6</v>
      </c>
      <c r="I807" s="37">
        <f t="shared" si="12"/>
        <v>5.1976473806592807E-4</v>
      </c>
      <c r="J807" s="33"/>
    </row>
    <row r="808" spans="1:10">
      <c r="A808" s="33" t="s">
        <v>33</v>
      </c>
      <c r="B808" s="34">
        <v>353.17099999999999</v>
      </c>
      <c r="C808" s="35">
        <v>87732</v>
      </c>
      <c r="D808" s="33" t="s">
        <v>25</v>
      </c>
      <c r="E808" s="34">
        <v>353.28699999999998</v>
      </c>
      <c r="F808" s="36">
        <v>0.115999999999985</v>
      </c>
      <c r="G808" s="34">
        <v>0.115999999999985</v>
      </c>
      <c r="H808" s="35">
        <v>227.5</v>
      </c>
      <c r="I808" s="37">
        <f t="shared" si="12"/>
        <v>2.5931245155701456E-3</v>
      </c>
      <c r="J808" s="33" t="s">
        <v>116</v>
      </c>
    </row>
    <row r="809" spans="1:10">
      <c r="A809" s="33" t="s">
        <v>33</v>
      </c>
      <c r="B809" s="34">
        <v>353.17099999999999</v>
      </c>
      <c r="C809" s="35">
        <v>87732</v>
      </c>
      <c r="D809" s="33" t="s">
        <v>97</v>
      </c>
      <c r="E809" s="34">
        <v>353.32</v>
      </c>
      <c r="F809" s="36">
        <v>0.14900000000000099</v>
      </c>
      <c r="G809" s="34">
        <v>0.14900000000000099</v>
      </c>
      <c r="H809" s="35">
        <v>34.1</v>
      </c>
      <c r="I809" s="37">
        <f t="shared" si="12"/>
        <v>3.886837185975471E-4</v>
      </c>
      <c r="J809" s="33"/>
    </row>
    <row r="810" spans="1:10">
      <c r="A810" s="33" t="s">
        <v>33</v>
      </c>
      <c r="B810" s="34">
        <v>353.17099999999999</v>
      </c>
      <c r="C810" s="35">
        <v>87732</v>
      </c>
      <c r="D810" s="33" t="s">
        <v>236</v>
      </c>
      <c r="E810" s="34">
        <v>353.32299999999998</v>
      </c>
      <c r="F810" s="36">
        <v>0.15199999999998701</v>
      </c>
      <c r="G810" s="34">
        <v>0.15199999999998701</v>
      </c>
      <c r="H810" s="35">
        <v>152.30000000000001</v>
      </c>
      <c r="I810" s="37">
        <f t="shared" si="12"/>
        <v>1.735968631742124E-3</v>
      </c>
      <c r="J810" s="33"/>
    </row>
    <row r="811" spans="1:10">
      <c r="A811" s="33" t="s">
        <v>33</v>
      </c>
      <c r="B811" s="34">
        <v>353.17099999999999</v>
      </c>
      <c r="C811" s="35">
        <v>87732</v>
      </c>
      <c r="D811" s="33" t="s">
        <v>54</v>
      </c>
      <c r="E811" s="34">
        <v>353.33499999999998</v>
      </c>
      <c r="F811" s="36">
        <v>0.16399999999998699</v>
      </c>
      <c r="G811" s="34">
        <v>0.16399999999998699</v>
      </c>
      <c r="H811" s="35">
        <v>327.39999999999998</v>
      </c>
      <c r="I811" s="37">
        <f t="shared" si="12"/>
        <v>3.7318196325172113E-3</v>
      </c>
      <c r="J811" s="33"/>
    </row>
    <row r="812" spans="1:10">
      <c r="A812" s="33" t="s">
        <v>33</v>
      </c>
      <c r="B812" s="34">
        <v>353.17099999999999</v>
      </c>
      <c r="C812" s="35">
        <v>87732</v>
      </c>
      <c r="D812" s="33" t="s">
        <v>284</v>
      </c>
      <c r="E812" s="34">
        <v>353.34100000000001</v>
      </c>
      <c r="F812" s="36">
        <v>0.170000000000016</v>
      </c>
      <c r="G812" s="34">
        <v>0.170000000000016</v>
      </c>
      <c r="H812" s="35">
        <v>0.7</v>
      </c>
      <c r="I812" s="37">
        <f t="shared" si="12"/>
        <v>7.9788446632927554E-6</v>
      </c>
      <c r="J812" s="33"/>
    </row>
    <row r="813" spans="1:10">
      <c r="A813" s="33" t="s">
        <v>33</v>
      </c>
      <c r="B813" s="34">
        <v>353.17099999999999</v>
      </c>
      <c r="C813" s="35">
        <v>87732</v>
      </c>
      <c r="D813" s="33" t="s">
        <v>25</v>
      </c>
      <c r="E813" s="34">
        <v>353.35599999999999</v>
      </c>
      <c r="F813" s="36">
        <v>0.185000000000002</v>
      </c>
      <c r="G813" s="34">
        <v>0.185000000000002</v>
      </c>
      <c r="H813" s="35">
        <v>213.7</v>
      </c>
      <c r="I813" s="37">
        <f t="shared" si="12"/>
        <v>2.4358272922080882E-3</v>
      </c>
      <c r="J813" s="33" t="s">
        <v>116</v>
      </c>
    </row>
    <row r="814" spans="1:10">
      <c r="A814" s="33" t="s">
        <v>33</v>
      </c>
      <c r="B814" s="34">
        <v>353.17099999999999</v>
      </c>
      <c r="C814" s="35">
        <v>87732</v>
      </c>
      <c r="D814" s="33" t="s">
        <v>277</v>
      </c>
      <c r="E814" s="34">
        <v>353.35700000000003</v>
      </c>
      <c r="F814" s="36">
        <v>0.186000000000036</v>
      </c>
      <c r="G814" s="34">
        <v>0.186000000000036</v>
      </c>
      <c r="H814" s="35">
        <v>488.6</v>
      </c>
      <c r="I814" s="37">
        <f t="shared" si="12"/>
        <v>5.5692335749783434E-3</v>
      </c>
      <c r="J814" s="33"/>
    </row>
    <row r="815" spans="1:10">
      <c r="A815" s="33" t="s">
        <v>33</v>
      </c>
      <c r="B815" s="34">
        <v>353.17099999999999</v>
      </c>
      <c r="C815" s="35">
        <v>87732</v>
      </c>
      <c r="D815" s="33" t="s">
        <v>27</v>
      </c>
      <c r="E815" s="34">
        <v>353.35899999999998</v>
      </c>
      <c r="F815" s="36">
        <v>0.18799999999998801</v>
      </c>
      <c r="G815" s="34">
        <v>0.18799999999998801</v>
      </c>
      <c r="H815" s="35">
        <v>333.6</v>
      </c>
      <c r="I815" s="37">
        <f t="shared" si="12"/>
        <v>3.8024893995349477E-3</v>
      </c>
      <c r="J815" s="33" t="s">
        <v>116</v>
      </c>
    </row>
    <row r="816" spans="1:10">
      <c r="A816" s="33" t="s">
        <v>33</v>
      </c>
      <c r="B816" s="34">
        <v>353.17099999999999</v>
      </c>
      <c r="C816" s="35">
        <v>87732</v>
      </c>
      <c r="D816" s="33" t="s">
        <v>273</v>
      </c>
      <c r="E816" s="34">
        <v>353.36700000000002</v>
      </c>
      <c r="F816" s="36">
        <v>0.19600000000002599</v>
      </c>
      <c r="G816" s="34">
        <v>0.19600000000002599</v>
      </c>
      <c r="H816" s="35">
        <v>37.200000000000003</v>
      </c>
      <c r="I816" s="37">
        <f t="shared" si="12"/>
        <v>4.2401860210641504E-4</v>
      </c>
      <c r="J816" s="33"/>
    </row>
    <row r="817" spans="1:10">
      <c r="A817" s="33" t="s">
        <v>33</v>
      </c>
      <c r="B817" s="34">
        <v>353.17099999999999</v>
      </c>
      <c r="C817" s="35">
        <v>87732</v>
      </c>
      <c r="D817" s="33" t="s">
        <v>278</v>
      </c>
      <c r="E817" s="34">
        <v>353.36700000000002</v>
      </c>
      <c r="F817" s="36">
        <v>0.19600000000002599</v>
      </c>
      <c r="G817" s="34">
        <v>0.19600000000002599</v>
      </c>
      <c r="H817" s="35">
        <v>143</v>
      </c>
      <c r="I817" s="37">
        <f t="shared" si="12"/>
        <v>1.62996398121552E-3</v>
      </c>
      <c r="J817" s="33"/>
    </row>
    <row r="818" spans="1:10">
      <c r="A818" s="33" t="s">
        <v>33</v>
      </c>
      <c r="B818" s="34">
        <v>353.60199999999998</v>
      </c>
      <c r="C818" s="35">
        <v>15894.4</v>
      </c>
      <c r="D818" s="33" t="s">
        <v>33</v>
      </c>
      <c r="E818" s="34">
        <v>353.44499999999999</v>
      </c>
      <c r="F818" s="36">
        <v>0.15699999999998199</v>
      </c>
      <c r="G818" s="34">
        <v>0.15699999999998199</v>
      </c>
      <c r="H818" s="35">
        <v>492.3</v>
      </c>
      <c r="I818" s="37">
        <f t="shared" si="12"/>
        <v>3.0973172941413329E-2</v>
      </c>
      <c r="J818" s="33" t="s">
        <v>116</v>
      </c>
    </row>
    <row r="819" spans="1:10">
      <c r="A819" s="33" t="s">
        <v>33</v>
      </c>
      <c r="B819" s="34">
        <v>353.60199999999998</v>
      </c>
      <c r="C819" s="35">
        <v>15894.4</v>
      </c>
      <c r="D819" s="33" t="s">
        <v>274</v>
      </c>
      <c r="E819" s="34">
        <v>353.44900000000001</v>
      </c>
      <c r="F819" s="36">
        <v>0.152999999999963</v>
      </c>
      <c r="G819" s="34">
        <v>0.152999999999963</v>
      </c>
      <c r="H819" s="35">
        <v>5</v>
      </c>
      <c r="I819" s="37">
        <f t="shared" si="12"/>
        <v>3.1457620293940004E-4</v>
      </c>
      <c r="J819" s="33"/>
    </row>
    <row r="820" spans="1:10">
      <c r="A820" s="33" t="s">
        <v>33</v>
      </c>
      <c r="B820" s="34">
        <v>353.60199999999998</v>
      </c>
      <c r="C820" s="35">
        <v>15894.4</v>
      </c>
      <c r="D820" s="33" t="s">
        <v>275</v>
      </c>
      <c r="E820" s="34">
        <v>353.46199999999999</v>
      </c>
      <c r="F820" s="36">
        <v>0.139999999999986</v>
      </c>
      <c r="G820" s="34">
        <v>0.139999999999986</v>
      </c>
      <c r="H820" s="35">
        <v>69.7</v>
      </c>
      <c r="I820" s="37">
        <f t="shared" si="12"/>
        <v>4.3851922689752366E-3</v>
      </c>
      <c r="J820" s="33"/>
    </row>
    <row r="821" spans="1:10">
      <c r="A821" s="33" t="s">
        <v>33</v>
      </c>
      <c r="B821" s="34">
        <v>353.60199999999998</v>
      </c>
      <c r="C821" s="35">
        <v>15894.4</v>
      </c>
      <c r="D821" s="33" t="s">
        <v>33</v>
      </c>
      <c r="E821" s="34">
        <v>353.49599999999998</v>
      </c>
      <c r="F821" s="36">
        <v>0.105999999999995</v>
      </c>
      <c r="G821" s="34">
        <v>0.105999999999995</v>
      </c>
      <c r="H821" s="35">
        <v>9120.7999999999993</v>
      </c>
      <c r="I821" s="37">
        <f t="shared" si="12"/>
        <v>0.57383732635393592</v>
      </c>
      <c r="J821" s="33" t="s">
        <v>116</v>
      </c>
    </row>
    <row r="822" spans="1:10">
      <c r="A822" s="33" t="s">
        <v>33</v>
      </c>
      <c r="B822" s="34">
        <v>353.60199999999998</v>
      </c>
      <c r="C822" s="35">
        <v>15894.4</v>
      </c>
      <c r="D822" s="33" t="s">
        <v>25</v>
      </c>
      <c r="E822" s="34">
        <v>353.505</v>
      </c>
      <c r="F822" s="36">
        <v>9.6999999999980005E-2</v>
      </c>
      <c r="G822" s="34">
        <v>9.6999999999980005E-2</v>
      </c>
      <c r="H822" s="35">
        <v>47.1</v>
      </c>
      <c r="I822" s="37">
        <f t="shared" si="12"/>
        <v>2.9633078316891486E-3</v>
      </c>
      <c r="J822" s="33" t="s">
        <v>116</v>
      </c>
    </row>
    <row r="823" spans="1:10">
      <c r="A823" s="33" t="s">
        <v>33</v>
      </c>
      <c r="B823" s="34">
        <v>353.60199999999998</v>
      </c>
      <c r="C823" s="35">
        <v>15894.4</v>
      </c>
      <c r="D823" s="33" t="s">
        <v>236</v>
      </c>
      <c r="E823" s="34">
        <v>353.51600000000002</v>
      </c>
      <c r="F823" s="36">
        <v>8.5999999999955903E-2</v>
      </c>
      <c r="G823" s="34">
        <v>8.5999999999955903E-2</v>
      </c>
      <c r="H823" s="35">
        <v>54.2</v>
      </c>
      <c r="I823" s="37">
        <f t="shared" si="12"/>
        <v>3.4100060398630965E-3</v>
      </c>
      <c r="J823" s="33"/>
    </row>
    <row r="824" spans="1:10">
      <c r="A824" s="33" t="s">
        <v>33</v>
      </c>
      <c r="B824" s="34">
        <v>353.60199999999998</v>
      </c>
      <c r="C824" s="35">
        <v>15894.4</v>
      </c>
      <c r="D824" s="33" t="s">
        <v>273</v>
      </c>
      <c r="E824" s="34">
        <v>353.52800000000002</v>
      </c>
      <c r="F824" s="36">
        <v>7.3999999999955393E-2</v>
      </c>
      <c r="G824" s="34">
        <v>7.3999999999955393E-2</v>
      </c>
      <c r="H824" s="35">
        <v>4497</v>
      </c>
      <c r="I824" s="37">
        <f t="shared" si="12"/>
        <v>0.28292983692369639</v>
      </c>
      <c r="J824" s="33"/>
    </row>
    <row r="825" spans="1:10">
      <c r="A825" s="33" t="s">
        <v>33</v>
      </c>
      <c r="B825" s="34">
        <v>353.60199999999998</v>
      </c>
      <c r="C825" s="35">
        <v>15894.4</v>
      </c>
      <c r="D825" s="33" t="s">
        <v>268</v>
      </c>
      <c r="E825" s="34">
        <v>353.53800000000001</v>
      </c>
      <c r="F825" s="36">
        <v>6.3999999999964502E-2</v>
      </c>
      <c r="G825" s="34">
        <v>6.3999999999964502E-2</v>
      </c>
      <c r="H825" s="35">
        <v>10.9</v>
      </c>
      <c r="I825" s="37">
        <f t="shared" si="12"/>
        <v>6.8577612240789212E-4</v>
      </c>
      <c r="J825" s="33"/>
    </row>
    <row r="826" spans="1:10">
      <c r="A826" s="33" t="s">
        <v>33</v>
      </c>
      <c r="B826" s="34">
        <v>353.60199999999998</v>
      </c>
      <c r="C826" s="35">
        <v>15894.4</v>
      </c>
      <c r="D826" s="33" t="s">
        <v>237</v>
      </c>
      <c r="E826" s="34">
        <v>353.541</v>
      </c>
      <c r="F826" s="36">
        <v>6.0999999999978599E-2</v>
      </c>
      <c r="G826" s="34">
        <v>6.0999999999978599E-2</v>
      </c>
      <c r="H826" s="35">
        <v>1911.4</v>
      </c>
      <c r="I826" s="37">
        <f t="shared" si="12"/>
        <v>0.12025619085967386</v>
      </c>
      <c r="J826" s="33"/>
    </row>
    <row r="827" spans="1:10">
      <c r="A827" s="33" t="s">
        <v>33</v>
      </c>
      <c r="B827" s="34">
        <v>353.60199999999998</v>
      </c>
      <c r="C827" s="35">
        <v>15894.4</v>
      </c>
      <c r="D827" s="33" t="s">
        <v>269</v>
      </c>
      <c r="E827" s="34">
        <v>353.55500000000001</v>
      </c>
      <c r="F827" s="36">
        <v>4.6999999999968602E-2</v>
      </c>
      <c r="G827" s="34">
        <v>4.6999999999968602E-2</v>
      </c>
      <c r="H827" s="35">
        <v>5260.7</v>
      </c>
      <c r="I827" s="37">
        <f t="shared" si="12"/>
        <v>0.33097820616066037</v>
      </c>
      <c r="J827" s="33"/>
    </row>
    <row r="828" spans="1:10">
      <c r="A828" s="33" t="s">
        <v>33</v>
      </c>
      <c r="B828" s="34">
        <v>353.60199999999998</v>
      </c>
      <c r="C828" s="35">
        <v>15894.4</v>
      </c>
      <c r="D828" s="33" t="s">
        <v>274</v>
      </c>
      <c r="E828" s="34">
        <v>353.55500000000001</v>
      </c>
      <c r="F828" s="36">
        <v>4.6999999999968602E-2</v>
      </c>
      <c r="G828" s="34">
        <v>4.6999999999968602E-2</v>
      </c>
      <c r="H828" s="35">
        <v>10.3</v>
      </c>
      <c r="I828" s="37">
        <f t="shared" si="12"/>
        <v>6.480269780551641E-4</v>
      </c>
      <c r="J828" s="33"/>
    </row>
    <row r="829" spans="1:10">
      <c r="A829" s="33" t="s">
        <v>33</v>
      </c>
      <c r="B829" s="34">
        <v>353.60199999999998</v>
      </c>
      <c r="C829" s="35">
        <v>15894.4</v>
      </c>
      <c r="D829" s="33" t="s">
        <v>25</v>
      </c>
      <c r="E829" s="34">
        <v>353.55700000000002</v>
      </c>
      <c r="F829" s="36">
        <v>4.49999999999591E-2</v>
      </c>
      <c r="G829" s="34">
        <v>4.49999999999591E-2</v>
      </c>
      <c r="H829" s="35">
        <v>135.4</v>
      </c>
      <c r="I829" s="37">
        <f t="shared" si="12"/>
        <v>8.5187235755989528E-3</v>
      </c>
      <c r="J829" s="33" t="s">
        <v>116</v>
      </c>
    </row>
    <row r="830" spans="1:10">
      <c r="A830" s="33" t="s">
        <v>33</v>
      </c>
      <c r="B830" s="34">
        <v>353.60199999999998</v>
      </c>
      <c r="C830" s="35">
        <v>15894.4</v>
      </c>
      <c r="D830" s="33" t="s">
        <v>270</v>
      </c>
      <c r="E830" s="34">
        <v>353.56299999999999</v>
      </c>
      <c r="F830" s="36">
        <v>3.8999999999987302E-2</v>
      </c>
      <c r="G830" s="34">
        <v>3.8999999999987302E-2</v>
      </c>
      <c r="H830" s="35">
        <v>676.2</v>
      </c>
      <c r="I830" s="37">
        <f t="shared" si="12"/>
        <v>4.2543285685524464E-2</v>
      </c>
      <c r="J830" s="33"/>
    </row>
    <row r="831" spans="1:10">
      <c r="A831" s="33" t="s">
        <v>33</v>
      </c>
      <c r="B831" s="34">
        <v>353.60199999999998</v>
      </c>
      <c r="C831" s="35">
        <v>15894.4</v>
      </c>
      <c r="D831" s="33" t="s">
        <v>292</v>
      </c>
      <c r="E831" s="34">
        <v>353.56900000000002</v>
      </c>
      <c r="F831" s="36">
        <v>3.2999999999958597E-2</v>
      </c>
      <c r="G831" s="34">
        <v>3.2999999999958597E-2</v>
      </c>
      <c r="H831" s="35">
        <v>0.4</v>
      </c>
      <c r="I831" s="37">
        <f t="shared" si="12"/>
        <v>2.5166096235152005E-5</v>
      </c>
      <c r="J831" s="33"/>
    </row>
    <row r="832" spans="1:10">
      <c r="A832" s="33" t="s">
        <v>33</v>
      </c>
      <c r="B832" s="34">
        <v>353.60199999999998</v>
      </c>
      <c r="C832" s="35">
        <v>15894.4</v>
      </c>
      <c r="D832" s="33" t="s">
        <v>184</v>
      </c>
      <c r="E832" s="34">
        <v>353.57100000000003</v>
      </c>
      <c r="F832" s="36">
        <v>3.09999999999491E-2</v>
      </c>
      <c r="G832" s="34">
        <v>3.09999999999491E-2</v>
      </c>
      <c r="H832" s="35">
        <v>30878.3</v>
      </c>
      <c r="I832" s="37">
        <f t="shared" si="12"/>
        <v>1.9427156734447353</v>
      </c>
      <c r="J832" s="33"/>
    </row>
    <row r="833" spans="1:10">
      <c r="A833" s="33" t="s">
        <v>33</v>
      </c>
      <c r="B833" s="34">
        <v>353.60199999999998</v>
      </c>
      <c r="C833" s="35">
        <v>15894.4</v>
      </c>
      <c r="D833" s="33" t="s">
        <v>277</v>
      </c>
      <c r="E833" s="34">
        <v>353.58300000000003</v>
      </c>
      <c r="F833" s="36">
        <v>1.89999999999486E-2</v>
      </c>
      <c r="G833" s="34">
        <v>1.89999999999486E-2</v>
      </c>
      <c r="H833" s="35">
        <v>37.799999999999997</v>
      </c>
      <c r="I833" s="37">
        <f t="shared" si="12"/>
        <v>2.3781960942218642E-3</v>
      </c>
      <c r="J833" s="33"/>
    </row>
    <row r="834" spans="1:10">
      <c r="A834" s="33" t="s">
        <v>33</v>
      </c>
      <c r="B834" s="34">
        <v>353.60199999999998</v>
      </c>
      <c r="C834" s="35">
        <v>15894.4</v>
      </c>
      <c r="D834" s="33" t="s">
        <v>268</v>
      </c>
      <c r="E834" s="34">
        <v>353.584</v>
      </c>
      <c r="F834" s="36">
        <v>1.7999999999972299E-2</v>
      </c>
      <c r="G834" s="34">
        <v>1.7999999999972299E-2</v>
      </c>
      <c r="H834" s="35">
        <v>16.899999999999999</v>
      </c>
      <c r="I834" s="37">
        <f t="shared" ref="I834:I897" si="13">H834/C834</f>
        <v>1.0632675659351721E-3</v>
      </c>
      <c r="J834" s="33"/>
    </row>
    <row r="835" spans="1:10">
      <c r="A835" s="33" t="s">
        <v>33</v>
      </c>
      <c r="B835" s="34">
        <v>353.60199999999998</v>
      </c>
      <c r="C835" s="35">
        <v>15894.4</v>
      </c>
      <c r="D835" s="33" t="s">
        <v>54</v>
      </c>
      <c r="E835" s="34">
        <v>353.59</v>
      </c>
      <c r="F835" s="36">
        <v>1.20000000000005E-2</v>
      </c>
      <c r="G835" s="34">
        <v>1.20000000000005E-2</v>
      </c>
      <c r="H835" s="35">
        <v>9.4</v>
      </c>
      <c r="I835" s="37">
        <f t="shared" si="13"/>
        <v>5.9140326152607207E-4</v>
      </c>
      <c r="J835" s="33"/>
    </row>
    <row r="836" spans="1:10">
      <c r="A836" s="33" t="s">
        <v>33</v>
      </c>
      <c r="B836" s="34">
        <v>353.60199999999998</v>
      </c>
      <c r="C836" s="35">
        <v>15894.4</v>
      </c>
      <c r="D836" s="33" t="s">
        <v>193</v>
      </c>
      <c r="E836" s="34">
        <v>353.62900000000002</v>
      </c>
      <c r="F836" s="36">
        <v>2.7000000000043701E-2</v>
      </c>
      <c r="G836" s="34">
        <v>2.7000000000043701E-2</v>
      </c>
      <c r="H836" s="35">
        <v>6.7</v>
      </c>
      <c r="I836" s="37">
        <f t="shared" si="13"/>
        <v>4.2153211193879608E-4</v>
      </c>
      <c r="J836" s="33"/>
    </row>
    <row r="837" spans="1:10">
      <c r="A837" s="33" t="s">
        <v>33</v>
      </c>
      <c r="B837" s="34">
        <v>353.60199999999998</v>
      </c>
      <c r="C837" s="35">
        <v>15894.4</v>
      </c>
      <c r="D837" s="33" t="s">
        <v>201</v>
      </c>
      <c r="E837" s="34">
        <v>353.63200000000001</v>
      </c>
      <c r="F837" s="36">
        <v>3.00000000000296E-2</v>
      </c>
      <c r="G837" s="34">
        <v>3.00000000000296E-2</v>
      </c>
      <c r="H837" s="35">
        <v>1382.1</v>
      </c>
      <c r="I837" s="37">
        <f t="shared" si="13"/>
        <v>8.6955154016508954E-2</v>
      </c>
      <c r="J837" s="33"/>
    </row>
    <row r="838" spans="1:10">
      <c r="A838" s="33" t="s">
        <v>33</v>
      </c>
      <c r="B838" s="34">
        <v>353.60199999999998</v>
      </c>
      <c r="C838" s="35">
        <v>15894.4</v>
      </c>
      <c r="D838" s="33" t="s">
        <v>63</v>
      </c>
      <c r="E838" s="34">
        <v>353.64600000000002</v>
      </c>
      <c r="F838" s="36">
        <v>4.3999999999999997E-2</v>
      </c>
      <c r="G838" s="34">
        <v>4.3999999999999997E-2</v>
      </c>
      <c r="H838" s="35">
        <v>23</v>
      </c>
      <c r="I838" s="37">
        <f t="shared" si="13"/>
        <v>1.4470505335212403E-3</v>
      </c>
      <c r="J838" s="33" t="s">
        <v>116</v>
      </c>
    </row>
    <row r="839" spans="1:10">
      <c r="A839" s="33" t="s">
        <v>33</v>
      </c>
      <c r="B839" s="34">
        <v>353.60199999999998</v>
      </c>
      <c r="C839" s="35">
        <v>15894.4</v>
      </c>
      <c r="D839" s="33" t="s">
        <v>97</v>
      </c>
      <c r="E839" s="34">
        <v>353.65600000000001</v>
      </c>
      <c r="F839" s="36">
        <v>5.4000000000030503E-2</v>
      </c>
      <c r="G839" s="34">
        <v>5.4000000000030503E-2</v>
      </c>
      <c r="H839" s="35">
        <v>39.1</v>
      </c>
      <c r="I839" s="37">
        <f t="shared" si="13"/>
        <v>2.4599859069861086E-3</v>
      </c>
      <c r="J839" s="33"/>
    </row>
    <row r="840" spans="1:10">
      <c r="A840" s="33" t="s">
        <v>33</v>
      </c>
      <c r="B840" s="34">
        <v>353.60199999999998</v>
      </c>
      <c r="C840" s="35">
        <v>15894.4</v>
      </c>
      <c r="D840" s="33" t="s">
        <v>33</v>
      </c>
      <c r="E840" s="34">
        <v>353.65800000000002</v>
      </c>
      <c r="F840" s="36">
        <v>5.6000000000039997E-2</v>
      </c>
      <c r="G840" s="34">
        <v>5.6000000000039997E-2</v>
      </c>
      <c r="H840" s="35">
        <v>516.9</v>
      </c>
      <c r="I840" s="37">
        <f t="shared" si="13"/>
        <v>3.2520887859875176E-2</v>
      </c>
      <c r="J840" s="33" t="s">
        <v>116</v>
      </c>
    </row>
    <row r="841" spans="1:10">
      <c r="A841" s="33" t="s">
        <v>33</v>
      </c>
      <c r="B841" s="34">
        <v>353.60199999999998</v>
      </c>
      <c r="C841" s="35">
        <v>15894.4</v>
      </c>
      <c r="D841" s="33" t="s">
        <v>269</v>
      </c>
      <c r="E841" s="34">
        <v>353.66300000000001</v>
      </c>
      <c r="F841" s="36">
        <v>6.1000000000035498E-2</v>
      </c>
      <c r="G841" s="34">
        <v>6.1000000000035498E-2</v>
      </c>
      <c r="H841" s="35">
        <v>95.1</v>
      </c>
      <c r="I841" s="37">
        <f t="shared" si="13"/>
        <v>5.983239379907389E-3</v>
      </c>
      <c r="J841" s="33"/>
    </row>
    <row r="842" spans="1:10">
      <c r="A842" s="33" t="s">
        <v>33</v>
      </c>
      <c r="B842" s="34">
        <v>353.60199999999998</v>
      </c>
      <c r="C842" s="35">
        <v>15894.4</v>
      </c>
      <c r="D842" s="33" t="s">
        <v>25</v>
      </c>
      <c r="E842" s="34">
        <v>353.67</v>
      </c>
      <c r="F842" s="36">
        <v>6.80000000000405E-2</v>
      </c>
      <c r="G842" s="34">
        <v>6.80000000000405E-2</v>
      </c>
      <c r="H842" s="35">
        <v>206.9</v>
      </c>
      <c r="I842" s="37">
        <f t="shared" si="13"/>
        <v>1.3017163277632374E-2</v>
      </c>
      <c r="J842" s="33" t="s">
        <v>116</v>
      </c>
    </row>
    <row r="843" spans="1:10">
      <c r="A843" s="33" t="s">
        <v>33</v>
      </c>
      <c r="B843" s="34">
        <v>353.60199999999998</v>
      </c>
      <c r="C843" s="35">
        <v>15894.4</v>
      </c>
      <c r="D843" s="33" t="s">
        <v>239</v>
      </c>
      <c r="E843" s="34">
        <v>353.67099999999999</v>
      </c>
      <c r="F843" s="36">
        <v>6.9000000000016798E-2</v>
      </c>
      <c r="G843" s="34">
        <v>6.9000000000016798E-2</v>
      </c>
      <c r="H843" s="35">
        <v>22</v>
      </c>
      <c r="I843" s="37">
        <f t="shared" si="13"/>
        <v>1.3841352929333602E-3</v>
      </c>
      <c r="J843" s="33"/>
    </row>
    <row r="844" spans="1:10">
      <c r="A844" s="33" t="s">
        <v>33</v>
      </c>
      <c r="B844" s="34">
        <v>353.60199999999998</v>
      </c>
      <c r="C844" s="35">
        <v>15894.4</v>
      </c>
      <c r="D844" s="33" t="s">
        <v>236</v>
      </c>
      <c r="E844" s="34">
        <v>353.69400000000002</v>
      </c>
      <c r="F844" s="36">
        <v>9.2000000000041396E-2</v>
      </c>
      <c r="G844" s="34">
        <v>9.2000000000041396E-2</v>
      </c>
      <c r="H844" s="35">
        <v>563</v>
      </c>
      <c r="I844" s="37">
        <f t="shared" si="13"/>
        <v>3.5421280450976443E-2</v>
      </c>
      <c r="J844" s="33"/>
    </row>
    <row r="845" spans="1:10">
      <c r="A845" s="33" t="s">
        <v>33</v>
      </c>
      <c r="B845" s="34">
        <v>353.60199999999998</v>
      </c>
      <c r="C845" s="35">
        <v>15894.4</v>
      </c>
      <c r="D845" s="33" t="s">
        <v>36</v>
      </c>
      <c r="E845" s="34">
        <v>353.71499999999997</v>
      </c>
      <c r="F845" s="36">
        <v>0.113</v>
      </c>
      <c r="G845" s="34">
        <v>0.113</v>
      </c>
      <c r="H845" s="35">
        <v>107.9</v>
      </c>
      <c r="I845" s="37">
        <f t="shared" si="13"/>
        <v>6.7885544594322531E-3</v>
      </c>
      <c r="J845" s="33" t="s">
        <v>116</v>
      </c>
    </row>
    <row r="846" spans="1:10">
      <c r="A846" s="33" t="s">
        <v>33</v>
      </c>
      <c r="B846" s="34">
        <v>353.60199999999998</v>
      </c>
      <c r="C846" s="35">
        <v>15894.4</v>
      </c>
      <c r="D846" s="33" t="s">
        <v>271</v>
      </c>
      <c r="E846" s="34">
        <v>353.71600000000001</v>
      </c>
      <c r="F846" s="36">
        <v>0.11400000000003301</v>
      </c>
      <c r="G846" s="34">
        <v>0.11400000000003301</v>
      </c>
      <c r="H846" s="35">
        <v>448.6</v>
      </c>
      <c r="I846" s="37">
        <f t="shared" si="13"/>
        <v>2.8223776927722974E-2</v>
      </c>
      <c r="J846" s="33"/>
    </row>
    <row r="847" spans="1:10">
      <c r="A847" s="33" t="s">
        <v>33</v>
      </c>
      <c r="B847" s="34">
        <v>353.60199999999998</v>
      </c>
      <c r="C847" s="35">
        <v>15894.4</v>
      </c>
      <c r="D847" s="33" t="s">
        <v>165</v>
      </c>
      <c r="E847" s="34">
        <v>353.72399999999999</v>
      </c>
      <c r="F847" s="36">
        <v>0.122000000000014</v>
      </c>
      <c r="G847" s="34">
        <v>0.122000000000014</v>
      </c>
      <c r="H847" s="35">
        <v>23</v>
      </c>
      <c r="I847" s="37">
        <f t="shared" si="13"/>
        <v>1.4470505335212403E-3</v>
      </c>
      <c r="J847" s="33"/>
    </row>
    <row r="848" spans="1:10">
      <c r="A848" s="33" t="s">
        <v>33</v>
      </c>
      <c r="B848" s="34">
        <v>353.60199999999998</v>
      </c>
      <c r="C848" s="35">
        <v>15894.4</v>
      </c>
      <c r="D848" s="33" t="s">
        <v>275</v>
      </c>
      <c r="E848" s="34">
        <v>353.72800000000001</v>
      </c>
      <c r="F848" s="36">
        <v>0.126000000000033</v>
      </c>
      <c r="G848" s="34">
        <v>0.126000000000033</v>
      </c>
      <c r="H848" s="35">
        <v>80.3</v>
      </c>
      <c r="I848" s="37">
        <f t="shared" si="13"/>
        <v>5.0520938192067646E-3</v>
      </c>
      <c r="J848" s="33"/>
    </row>
    <row r="849" spans="1:10">
      <c r="A849" s="33" t="s">
        <v>33</v>
      </c>
      <c r="B849" s="34">
        <v>353.60199999999998</v>
      </c>
      <c r="C849" s="35">
        <v>15894.4</v>
      </c>
      <c r="D849" s="33" t="s">
        <v>25</v>
      </c>
      <c r="E849" s="34">
        <v>353.74400000000003</v>
      </c>
      <c r="F849" s="36">
        <v>0.142000000000053</v>
      </c>
      <c r="G849" s="34">
        <v>0.142000000000053</v>
      </c>
      <c r="H849" s="35">
        <v>117.6</v>
      </c>
      <c r="I849" s="37">
        <f t="shared" si="13"/>
        <v>7.3988322931346885E-3</v>
      </c>
      <c r="J849" s="33" t="s">
        <v>116</v>
      </c>
    </row>
    <row r="850" spans="1:10">
      <c r="A850" s="33" t="s">
        <v>33</v>
      </c>
      <c r="B850" s="34">
        <v>353.60199999999998</v>
      </c>
      <c r="C850" s="35">
        <v>15894.4</v>
      </c>
      <c r="D850" s="33" t="s">
        <v>274</v>
      </c>
      <c r="E850" s="34">
        <v>353.745</v>
      </c>
      <c r="F850" s="36">
        <v>0.14300000000002899</v>
      </c>
      <c r="G850" s="34">
        <v>0.14300000000002899</v>
      </c>
      <c r="H850" s="35">
        <v>10.6</v>
      </c>
      <c r="I850" s="37">
        <f t="shared" si="13"/>
        <v>6.6690155023152811E-4</v>
      </c>
      <c r="J850" s="33"/>
    </row>
    <row r="851" spans="1:10">
      <c r="A851" s="33" t="s">
        <v>33</v>
      </c>
      <c r="B851" s="34">
        <v>353.60199999999998</v>
      </c>
      <c r="C851" s="35">
        <v>15894.4</v>
      </c>
      <c r="D851" s="33" t="s">
        <v>279</v>
      </c>
      <c r="E851" s="34">
        <v>353.74599999999998</v>
      </c>
      <c r="F851" s="36">
        <v>0.14400000000000601</v>
      </c>
      <c r="G851" s="34">
        <v>0.14400000000000601</v>
      </c>
      <c r="H851" s="35">
        <v>5.4</v>
      </c>
      <c r="I851" s="37">
        <f t="shared" si="13"/>
        <v>3.3974229917455208E-4</v>
      </c>
      <c r="J851" s="33"/>
    </row>
    <row r="852" spans="1:10">
      <c r="A852" s="33" t="s">
        <v>33</v>
      </c>
      <c r="B852" s="34">
        <v>353.60199999999998</v>
      </c>
      <c r="C852" s="35">
        <v>15894.4</v>
      </c>
      <c r="D852" s="33" t="s">
        <v>277</v>
      </c>
      <c r="E852" s="34">
        <v>353.74599999999998</v>
      </c>
      <c r="F852" s="36">
        <v>0.14400000000000601</v>
      </c>
      <c r="G852" s="34">
        <v>0.14400000000000601</v>
      </c>
      <c r="H852" s="35">
        <v>88.2</v>
      </c>
      <c r="I852" s="37">
        <f t="shared" si="13"/>
        <v>5.5491242198510166E-3</v>
      </c>
      <c r="J852" s="33"/>
    </row>
    <row r="853" spans="1:10">
      <c r="A853" s="33" t="s">
        <v>33</v>
      </c>
      <c r="B853" s="34">
        <v>353.60199999999998</v>
      </c>
      <c r="C853" s="35">
        <v>15894.4</v>
      </c>
      <c r="D853" s="33" t="s">
        <v>273</v>
      </c>
      <c r="E853" s="34">
        <v>353.74799999999999</v>
      </c>
      <c r="F853" s="36">
        <v>0.14600000000001501</v>
      </c>
      <c r="G853" s="34">
        <v>0.14600000000001501</v>
      </c>
      <c r="H853" s="35">
        <v>736.4</v>
      </c>
      <c r="I853" s="37">
        <f t="shared" si="13"/>
        <v>4.6330783168914841E-2</v>
      </c>
      <c r="J853" s="33"/>
    </row>
    <row r="854" spans="1:10">
      <c r="A854" s="33" t="s">
        <v>33</v>
      </c>
      <c r="B854" s="34">
        <v>357.625</v>
      </c>
      <c r="C854" s="35">
        <v>12386.1</v>
      </c>
      <c r="D854" s="33" t="s">
        <v>54</v>
      </c>
      <c r="E854" s="34">
        <v>357.49700000000001</v>
      </c>
      <c r="F854" s="36">
        <v>0.12799999999998601</v>
      </c>
      <c r="G854" s="34">
        <v>0.12799999999998601</v>
      </c>
      <c r="H854" s="35">
        <v>336.5</v>
      </c>
      <c r="I854" s="37">
        <f t="shared" si="13"/>
        <v>2.7167550722180508E-2</v>
      </c>
      <c r="J854" s="33"/>
    </row>
    <row r="855" spans="1:10">
      <c r="A855" s="33" t="s">
        <v>33</v>
      </c>
      <c r="B855" s="34">
        <v>357.625</v>
      </c>
      <c r="C855" s="35">
        <v>12386.1</v>
      </c>
      <c r="D855" s="33" t="s">
        <v>274</v>
      </c>
      <c r="E855" s="34">
        <v>357.52199999999999</v>
      </c>
      <c r="F855" s="36">
        <v>0.103000000000009</v>
      </c>
      <c r="G855" s="34">
        <v>0.103000000000009</v>
      </c>
      <c r="H855" s="35">
        <v>14.2</v>
      </c>
      <c r="I855" s="37">
        <f t="shared" si="13"/>
        <v>1.146446419777008E-3</v>
      </c>
      <c r="J855" s="33"/>
    </row>
    <row r="856" spans="1:10">
      <c r="A856" s="33" t="s">
        <v>33</v>
      </c>
      <c r="B856" s="34">
        <v>357.625</v>
      </c>
      <c r="C856" s="35">
        <v>12386.1</v>
      </c>
      <c r="D856" s="33" t="s">
        <v>25</v>
      </c>
      <c r="E856" s="34">
        <v>357.529</v>
      </c>
      <c r="F856" s="36">
        <v>9.6000000000003596E-2</v>
      </c>
      <c r="G856" s="34">
        <v>9.6000000000003596E-2</v>
      </c>
      <c r="H856" s="35">
        <v>200.8</v>
      </c>
      <c r="I856" s="37">
        <f t="shared" si="13"/>
        <v>1.6211721203607268E-2</v>
      </c>
      <c r="J856" s="33" t="s">
        <v>116</v>
      </c>
    </row>
    <row r="857" spans="1:10">
      <c r="A857" s="33" t="s">
        <v>33</v>
      </c>
      <c r="B857" s="34">
        <v>357.625</v>
      </c>
      <c r="C857" s="35">
        <v>12386.1</v>
      </c>
      <c r="D857" s="33" t="s">
        <v>271</v>
      </c>
      <c r="E857" s="34">
        <v>357.53199999999998</v>
      </c>
      <c r="F857" s="36">
        <v>9.3000000000017694E-2</v>
      </c>
      <c r="G857" s="34">
        <v>9.3000000000017694E-2</v>
      </c>
      <c r="H857" s="35">
        <v>2089</v>
      </c>
      <c r="I857" s="37">
        <f t="shared" si="13"/>
        <v>0.16865680076860351</v>
      </c>
      <c r="J857" s="33"/>
    </row>
    <row r="858" spans="1:10">
      <c r="A858" s="33" t="s">
        <v>33</v>
      </c>
      <c r="B858" s="34">
        <v>357.625</v>
      </c>
      <c r="C858" s="35">
        <v>12386.1</v>
      </c>
      <c r="D858" s="33" t="s">
        <v>54</v>
      </c>
      <c r="E858" s="34">
        <v>357.53500000000003</v>
      </c>
      <c r="F858" s="36">
        <v>8.9999999999975003E-2</v>
      </c>
      <c r="G858" s="34">
        <v>8.9999999999975003E-2</v>
      </c>
      <c r="H858" s="35">
        <v>695.5</v>
      </c>
      <c r="I858" s="37">
        <f t="shared" si="13"/>
        <v>5.6151653870064024E-2</v>
      </c>
      <c r="J858" s="33"/>
    </row>
    <row r="859" spans="1:10">
      <c r="A859" s="33" t="s">
        <v>33</v>
      </c>
      <c r="B859" s="34">
        <v>357.625</v>
      </c>
      <c r="C859" s="35">
        <v>12386.1</v>
      </c>
      <c r="D859" s="33" t="s">
        <v>97</v>
      </c>
      <c r="E859" s="34">
        <v>357.53699999999998</v>
      </c>
      <c r="F859" s="36">
        <v>8.8000000000022296E-2</v>
      </c>
      <c r="G859" s="34">
        <v>8.8000000000022296E-2</v>
      </c>
      <c r="H859" s="35">
        <v>13.8</v>
      </c>
      <c r="I859" s="37">
        <f t="shared" si="13"/>
        <v>1.1141521544311768E-3</v>
      </c>
      <c r="J859" s="33"/>
    </row>
    <row r="860" spans="1:10">
      <c r="A860" s="33" t="s">
        <v>33</v>
      </c>
      <c r="B860" s="34">
        <v>357.625</v>
      </c>
      <c r="C860" s="35">
        <v>12386.1</v>
      </c>
      <c r="D860" s="33" t="s">
        <v>272</v>
      </c>
      <c r="E860" s="34">
        <v>357.54500000000002</v>
      </c>
      <c r="F860" s="36">
        <v>7.9999999999984098E-2</v>
      </c>
      <c r="G860" s="34">
        <v>7.9999999999984098E-2</v>
      </c>
      <c r="H860" s="35">
        <v>0.3</v>
      </c>
      <c r="I860" s="37">
        <f t="shared" si="13"/>
        <v>2.422069900937341E-5</v>
      </c>
      <c r="J860" s="33"/>
    </row>
    <row r="861" spans="1:10">
      <c r="A861" s="33" t="s">
        <v>33</v>
      </c>
      <c r="B861" s="34">
        <v>357.625</v>
      </c>
      <c r="C861" s="35">
        <v>12386.1</v>
      </c>
      <c r="D861" s="33" t="s">
        <v>277</v>
      </c>
      <c r="E861" s="34">
        <v>357.54700000000003</v>
      </c>
      <c r="F861" s="36">
        <v>7.7999999999974506E-2</v>
      </c>
      <c r="G861" s="34">
        <v>7.7999999999974506E-2</v>
      </c>
      <c r="H861" s="35">
        <v>96.1</v>
      </c>
      <c r="I861" s="37">
        <f t="shared" si="13"/>
        <v>7.7586972493359488E-3</v>
      </c>
      <c r="J861" s="33"/>
    </row>
    <row r="862" spans="1:10">
      <c r="A862" s="33" t="s">
        <v>33</v>
      </c>
      <c r="B862" s="34">
        <v>357.625</v>
      </c>
      <c r="C862" s="35">
        <v>12386.1</v>
      </c>
      <c r="D862" s="33" t="s">
        <v>275</v>
      </c>
      <c r="E862" s="34">
        <v>357.56</v>
      </c>
      <c r="F862" s="36">
        <v>6.4999999999997699E-2</v>
      </c>
      <c r="G862" s="34">
        <v>6.4999999999997699E-2</v>
      </c>
      <c r="H862" s="35">
        <v>9.4</v>
      </c>
      <c r="I862" s="37">
        <f t="shared" si="13"/>
        <v>7.5891523562703349E-4</v>
      </c>
      <c r="J862" s="33"/>
    </row>
    <row r="863" spans="1:10">
      <c r="A863" s="33" t="s">
        <v>33</v>
      </c>
      <c r="B863" s="34">
        <v>357.625</v>
      </c>
      <c r="C863" s="35">
        <v>12386.1</v>
      </c>
      <c r="D863" s="33" t="s">
        <v>277</v>
      </c>
      <c r="E863" s="34">
        <v>357.57600000000002</v>
      </c>
      <c r="F863" s="36">
        <v>4.89999999999782E-2</v>
      </c>
      <c r="G863" s="34">
        <v>4.89999999999782E-2</v>
      </c>
      <c r="H863" s="35">
        <v>105.4</v>
      </c>
      <c r="I863" s="37">
        <f t="shared" si="13"/>
        <v>8.5095389186265243E-3</v>
      </c>
      <c r="J863" s="33"/>
    </row>
    <row r="864" spans="1:10">
      <c r="A864" s="33" t="s">
        <v>33</v>
      </c>
      <c r="B864" s="34">
        <v>357.625</v>
      </c>
      <c r="C864" s="35">
        <v>12386.1</v>
      </c>
      <c r="D864" s="33" t="s">
        <v>236</v>
      </c>
      <c r="E864" s="34">
        <v>357.57799999999997</v>
      </c>
      <c r="F864" s="36">
        <v>4.7000000000025501E-2</v>
      </c>
      <c r="G864" s="34">
        <v>4.7000000000025501E-2</v>
      </c>
      <c r="H864" s="35">
        <v>572.5</v>
      </c>
      <c r="I864" s="37">
        <f t="shared" si="13"/>
        <v>4.6221167276220922E-2</v>
      </c>
      <c r="J864" s="33"/>
    </row>
    <row r="865" spans="1:10">
      <c r="A865" s="33" t="s">
        <v>33</v>
      </c>
      <c r="B865" s="34">
        <v>357.625</v>
      </c>
      <c r="C865" s="35">
        <v>12386.1</v>
      </c>
      <c r="D865" s="33" t="s">
        <v>273</v>
      </c>
      <c r="E865" s="34">
        <v>357.58499999999998</v>
      </c>
      <c r="F865" s="36">
        <v>4.0000000000020498E-2</v>
      </c>
      <c r="G865" s="34">
        <v>4.0000000000020498E-2</v>
      </c>
      <c r="H865" s="35">
        <v>495.3</v>
      </c>
      <c r="I865" s="37">
        <f t="shared" si="13"/>
        <v>3.9988374064475501E-2</v>
      </c>
      <c r="J865" s="33"/>
    </row>
    <row r="866" spans="1:10">
      <c r="A866" s="33" t="s">
        <v>33</v>
      </c>
      <c r="B866" s="34">
        <v>357.625</v>
      </c>
      <c r="C866" s="35">
        <v>12386.1</v>
      </c>
      <c r="D866" s="33" t="s">
        <v>165</v>
      </c>
      <c r="E866" s="34">
        <v>357.59300000000002</v>
      </c>
      <c r="F866" s="36">
        <v>3.19999999999823E-2</v>
      </c>
      <c r="G866" s="34">
        <v>3.19999999999823E-2</v>
      </c>
      <c r="H866" s="35">
        <v>3.3</v>
      </c>
      <c r="I866" s="37">
        <f t="shared" si="13"/>
        <v>2.6642768910310749E-4</v>
      </c>
      <c r="J866" s="33"/>
    </row>
    <row r="867" spans="1:10">
      <c r="A867" s="33" t="s">
        <v>33</v>
      </c>
      <c r="B867" s="34">
        <v>357.625</v>
      </c>
      <c r="C867" s="35">
        <v>12386.1</v>
      </c>
      <c r="D867" s="33" t="s">
        <v>97</v>
      </c>
      <c r="E867" s="34">
        <v>357.59800000000001</v>
      </c>
      <c r="F867" s="36">
        <v>2.6999999999986798E-2</v>
      </c>
      <c r="G867" s="34">
        <v>2.6999999999986798E-2</v>
      </c>
      <c r="H867" s="35">
        <v>3.4</v>
      </c>
      <c r="I867" s="37">
        <f t="shared" si="13"/>
        <v>2.745012554395653E-4</v>
      </c>
      <c r="J867" s="33"/>
    </row>
    <row r="868" spans="1:10">
      <c r="A868" s="33" t="s">
        <v>33</v>
      </c>
      <c r="B868" s="34">
        <v>357.625</v>
      </c>
      <c r="C868" s="35">
        <v>12386.1</v>
      </c>
      <c r="D868" s="33" t="s">
        <v>274</v>
      </c>
      <c r="E868" s="34">
        <v>357.59800000000001</v>
      </c>
      <c r="F868" s="36">
        <v>2.6999999999986798E-2</v>
      </c>
      <c r="G868" s="34">
        <v>2.6999999999986798E-2</v>
      </c>
      <c r="H868" s="35">
        <v>8.3000000000000007</v>
      </c>
      <c r="I868" s="37">
        <f t="shared" si="13"/>
        <v>6.7010600592599771E-4</v>
      </c>
      <c r="J868" s="33"/>
    </row>
    <row r="869" spans="1:10">
      <c r="A869" s="33" t="s">
        <v>33</v>
      </c>
      <c r="B869" s="34">
        <v>357.625</v>
      </c>
      <c r="C869" s="35">
        <v>12386.1</v>
      </c>
      <c r="D869" s="33" t="s">
        <v>278</v>
      </c>
      <c r="E869" s="34">
        <v>357.60500000000002</v>
      </c>
      <c r="F869" s="36">
        <v>1.99999999999818E-2</v>
      </c>
      <c r="G869" s="34">
        <v>1.99999999999818E-2</v>
      </c>
      <c r="H869" s="35">
        <v>93.5</v>
      </c>
      <c r="I869" s="37">
        <f t="shared" si="13"/>
        <v>7.548784524588046E-3</v>
      </c>
      <c r="J869" s="33"/>
    </row>
    <row r="870" spans="1:10">
      <c r="A870" s="33" t="s">
        <v>33</v>
      </c>
      <c r="B870" s="34">
        <v>357.625</v>
      </c>
      <c r="C870" s="35">
        <v>12386.1</v>
      </c>
      <c r="D870" s="33" t="s">
        <v>27</v>
      </c>
      <c r="E870" s="34">
        <v>357.61500000000001</v>
      </c>
      <c r="F870" s="36">
        <v>9.9999999999909103E-3</v>
      </c>
      <c r="G870" s="34">
        <v>9.9999999999909103E-3</v>
      </c>
      <c r="H870" s="35">
        <v>205.6</v>
      </c>
      <c r="I870" s="37">
        <f t="shared" si="13"/>
        <v>1.6599252387757241E-2</v>
      </c>
      <c r="J870" s="33" t="s">
        <v>116</v>
      </c>
    </row>
    <row r="871" spans="1:10">
      <c r="A871" s="33" t="s">
        <v>33</v>
      </c>
      <c r="B871" s="34">
        <v>357.625</v>
      </c>
      <c r="C871" s="35">
        <v>12386.1</v>
      </c>
      <c r="D871" s="33" t="s">
        <v>275</v>
      </c>
      <c r="E871" s="34">
        <v>357.61700000000002</v>
      </c>
      <c r="F871" s="36">
        <v>7.9999999999813606E-3</v>
      </c>
      <c r="G871" s="34">
        <v>7.9999999999813606E-3</v>
      </c>
      <c r="H871" s="35">
        <v>47</v>
      </c>
      <c r="I871" s="37">
        <f t="shared" si="13"/>
        <v>3.7945761781351677E-3</v>
      </c>
      <c r="J871" s="33"/>
    </row>
    <row r="872" spans="1:10">
      <c r="A872" s="33" t="s">
        <v>33</v>
      </c>
      <c r="B872" s="34">
        <v>357.625</v>
      </c>
      <c r="C872" s="35">
        <v>12386.1</v>
      </c>
      <c r="D872" s="33" t="s">
        <v>277</v>
      </c>
      <c r="E872" s="34">
        <v>357.62200000000001</v>
      </c>
      <c r="F872" s="36">
        <v>2.9999999999858998E-3</v>
      </c>
      <c r="G872" s="34">
        <v>2.9999999999858998E-3</v>
      </c>
      <c r="H872" s="35">
        <v>276.60000000000002</v>
      </c>
      <c r="I872" s="37">
        <f t="shared" si="13"/>
        <v>2.2331484486642284E-2</v>
      </c>
      <c r="J872" s="33"/>
    </row>
    <row r="873" spans="1:10">
      <c r="A873" s="33" t="s">
        <v>33</v>
      </c>
      <c r="B873" s="34">
        <v>357.625</v>
      </c>
      <c r="C873" s="35">
        <v>12386.1</v>
      </c>
      <c r="D873" s="33" t="s">
        <v>25</v>
      </c>
      <c r="E873" s="34">
        <v>357.62299999999999</v>
      </c>
      <c r="F873" s="36">
        <v>2.0000000000095501E-3</v>
      </c>
      <c r="G873" s="34">
        <v>2.0000000000095501E-3</v>
      </c>
      <c r="H873" s="35">
        <v>655.5</v>
      </c>
      <c r="I873" s="37">
        <f t="shared" si="13"/>
        <v>5.2922227335480902E-2</v>
      </c>
      <c r="J873" s="33" t="s">
        <v>116</v>
      </c>
    </row>
    <row r="874" spans="1:10">
      <c r="A874" s="33" t="s">
        <v>33</v>
      </c>
      <c r="B874" s="34">
        <v>357.625</v>
      </c>
      <c r="C874" s="35">
        <v>12386.1</v>
      </c>
      <c r="D874" s="33" t="s">
        <v>184</v>
      </c>
      <c r="E874" s="34">
        <v>357.63400000000001</v>
      </c>
      <c r="F874" s="36">
        <v>9.0000000000145502E-3</v>
      </c>
      <c r="G874" s="34">
        <v>9.0000000000145502E-3</v>
      </c>
      <c r="H874" s="35">
        <v>200450</v>
      </c>
      <c r="I874" s="37">
        <f t="shared" si="13"/>
        <v>16.183463721429668</v>
      </c>
      <c r="J874" s="33"/>
    </row>
    <row r="875" spans="1:10">
      <c r="A875" s="33" t="s">
        <v>33</v>
      </c>
      <c r="B875" s="34">
        <v>357.625</v>
      </c>
      <c r="C875" s="35">
        <v>12386.1</v>
      </c>
      <c r="D875" s="33" t="s">
        <v>271</v>
      </c>
      <c r="E875" s="34">
        <v>357.65600000000001</v>
      </c>
      <c r="F875" s="36">
        <v>3.1000000000005901E-2</v>
      </c>
      <c r="G875" s="34">
        <v>3.1000000000005901E-2</v>
      </c>
      <c r="H875" s="35">
        <v>96.9</v>
      </c>
      <c r="I875" s="37">
        <f t="shared" si="13"/>
        <v>7.8232857800276112E-3</v>
      </c>
      <c r="J875" s="33"/>
    </row>
    <row r="876" spans="1:10">
      <c r="A876" s="33" t="s">
        <v>33</v>
      </c>
      <c r="B876" s="34">
        <v>357.625</v>
      </c>
      <c r="C876" s="35">
        <v>12386.1</v>
      </c>
      <c r="D876" s="33" t="s">
        <v>97</v>
      </c>
      <c r="E876" s="34">
        <v>357.67599999999999</v>
      </c>
      <c r="F876" s="36">
        <v>5.0999999999987701E-2</v>
      </c>
      <c r="G876" s="34">
        <v>5.0999999999987701E-2</v>
      </c>
      <c r="H876" s="35">
        <v>43</v>
      </c>
      <c r="I876" s="37">
        <f t="shared" si="13"/>
        <v>3.4716335246768554E-3</v>
      </c>
      <c r="J876" s="33"/>
    </row>
    <row r="877" spans="1:10">
      <c r="A877" s="33" t="s">
        <v>33</v>
      </c>
      <c r="B877" s="34">
        <v>357.625</v>
      </c>
      <c r="C877" s="35">
        <v>12386.1</v>
      </c>
      <c r="D877" s="33" t="s">
        <v>165</v>
      </c>
      <c r="E877" s="34">
        <v>357.67599999999999</v>
      </c>
      <c r="F877" s="36">
        <v>5.0999999999987701E-2</v>
      </c>
      <c r="G877" s="34">
        <v>5.0999999999987701E-2</v>
      </c>
      <c r="H877" s="35">
        <v>45.2</v>
      </c>
      <c r="I877" s="37">
        <f t="shared" si="13"/>
        <v>3.6492519840789273E-3</v>
      </c>
      <c r="J877" s="33"/>
    </row>
    <row r="878" spans="1:10">
      <c r="A878" s="33" t="s">
        <v>33</v>
      </c>
      <c r="B878" s="34">
        <v>357.625</v>
      </c>
      <c r="C878" s="35">
        <v>12386.1</v>
      </c>
      <c r="D878" s="33" t="s">
        <v>236</v>
      </c>
      <c r="E878" s="34">
        <v>357.68400000000003</v>
      </c>
      <c r="F878" s="36">
        <v>5.90000000000259E-2</v>
      </c>
      <c r="G878" s="34">
        <v>5.90000000000259E-2</v>
      </c>
      <c r="H878" s="35">
        <v>23370.400000000001</v>
      </c>
      <c r="I878" s="37">
        <f t="shared" si="13"/>
        <v>1.8868247470955346</v>
      </c>
      <c r="J878" s="33"/>
    </row>
    <row r="879" spans="1:10">
      <c r="A879" s="33" t="s">
        <v>33</v>
      </c>
      <c r="B879" s="34">
        <v>357.625</v>
      </c>
      <c r="C879" s="35">
        <v>12386.1</v>
      </c>
      <c r="D879" s="33" t="s">
        <v>33</v>
      </c>
      <c r="E879" s="34">
        <v>357.68700000000001</v>
      </c>
      <c r="F879" s="36">
        <v>6.2000000000011803E-2</v>
      </c>
      <c r="G879" s="34">
        <v>6.2000000000011803E-2</v>
      </c>
      <c r="H879" s="35">
        <v>6317.1</v>
      </c>
      <c r="I879" s="37">
        <f t="shared" si="13"/>
        <v>0.51001525904037592</v>
      </c>
      <c r="J879" s="33" t="s">
        <v>116</v>
      </c>
    </row>
    <row r="880" spans="1:10">
      <c r="A880" s="33" t="s">
        <v>33</v>
      </c>
      <c r="B880" s="34">
        <v>357.625</v>
      </c>
      <c r="C880" s="35">
        <v>12386.1</v>
      </c>
      <c r="D880" s="33" t="s">
        <v>277</v>
      </c>
      <c r="E880" s="34">
        <v>357.70800000000003</v>
      </c>
      <c r="F880" s="36">
        <v>8.3000000000026802E-2</v>
      </c>
      <c r="G880" s="34">
        <v>8.3000000000026802E-2</v>
      </c>
      <c r="H880" s="35">
        <v>93</v>
      </c>
      <c r="I880" s="37">
        <f t="shared" si="13"/>
        <v>7.5084166929057575E-3</v>
      </c>
      <c r="J880" s="33"/>
    </row>
    <row r="881" spans="1:10">
      <c r="A881" s="33" t="s">
        <v>33</v>
      </c>
      <c r="B881" s="34">
        <v>357.625</v>
      </c>
      <c r="C881" s="35">
        <v>12386.1</v>
      </c>
      <c r="D881" s="33" t="s">
        <v>271</v>
      </c>
      <c r="E881" s="34">
        <v>357.721</v>
      </c>
      <c r="F881" s="36">
        <v>9.6000000000003596E-2</v>
      </c>
      <c r="G881" s="34">
        <v>9.6000000000003596E-2</v>
      </c>
      <c r="H881" s="35">
        <v>135.4</v>
      </c>
      <c r="I881" s="37">
        <f t="shared" si="13"/>
        <v>1.0931608819563865E-2</v>
      </c>
      <c r="J881" s="33"/>
    </row>
    <row r="882" spans="1:10">
      <c r="A882" s="33" t="s">
        <v>33</v>
      </c>
      <c r="B882" s="34">
        <v>357.625</v>
      </c>
      <c r="C882" s="35">
        <v>12386.1</v>
      </c>
      <c r="D882" s="33" t="s">
        <v>278</v>
      </c>
      <c r="E882" s="34">
        <v>357.72300000000001</v>
      </c>
      <c r="F882" s="36">
        <v>9.8000000000013202E-2</v>
      </c>
      <c r="G882" s="34">
        <v>9.8000000000013202E-2</v>
      </c>
      <c r="H882" s="35">
        <v>42.5</v>
      </c>
      <c r="I882" s="37">
        <f t="shared" si="13"/>
        <v>3.4312656929945664E-3</v>
      </c>
      <c r="J882" s="33"/>
    </row>
    <row r="883" spans="1:10">
      <c r="A883" s="33" t="s">
        <v>33</v>
      </c>
      <c r="B883" s="34">
        <v>357.625</v>
      </c>
      <c r="C883" s="35">
        <v>12386.1</v>
      </c>
      <c r="D883" s="33" t="s">
        <v>25</v>
      </c>
      <c r="E883" s="34">
        <v>357.74599999999998</v>
      </c>
      <c r="F883" s="36">
        <v>0.120999999999981</v>
      </c>
      <c r="G883" s="34">
        <v>0.120999999999981</v>
      </c>
      <c r="H883" s="35">
        <v>5279.5</v>
      </c>
      <c r="I883" s="37">
        <f t="shared" si="13"/>
        <v>0.4262439347332897</v>
      </c>
      <c r="J883" s="33" t="s">
        <v>116</v>
      </c>
    </row>
    <row r="884" spans="1:10">
      <c r="A884" s="33" t="s">
        <v>33</v>
      </c>
      <c r="B884" s="34">
        <v>357.625</v>
      </c>
      <c r="C884" s="35">
        <v>12386.1</v>
      </c>
      <c r="D884" s="33" t="s">
        <v>236</v>
      </c>
      <c r="E884" s="34">
        <v>357.75599999999997</v>
      </c>
      <c r="F884" s="36">
        <v>0.130999999999972</v>
      </c>
      <c r="G884" s="34">
        <v>0.130999999999972</v>
      </c>
      <c r="H884" s="35">
        <v>80.099999999999994</v>
      </c>
      <c r="I884" s="37">
        <f t="shared" si="13"/>
        <v>6.4669266355027004E-3</v>
      </c>
      <c r="J884" s="33"/>
    </row>
    <row r="885" spans="1:10">
      <c r="A885" s="33" t="s">
        <v>33</v>
      </c>
      <c r="B885" s="34">
        <v>357.625</v>
      </c>
      <c r="C885" s="35">
        <v>12386.1</v>
      </c>
      <c r="D885" s="33" t="s">
        <v>273</v>
      </c>
      <c r="E885" s="34">
        <v>357.77199999999999</v>
      </c>
      <c r="F885" s="36">
        <v>0.146999999999991</v>
      </c>
      <c r="G885" s="34">
        <v>0.146999999999991</v>
      </c>
      <c r="H885" s="35">
        <v>55.6</v>
      </c>
      <c r="I885" s="37">
        <f t="shared" si="13"/>
        <v>4.4889028830705389E-3</v>
      </c>
      <c r="J885" s="33"/>
    </row>
    <row r="886" spans="1:10">
      <c r="A886" s="33" t="s">
        <v>33</v>
      </c>
      <c r="B886" s="34">
        <v>357.625</v>
      </c>
      <c r="C886" s="35">
        <v>12386.1</v>
      </c>
      <c r="D886" s="33" t="s">
        <v>270</v>
      </c>
      <c r="E886" s="34">
        <v>357.77800000000002</v>
      </c>
      <c r="F886" s="36">
        <v>0.15300000000002001</v>
      </c>
      <c r="G886" s="34">
        <v>0.15300000000002001</v>
      </c>
      <c r="H886" s="35">
        <v>1067.3</v>
      </c>
      <c r="I886" s="37">
        <f t="shared" si="13"/>
        <v>8.6169173509014124E-2</v>
      </c>
      <c r="J886" s="33"/>
    </row>
    <row r="887" spans="1:10">
      <c r="A887" s="33" t="s">
        <v>33</v>
      </c>
      <c r="B887" s="34">
        <v>357.625</v>
      </c>
      <c r="C887" s="35">
        <v>12386.1</v>
      </c>
      <c r="D887" s="33" t="s">
        <v>240</v>
      </c>
      <c r="E887" s="34">
        <v>357.78699999999998</v>
      </c>
      <c r="F887" s="36">
        <v>0.16199999999997799</v>
      </c>
      <c r="G887" s="34">
        <v>0.16199999999997799</v>
      </c>
      <c r="H887" s="35">
        <v>595.6</v>
      </c>
      <c r="I887" s="37">
        <f t="shared" si="13"/>
        <v>4.8086161099942681E-2</v>
      </c>
      <c r="J887" s="33"/>
    </row>
    <row r="888" spans="1:10">
      <c r="A888" s="33" t="s">
        <v>33</v>
      </c>
      <c r="B888" s="34">
        <v>357.625</v>
      </c>
      <c r="C888" s="35">
        <v>12386.1</v>
      </c>
      <c r="D888" s="33" t="s">
        <v>278</v>
      </c>
      <c r="E888" s="34">
        <v>357.78800000000001</v>
      </c>
      <c r="F888" s="36">
        <v>0.163000000000011</v>
      </c>
      <c r="G888" s="34">
        <v>0.163000000000011</v>
      </c>
      <c r="H888" s="35">
        <v>60.3</v>
      </c>
      <c r="I888" s="37">
        <f t="shared" si="13"/>
        <v>4.8683605008840551E-3</v>
      </c>
      <c r="J888" s="33"/>
    </row>
    <row r="889" spans="1:10">
      <c r="A889" s="33" t="s">
        <v>33</v>
      </c>
      <c r="B889" s="34">
        <v>357.625</v>
      </c>
      <c r="C889" s="35">
        <v>12386.1</v>
      </c>
      <c r="D889" s="33" t="s">
        <v>277</v>
      </c>
      <c r="E889" s="34">
        <v>357.79199999999997</v>
      </c>
      <c r="F889" s="36">
        <v>0.166999999999973</v>
      </c>
      <c r="G889" s="34">
        <v>0.166999999999973</v>
      </c>
      <c r="H889" s="35">
        <v>26.4</v>
      </c>
      <c r="I889" s="37">
        <f t="shared" si="13"/>
        <v>2.1314215128248599E-3</v>
      </c>
      <c r="J889" s="33"/>
    </row>
    <row r="890" spans="1:10">
      <c r="A890" s="33" t="s">
        <v>33</v>
      </c>
      <c r="B890" s="34">
        <v>357.625</v>
      </c>
      <c r="C890" s="35">
        <v>12386.1</v>
      </c>
      <c r="D890" s="33" t="s">
        <v>33</v>
      </c>
      <c r="E890" s="34">
        <v>357.798</v>
      </c>
      <c r="F890" s="36">
        <v>0.17300000000000201</v>
      </c>
      <c r="G890" s="34">
        <v>0.17300000000000201</v>
      </c>
      <c r="H890" s="35">
        <v>2638.9</v>
      </c>
      <c r="I890" s="37">
        <f t="shared" si="13"/>
        <v>0.21305334205278498</v>
      </c>
      <c r="J890" s="33" t="s">
        <v>116</v>
      </c>
    </row>
    <row r="891" spans="1:10">
      <c r="A891" s="33" t="s">
        <v>33</v>
      </c>
      <c r="B891" s="34">
        <v>357.625</v>
      </c>
      <c r="C891" s="35">
        <v>12386.1</v>
      </c>
      <c r="D891" s="33" t="s">
        <v>54</v>
      </c>
      <c r="E891" s="34">
        <v>357.80700000000002</v>
      </c>
      <c r="F891" s="36">
        <v>0.18200000000001601</v>
      </c>
      <c r="G891" s="34">
        <v>0.18200000000001601</v>
      </c>
      <c r="H891" s="35">
        <v>45.9</v>
      </c>
      <c r="I891" s="37">
        <f t="shared" si="13"/>
        <v>3.7057669484341317E-3</v>
      </c>
      <c r="J891" s="33"/>
    </row>
    <row r="892" spans="1:10">
      <c r="A892" s="33" t="s">
        <v>33</v>
      </c>
      <c r="B892" s="34">
        <v>357.625</v>
      </c>
      <c r="C892" s="35">
        <v>12386.1</v>
      </c>
      <c r="D892" s="33" t="s">
        <v>271</v>
      </c>
      <c r="E892" s="34">
        <v>357.81599999999997</v>
      </c>
      <c r="F892" s="36">
        <v>0.190999999999974</v>
      </c>
      <c r="G892" s="34">
        <v>0.190999999999974</v>
      </c>
      <c r="H892" s="35">
        <v>152.6</v>
      </c>
      <c r="I892" s="37">
        <f t="shared" si="13"/>
        <v>1.2320262229434607E-2</v>
      </c>
      <c r="J892" s="33"/>
    </row>
    <row r="893" spans="1:10">
      <c r="A893" s="33" t="s">
        <v>33</v>
      </c>
      <c r="B893" s="34">
        <v>364.54</v>
      </c>
      <c r="C893" s="35">
        <v>16509.7</v>
      </c>
      <c r="D893" s="33" t="s">
        <v>54</v>
      </c>
      <c r="E893" s="34">
        <v>364.31799999999998</v>
      </c>
      <c r="F893" s="36">
        <v>0.222000000000037</v>
      </c>
      <c r="G893" s="34">
        <v>0.222000000000037</v>
      </c>
      <c r="H893" s="35">
        <v>14.8</v>
      </c>
      <c r="I893" s="37">
        <f t="shared" si="13"/>
        <v>8.9644269732339174E-4</v>
      </c>
      <c r="J893" s="33"/>
    </row>
    <row r="894" spans="1:10">
      <c r="A894" s="33" t="s">
        <v>33</v>
      </c>
      <c r="B894" s="34">
        <v>364.54</v>
      </c>
      <c r="C894" s="35">
        <v>16509.7</v>
      </c>
      <c r="D894" s="33" t="s">
        <v>239</v>
      </c>
      <c r="E894" s="34">
        <v>364.32</v>
      </c>
      <c r="F894" s="36">
        <v>0.22000000000002701</v>
      </c>
      <c r="G894" s="34">
        <v>0.22000000000002701</v>
      </c>
      <c r="H894" s="35">
        <v>6.5</v>
      </c>
      <c r="I894" s="37">
        <f t="shared" si="13"/>
        <v>3.9370794139203012E-4</v>
      </c>
      <c r="J894" s="33"/>
    </row>
    <row r="895" spans="1:10">
      <c r="A895" s="33" t="s">
        <v>33</v>
      </c>
      <c r="B895" s="34">
        <v>364.54</v>
      </c>
      <c r="C895" s="35">
        <v>16509.7</v>
      </c>
      <c r="D895" s="33" t="s">
        <v>273</v>
      </c>
      <c r="E895" s="34">
        <v>364.334</v>
      </c>
      <c r="F895" s="36">
        <v>0.206000000000017</v>
      </c>
      <c r="G895" s="34">
        <v>0.206000000000017</v>
      </c>
      <c r="H895" s="35">
        <v>47</v>
      </c>
      <c r="I895" s="37">
        <f t="shared" si="13"/>
        <v>2.846811268526987E-3</v>
      </c>
      <c r="J895" s="33"/>
    </row>
    <row r="896" spans="1:10">
      <c r="A896" s="33" t="s">
        <v>33</v>
      </c>
      <c r="B896" s="34">
        <v>364.54</v>
      </c>
      <c r="C896" s="35">
        <v>16509.7</v>
      </c>
      <c r="D896" s="33" t="s">
        <v>97</v>
      </c>
      <c r="E896" s="34">
        <v>364.36799999999999</v>
      </c>
      <c r="F896" s="36">
        <v>0.17200000000002599</v>
      </c>
      <c r="G896" s="34">
        <v>0.17200000000002599</v>
      </c>
      <c r="H896" s="35">
        <v>3.9</v>
      </c>
      <c r="I896" s="37">
        <f t="shared" si="13"/>
        <v>2.3622476483521807E-4</v>
      </c>
      <c r="J896" s="33"/>
    </row>
    <row r="897" spans="1:10">
      <c r="A897" s="33" t="s">
        <v>33</v>
      </c>
      <c r="B897" s="34">
        <v>364.54</v>
      </c>
      <c r="C897" s="35">
        <v>16509.7</v>
      </c>
      <c r="D897" s="33" t="s">
        <v>273</v>
      </c>
      <c r="E897" s="34">
        <v>364.37</v>
      </c>
      <c r="F897" s="36">
        <v>0.170000000000016</v>
      </c>
      <c r="G897" s="34">
        <v>0.170000000000016</v>
      </c>
      <c r="H897" s="35">
        <v>9.6999999999999993</v>
      </c>
      <c r="I897" s="37">
        <f t="shared" si="13"/>
        <v>5.875333894619526E-4</v>
      </c>
      <c r="J897" s="33"/>
    </row>
    <row r="898" spans="1:10">
      <c r="A898" s="33" t="s">
        <v>33</v>
      </c>
      <c r="B898" s="34">
        <v>364.54</v>
      </c>
      <c r="C898" s="35">
        <v>16509.7</v>
      </c>
      <c r="D898" s="33" t="s">
        <v>184</v>
      </c>
      <c r="E898" s="34">
        <v>364.37599999999998</v>
      </c>
      <c r="F898" s="36">
        <v>0.164000000000044</v>
      </c>
      <c r="G898" s="34">
        <v>0.164000000000044</v>
      </c>
      <c r="H898" s="35">
        <v>89.9</v>
      </c>
      <c r="I898" s="37">
        <f t="shared" ref="I898:I961" si="14">H898/C898</f>
        <v>5.4452836817143859E-3</v>
      </c>
      <c r="J898" s="33"/>
    </row>
    <row r="899" spans="1:10">
      <c r="A899" s="33" t="s">
        <v>33</v>
      </c>
      <c r="B899" s="34">
        <v>364.54</v>
      </c>
      <c r="C899" s="35">
        <v>16509.7</v>
      </c>
      <c r="D899" s="33" t="s">
        <v>33</v>
      </c>
      <c r="E899" s="34">
        <v>364.39299999999997</v>
      </c>
      <c r="F899" s="36">
        <v>0.14700000000004801</v>
      </c>
      <c r="G899" s="34">
        <v>0.14700000000004801</v>
      </c>
      <c r="H899" s="35">
        <v>406</v>
      </c>
      <c r="I899" s="37">
        <f t="shared" si="14"/>
        <v>2.4591603723871421E-2</v>
      </c>
      <c r="J899" s="33" t="s">
        <v>116</v>
      </c>
    </row>
    <row r="900" spans="1:10">
      <c r="A900" s="33" t="s">
        <v>33</v>
      </c>
      <c r="B900" s="34">
        <v>364.54</v>
      </c>
      <c r="C900" s="35">
        <v>16509.7</v>
      </c>
      <c r="D900" s="33" t="s">
        <v>269</v>
      </c>
      <c r="E900" s="34">
        <v>364.435</v>
      </c>
      <c r="F900" s="36">
        <v>0.105000000000018</v>
      </c>
      <c r="G900" s="34">
        <v>0.105000000000018</v>
      </c>
      <c r="H900" s="35">
        <v>3073.1</v>
      </c>
      <c r="I900" s="37">
        <f t="shared" si="14"/>
        <v>0.18613905764489966</v>
      </c>
      <c r="J900" s="33"/>
    </row>
    <row r="901" spans="1:10">
      <c r="A901" s="33" t="s">
        <v>33</v>
      </c>
      <c r="B901" s="34">
        <v>364.54</v>
      </c>
      <c r="C901" s="35">
        <v>16509.7</v>
      </c>
      <c r="D901" s="33" t="s">
        <v>271</v>
      </c>
      <c r="E901" s="34">
        <v>364.435</v>
      </c>
      <c r="F901" s="36">
        <v>0.105000000000018</v>
      </c>
      <c r="G901" s="34">
        <v>0.105000000000018</v>
      </c>
      <c r="H901" s="35">
        <v>78.2</v>
      </c>
      <c r="I901" s="37">
        <f t="shared" si="14"/>
        <v>4.7366093872087322E-3</v>
      </c>
      <c r="J901" s="33"/>
    </row>
    <row r="902" spans="1:10">
      <c r="A902" s="33" t="s">
        <v>33</v>
      </c>
      <c r="B902" s="34">
        <v>364.54</v>
      </c>
      <c r="C902" s="35">
        <v>16509.7</v>
      </c>
      <c r="D902" s="33" t="s">
        <v>238</v>
      </c>
      <c r="E902" s="34">
        <v>364.44099999999997</v>
      </c>
      <c r="F902" s="36">
        <v>9.9000000000046398E-2</v>
      </c>
      <c r="G902" s="34">
        <v>9.9000000000046398E-2</v>
      </c>
      <c r="H902" s="35">
        <v>112.8</v>
      </c>
      <c r="I902" s="37">
        <f t="shared" si="14"/>
        <v>6.8323470444647686E-3</v>
      </c>
      <c r="J902" s="33"/>
    </row>
    <row r="903" spans="1:10">
      <c r="A903" s="33" t="s">
        <v>33</v>
      </c>
      <c r="B903" s="34">
        <v>364.54</v>
      </c>
      <c r="C903" s="35">
        <v>16509.7</v>
      </c>
      <c r="D903" s="33" t="s">
        <v>271</v>
      </c>
      <c r="E903" s="34">
        <v>364.471</v>
      </c>
      <c r="F903" s="36">
        <v>6.9000000000016798E-2</v>
      </c>
      <c r="G903" s="34">
        <v>6.9000000000016798E-2</v>
      </c>
      <c r="H903" s="35">
        <v>38.799999999999997</v>
      </c>
      <c r="I903" s="37">
        <f t="shared" si="14"/>
        <v>2.3501335578478104E-3</v>
      </c>
      <c r="J903" s="33"/>
    </row>
    <row r="904" spans="1:10">
      <c r="A904" s="33" t="s">
        <v>33</v>
      </c>
      <c r="B904" s="34">
        <v>364.54</v>
      </c>
      <c r="C904" s="35">
        <v>16509.7</v>
      </c>
      <c r="D904" s="33" t="s">
        <v>278</v>
      </c>
      <c r="E904" s="34">
        <v>364.471</v>
      </c>
      <c r="F904" s="36">
        <v>6.9000000000016798E-2</v>
      </c>
      <c r="G904" s="34">
        <v>6.9000000000016798E-2</v>
      </c>
      <c r="H904" s="35">
        <v>47</v>
      </c>
      <c r="I904" s="37">
        <f t="shared" si="14"/>
        <v>2.846811268526987E-3</v>
      </c>
      <c r="J904" s="33"/>
    </row>
    <row r="905" spans="1:10">
      <c r="A905" s="33" t="s">
        <v>33</v>
      </c>
      <c r="B905" s="34">
        <v>364.54</v>
      </c>
      <c r="C905" s="35">
        <v>16509.7</v>
      </c>
      <c r="D905" s="33" t="s">
        <v>239</v>
      </c>
      <c r="E905" s="34">
        <v>364.47500000000002</v>
      </c>
      <c r="F905" s="36">
        <v>6.4999999999997699E-2</v>
      </c>
      <c r="G905" s="34">
        <v>6.4999999999997699E-2</v>
      </c>
      <c r="H905" s="35">
        <v>11.9</v>
      </c>
      <c r="I905" s="37">
        <f t="shared" si="14"/>
        <v>7.2078838501002439E-4</v>
      </c>
      <c r="J905" s="33"/>
    </row>
    <row r="906" spans="1:10">
      <c r="A906" s="33" t="s">
        <v>33</v>
      </c>
      <c r="B906" s="34">
        <v>364.54</v>
      </c>
      <c r="C906" s="35">
        <v>16509.7</v>
      </c>
      <c r="D906" s="33" t="s">
        <v>273</v>
      </c>
      <c r="E906" s="34">
        <v>364.49299999999999</v>
      </c>
      <c r="F906" s="36">
        <v>4.7000000000025501E-2</v>
      </c>
      <c r="G906" s="34">
        <v>4.7000000000025501E-2</v>
      </c>
      <c r="H906" s="35">
        <v>11.1</v>
      </c>
      <c r="I906" s="37">
        <f t="shared" si="14"/>
        <v>6.7233202299254373E-4</v>
      </c>
      <c r="J906" s="33"/>
    </row>
    <row r="907" spans="1:10">
      <c r="A907" s="33" t="s">
        <v>33</v>
      </c>
      <c r="B907" s="34">
        <v>364.54</v>
      </c>
      <c r="C907" s="35">
        <v>16509.7</v>
      </c>
      <c r="D907" s="33" t="s">
        <v>277</v>
      </c>
      <c r="E907" s="34">
        <v>364.50299999999999</v>
      </c>
      <c r="F907" s="36">
        <v>3.7000000000034602E-2</v>
      </c>
      <c r="G907" s="34">
        <v>3.7000000000034602E-2</v>
      </c>
      <c r="H907" s="35">
        <v>133.69999999999999</v>
      </c>
      <c r="I907" s="37">
        <f t="shared" si="14"/>
        <v>8.0982695021714502E-3</v>
      </c>
      <c r="J907" s="33"/>
    </row>
    <row r="908" spans="1:10">
      <c r="A908" s="33" t="s">
        <v>33</v>
      </c>
      <c r="B908" s="34">
        <v>364.54</v>
      </c>
      <c r="C908" s="35">
        <v>16509.7</v>
      </c>
      <c r="D908" s="33" t="s">
        <v>97</v>
      </c>
      <c r="E908" s="34">
        <v>364.50599999999997</v>
      </c>
      <c r="F908" s="36">
        <v>3.40000000000487E-2</v>
      </c>
      <c r="G908" s="34">
        <v>3.40000000000487E-2</v>
      </c>
      <c r="H908" s="35">
        <v>1.3</v>
      </c>
      <c r="I908" s="37">
        <f t="shared" si="14"/>
        <v>7.8741588278406034E-5</v>
      </c>
      <c r="J908" s="33"/>
    </row>
    <row r="909" spans="1:10">
      <c r="A909" s="33" t="s">
        <v>33</v>
      </c>
      <c r="B909" s="34">
        <v>364.54</v>
      </c>
      <c r="C909" s="35">
        <v>16509.7</v>
      </c>
      <c r="D909" s="33" t="s">
        <v>54</v>
      </c>
      <c r="E909" s="34">
        <v>364.51900000000001</v>
      </c>
      <c r="F909" s="36">
        <v>2.1000000000015E-2</v>
      </c>
      <c r="G909" s="34">
        <v>2.1000000000015E-2</v>
      </c>
      <c r="H909" s="35">
        <v>3.1</v>
      </c>
      <c r="I909" s="37">
        <f t="shared" si="14"/>
        <v>1.8776840281773744E-4</v>
      </c>
      <c r="J909" s="33"/>
    </row>
    <row r="910" spans="1:10">
      <c r="A910" s="33" t="s">
        <v>33</v>
      </c>
      <c r="B910" s="34">
        <v>364.54</v>
      </c>
      <c r="C910" s="35">
        <v>16509.7</v>
      </c>
      <c r="D910" s="33" t="s">
        <v>184</v>
      </c>
      <c r="E910" s="34">
        <v>364.53100000000001</v>
      </c>
      <c r="F910" s="36">
        <v>9.0000000000145502E-3</v>
      </c>
      <c r="G910" s="34">
        <v>9.0000000000145502E-3</v>
      </c>
      <c r="H910" s="35">
        <v>35830</v>
      </c>
      <c r="I910" s="37">
        <f t="shared" si="14"/>
        <v>2.1702393138579139</v>
      </c>
      <c r="J910" s="33"/>
    </row>
    <row r="911" spans="1:10">
      <c r="A911" s="33" t="s">
        <v>33</v>
      </c>
      <c r="B911" s="34">
        <v>364.54</v>
      </c>
      <c r="C911" s="35">
        <v>16509.7</v>
      </c>
      <c r="D911" s="33" t="s">
        <v>270</v>
      </c>
      <c r="E911" s="34">
        <v>364.53899999999999</v>
      </c>
      <c r="F911" s="36">
        <v>1.0000000000332E-3</v>
      </c>
      <c r="G911" s="34">
        <v>1.0000000000332E-3</v>
      </c>
      <c r="H911" s="35">
        <v>2070.9</v>
      </c>
      <c r="I911" s="37">
        <f t="shared" si="14"/>
        <v>0.12543535012750079</v>
      </c>
      <c r="J911" s="33"/>
    </row>
    <row r="912" spans="1:10">
      <c r="A912" s="33" t="s">
        <v>33</v>
      </c>
      <c r="B912" s="34">
        <v>364.54</v>
      </c>
      <c r="C912" s="35">
        <v>16509.7</v>
      </c>
      <c r="D912" s="33" t="s">
        <v>277</v>
      </c>
      <c r="E912" s="34">
        <v>364.54</v>
      </c>
      <c r="F912" s="36">
        <v>0</v>
      </c>
      <c r="G912" s="34">
        <v>0</v>
      </c>
      <c r="H912" s="35">
        <v>29.2</v>
      </c>
      <c r="I912" s="37">
        <f t="shared" si="14"/>
        <v>1.7686572136380429E-3</v>
      </c>
      <c r="J912" s="33"/>
    </row>
    <row r="913" spans="1:10">
      <c r="A913" s="33" t="s">
        <v>33</v>
      </c>
      <c r="B913" s="34">
        <v>364.54</v>
      </c>
      <c r="C913" s="35">
        <v>16509.7</v>
      </c>
      <c r="D913" s="33" t="s">
        <v>133</v>
      </c>
      <c r="E913" s="34">
        <v>364.541</v>
      </c>
      <c r="F913" s="36">
        <v>9.9999999997635292E-4</v>
      </c>
      <c r="G913" s="34">
        <v>9.9999999997635292E-4</v>
      </c>
      <c r="H913" s="35">
        <v>7567.6</v>
      </c>
      <c r="I913" s="37">
        <f t="shared" si="14"/>
        <v>0.45837295650435805</v>
      </c>
      <c r="J913" s="33"/>
    </row>
    <row r="914" spans="1:10">
      <c r="A914" s="33" t="s">
        <v>33</v>
      </c>
      <c r="B914" s="34">
        <v>364.54</v>
      </c>
      <c r="C914" s="35">
        <v>16509.7</v>
      </c>
      <c r="D914" s="33" t="s">
        <v>25</v>
      </c>
      <c r="E914" s="34">
        <v>364.54599999999999</v>
      </c>
      <c r="F914" s="36">
        <v>5.99999999997181E-3</v>
      </c>
      <c r="G914" s="34">
        <v>5.99999999997181E-3</v>
      </c>
      <c r="H914" s="35">
        <v>249.2</v>
      </c>
      <c r="I914" s="37">
        <f t="shared" si="14"/>
        <v>1.5094156768445216E-2</v>
      </c>
      <c r="J914" s="33" t="s">
        <v>116</v>
      </c>
    </row>
    <row r="915" spans="1:10">
      <c r="A915" s="33" t="s">
        <v>33</v>
      </c>
      <c r="B915" s="34">
        <v>364.54</v>
      </c>
      <c r="C915" s="35">
        <v>16509.7</v>
      </c>
      <c r="D915" s="33" t="s">
        <v>173</v>
      </c>
      <c r="E915" s="34">
        <v>364.55500000000001</v>
      </c>
      <c r="F915" s="36">
        <v>1.4999999999986399E-2</v>
      </c>
      <c r="G915" s="34">
        <v>1.4999999999986399E-2</v>
      </c>
      <c r="H915" s="35">
        <v>1173.5999999999999</v>
      </c>
      <c r="I915" s="37">
        <f t="shared" si="14"/>
        <v>7.1085483079644074E-2</v>
      </c>
      <c r="J915" s="33"/>
    </row>
    <row r="916" spans="1:10">
      <c r="A916" s="33" t="s">
        <v>33</v>
      </c>
      <c r="B916" s="34">
        <v>364.54</v>
      </c>
      <c r="C916" s="35">
        <v>16509.7</v>
      </c>
      <c r="D916" s="33" t="s">
        <v>274</v>
      </c>
      <c r="E916" s="34">
        <v>364.56099999999998</v>
      </c>
      <c r="F916" s="36">
        <v>2.0999999999958201E-2</v>
      </c>
      <c r="G916" s="34">
        <v>2.0999999999958201E-2</v>
      </c>
      <c r="H916" s="35">
        <v>37.200000000000003</v>
      </c>
      <c r="I916" s="37">
        <f t="shared" si="14"/>
        <v>2.2532208338128493E-3</v>
      </c>
      <c r="J916" s="33"/>
    </row>
    <row r="917" spans="1:10">
      <c r="A917" s="33" t="s">
        <v>33</v>
      </c>
      <c r="B917" s="34">
        <v>364.54</v>
      </c>
      <c r="C917" s="35">
        <v>16509.7</v>
      </c>
      <c r="D917" s="33" t="s">
        <v>36</v>
      </c>
      <c r="E917" s="34">
        <v>364.56200000000001</v>
      </c>
      <c r="F917" s="36">
        <v>2.1999999999999999E-2</v>
      </c>
      <c r="G917" s="34">
        <v>2.1999999999999999E-2</v>
      </c>
      <c r="H917" s="35">
        <v>1756.3</v>
      </c>
      <c r="I917" s="37">
        <f t="shared" si="14"/>
        <v>0.10637988576412653</v>
      </c>
      <c r="J917" s="33" t="s">
        <v>116</v>
      </c>
    </row>
    <row r="918" spans="1:10">
      <c r="A918" s="33" t="s">
        <v>33</v>
      </c>
      <c r="B918" s="34">
        <v>364.54</v>
      </c>
      <c r="C918" s="35">
        <v>16509.7</v>
      </c>
      <c r="D918" s="33" t="s">
        <v>27</v>
      </c>
      <c r="E918" s="34">
        <v>364.565</v>
      </c>
      <c r="F918" s="36">
        <v>2.4999999999977301E-2</v>
      </c>
      <c r="G918" s="34">
        <v>2.4999999999977301E-2</v>
      </c>
      <c r="H918" s="35">
        <v>334.6</v>
      </c>
      <c r="I918" s="37">
        <f t="shared" si="14"/>
        <v>2.0266873413811275E-2</v>
      </c>
      <c r="J918" s="33" t="s">
        <v>116</v>
      </c>
    </row>
    <row r="919" spans="1:10">
      <c r="A919" s="33" t="s">
        <v>33</v>
      </c>
      <c r="B919" s="34">
        <v>364.54</v>
      </c>
      <c r="C919" s="35">
        <v>16509.7</v>
      </c>
      <c r="D919" s="33" t="s">
        <v>97</v>
      </c>
      <c r="E919" s="34">
        <v>364.58199999999999</v>
      </c>
      <c r="F919" s="36">
        <v>4.1999999999973198E-2</v>
      </c>
      <c r="G919" s="34">
        <v>4.1999999999973198E-2</v>
      </c>
      <c r="H919" s="35">
        <v>48</v>
      </c>
      <c r="I919" s="37">
        <f t="shared" si="14"/>
        <v>2.9073817210488379E-3</v>
      </c>
      <c r="J919" s="33"/>
    </row>
    <row r="920" spans="1:10">
      <c r="A920" s="33" t="s">
        <v>33</v>
      </c>
      <c r="B920" s="34">
        <v>364.54</v>
      </c>
      <c r="C920" s="35">
        <v>16509.7</v>
      </c>
      <c r="D920" s="33" t="s">
        <v>33</v>
      </c>
      <c r="E920" s="34">
        <v>364.58600000000001</v>
      </c>
      <c r="F920" s="36">
        <v>4.5999999999992297E-2</v>
      </c>
      <c r="G920" s="34">
        <v>4.5999999999992297E-2</v>
      </c>
      <c r="H920" s="35">
        <v>413.3</v>
      </c>
      <c r="I920" s="37">
        <f t="shared" si="14"/>
        <v>2.5033768027280932E-2</v>
      </c>
      <c r="J920" s="33" t="s">
        <v>116</v>
      </c>
    </row>
    <row r="921" spans="1:10">
      <c r="A921" s="33" t="s">
        <v>33</v>
      </c>
      <c r="B921" s="34">
        <v>364.54</v>
      </c>
      <c r="C921" s="35">
        <v>16509.7</v>
      </c>
      <c r="D921" s="33" t="s">
        <v>270</v>
      </c>
      <c r="E921" s="34">
        <v>364.59</v>
      </c>
      <c r="F921" s="36">
        <v>4.9999999999954498E-2</v>
      </c>
      <c r="G921" s="34">
        <v>4.9999999999954498E-2</v>
      </c>
      <c r="H921" s="35">
        <v>457.9</v>
      </c>
      <c r="I921" s="37">
        <f t="shared" si="14"/>
        <v>2.7735210209755473E-2</v>
      </c>
      <c r="J921" s="33"/>
    </row>
    <row r="922" spans="1:10">
      <c r="A922" s="33" t="s">
        <v>33</v>
      </c>
      <c r="B922" s="34">
        <v>364.54</v>
      </c>
      <c r="C922" s="35">
        <v>16509.7</v>
      </c>
      <c r="D922" s="33" t="s">
        <v>278</v>
      </c>
      <c r="E922" s="34">
        <v>364.59199999999998</v>
      </c>
      <c r="F922" s="36">
        <v>5.1999999999964103E-2</v>
      </c>
      <c r="G922" s="34">
        <v>5.1999999999964103E-2</v>
      </c>
      <c r="H922" s="35">
        <v>40.299999999999997</v>
      </c>
      <c r="I922" s="37">
        <f t="shared" si="14"/>
        <v>2.4409892366305864E-3</v>
      </c>
      <c r="J922" s="33"/>
    </row>
    <row r="923" spans="1:10">
      <c r="A923" s="33" t="s">
        <v>33</v>
      </c>
      <c r="B923" s="34">
        <v>364.54</v>
      </c>
      <c r="C923" s="35">
        <v>16509.7</v>
      </c>
      <c r="D923" s="33" t="s">
        <v>84</v>
      </c>
      <c r="E923" s="34">
        <v>364.59399999999999</v>
      </c>
      <c r="F923" s="36">
        <v>5.3999999999999999E-2</v>
      </c>
      <c r="G923" s="34">
        <v>5.3999999999999999E-2</v>
      </c>
      <c r="H923" s="35">
        <v>2249.5</v>
      </c>
      <c r="I923" s="37">
        <f t="shared" si="14"/>
        <v>0.13625323294790334</v>
      </c>
      <c r="J923" s="33" t="s">
        <v>116</v>
      </c>
    </row>
    <row r="924" spans="1:10">
      <c r="A924" s="33" t="s">
        <v>33</v>
      </c>
      <c r="B924" s="34">
        <v>364.54</v>
      </c>
      <c r="C924" s="35">
        <v>16509.7</v>
      </c>
      <c r="D924" s="33" t="s">
        <v>268</v>
      </c>
      <c r="E924" s="34">
        <v>364.61099999999999</v>
      </c>
      <c r="F924" s="36">
        <v>7.0999999999969504E-2</v>
      </c>
      <c r="G924" s="34">
        <v>7.0999999999969504E-2</v>
      </c>
      <c r="H924" s="35">
        <v>11.7</v>
      </c>
      <c r="I924" s="37">
        <f t="shared" si="14"/>
        <v>7.086742945056542E-4</v>
      </c>
      <c r="J924" s="33"/>
    </row>
    <row r="925" spans="1:10">
      <c r="A925" s="33" t="s">
        <v>33</v>
      </c>
      <c r="B925" s="34">
        <v>364.54</v>
      </c>
      <c r="C925" s="35">
        <v>16509.7</v>
      </c>
      <c r="D925" s="33" t="s">
        <v>36</v>
      </c>
      <c r="E925" s="34">
        <v>364.62</v>
      </c>
      <c r="F925" s="36">
        <v>0.08</v>
      </c>
      <c r="G925" s="34">
        <v>0.08</v>
      </c>
      <c r="H925" s="35">
        <v>13368.1</v>
      </c>
      <c r="I925" s="37">
        <f t="shared" si="14"/>
        <v>0.80971186635735359</v>
      </c>
      <c r="J925" s="33" t="s">
        <v>116</v>
      </c>
    </row>
    <row r="926" spans="1:10">
      <c r="A926" s="33" t="s">
        <v>33</v>
      </c>
      <c r="B926" s="34">
        <v>364.54</v>
      </c>
      <c r="C926" s="35">
        <v>16509.7</v>
      </c>
      <c r="D926" s="33" t="s">
        <v>173</v>
      </c>
      <c r="E926" s="34">
        <v>364.63</v>
      </c>
      <c r="F926" s="36">
        <v>8.9999999999975003E-2</v>
      </c>
      <c r="G926" s="34">
        <v>8.9999999999975003E-2</v>
      </c>
      <c r="H926" s="35">
        <v>600.6</v>
      </c>
      <c r="I926" s="37">
        <f t="shared" si="14"/>
        <v>3.6378613784623585E-2</v>
      </c>
      <c r="J926" s="33"/>
    </row>
    <row r="927" spans="1:10">
      <c r="A927" s="33" t="s">
        <v>33</v>
      </c>
      <c r="B927" s="34">
        <v>364.54</v>
      </c>
      <c r="C927" s="35">
        <v>16509.7</v>
      </c>
      <c r="D927" s="33" t="s">
        <v>274</v>
      </c>
      <c r="E927" s="34">
        <v>364.65899999999999</v>
      </c>
      <c r="F927" s="36">
        <v>0.118999999999971</v>
      </c>
      <c r="G927" s="34">
        <v>0.118999999999971</v>
      </c>
      <c r="H927" s="35">
        <v>38.299999999999997</v>
      </c>
      <c r="I927" s="37">
        <f t="shared" si="14"/>
        <v>2.3198483315868849E-3</v>
      </c>
      <c r="J927" s="33"/>
    </row>
    <row r="928" spans="1:10">
      <c r="A928" s="33" t="s">
        <v>33</v>
      </c>
      <c r="B928" s="34">
        <v>364.54</v>
      </c>
      <c r="C928" s="35">
        <v>16509.7</v>
      </c>
      <c r="D928" s="33" t="s">
        <v>33</v>
      </c>
      <c r="E928" s="34">
        <v>364.661</v>
      </c>
      <c r="F928" s="36">
        <v>0.120999999999981</v>
      </c>
      <c r="G928" s="34">
        <v>0.120999999999981</v>
      </c>
      <c r="H928" s="35">
        <v>262.2</v>
      </c>
      <c r="I928" s="37">
        <f t="shared" si="14"/>
        <v>1.5881572651229275E-2</v>
      </c>
      <c r="J928" s="33" t="s">
        <v>116</v>
      </c>
    </row>
    <row r="929" spans="1:10">
      <c r="A929" s="33" t="s">
        <v>33</v>
      </c>
      <c r="B929" s="34">
        <v>364.54</v>
      </c>
      <c r="C929" s="35">
        <v>16509.7</v>
      </c>
      <c r="D929" s="33" t="s">
        <v>84</v>
      </c>
      <c r="E929" s="34">
        <v>364.67599999999999</v>
      </c>
      <c r="F929" s="36">
        <v>0.13600000000000001</v>
      </c>
      <c r="G929" s="34">
        <v>0.13600000000000001</v>
      </c>
      <c r="H929" s="35">
        <v>130.1</v>
      </c>
      <c r="I929" s="37">
        <f t="shared" si="14"/>
        <v>7.8802158730927867E-3</v>
      </c>
      <c r="J929" s="33" t="s">
        <v>116</v>
      </c>
    </row>
    <row r="930" spans="1:10">
      <c r="A930" s="33" t="s">
        <v>33</v>
      </c>
      <c r="B930" s="34">
        <v>364.54</v>
      </c>
      <c r="C930" s="35">
        <v>16509.7</v>
      </c>
      <c r="D930" s="33" t="s">
        <v>277</v>
      </c>
      <c r="E930" s="34">
        <v>364.685</v>
      </c>
      <c r="F930" s="36">
        <v>0.144999999999982</v>
      </c>
      <c r="G930" s="34">
        <v>0.144999999999982</v>
      </c>
      <c r="H930" s="35">
        <v>41</v>
      </c>
      <c r="I930" s="37">
        <f t="shared" si="14"/>
        <v>2.4833885533958825E-3</v>
      </c>
      <c r="J930" s="33"/>
    </row>
    <row r="931" spans="1:10">
      <c r="A931" s="33" t="s">
        <v>33</v>
      </c>
      <c r="B931" s="34">
        <v>364.54</v>
      </c>
      <c r="C931" s="35">
        <v>16509.7</v>
      </c>
      <c r="D931" s="33" t="s">
        <v>184</v>
      </c>
      <c r="E931" s="34">
        <v>364.69099999999997</v>
      </c>
      <c r="F931" s="36">
        <v>0.150999999999954</v>
      </c>
      <c r="G931" s="34">
        <v>0.150999999999954</v>
      </c>
      <c r="H931" s="35">
        <v>14.4</v>
      </c>
      <c r="I931" s="37">
        <f t="shared" si="14"/>
        <v>8.7221451631465136E-4</v>
      </c>
      <c r="J931" s="33"/>
    </row>
    <row r="932" spans="1:10">
      <c r="A932" s="33" t="s">
        <v>33</v>
      </c>
      <c r="B932" s="34">
        <v>387.21100000000001</v>
      </c>
      <c r="C932" s="35">
        <v>35902.300000000003</v>
      </c>
      <c r="D932" s="33" t="s">
        <v>193</v>
      </c>
      <c r="E932" s="34">
        <v>387.06400000000002</v>
      </c>
      <c r="F932" s="36">
        <v>0.146999999999991</v>
      </c>
      <c r="G932" s="34">
        <v>0.146999999999991</v>
      </c>
      <c r="H932" s="35">
        <v>166.1</v>
      </c>
      <c r="I932" s="37">
        <f t="shared" si="14"/>
        <v>4.6264445453355349E-3</v>
      </c>
      <c r="J932" s="33"/>
    </row>
    <row r="933" spans="1:10">
      <c r="A933" s="33" t="s">
        <v>33</v>
      </c>
      <c r="B933" s="34">
        <v>387.21100000000001</v>
      </c>
      <c r="C933" s="35">
        <v>35902.300000000003</v>
      </c>
      <c r="D933" s="33" t="s">
        <v>173</v>
      </c>
      <c r="E933" s="34">
        <v>387.072</v>
      </c>
      <c r="F933" s="36">
        <v>0.13900000000001</v>
      </c>
      <c r="G933" s="34">
        <v>0.13900000000001</v>
      </c>
      <c r="H933" s="35">
        <v>2476.4</v>
      </c>
      <c r="I933" s="37">
        <f t="shared" si="14"/>
        <v>6.8976082312275255E-2</v>
      </c>
      <c r="J933" s="33"/>
    </row>
    <row r="934" spans="1:10">
      <c r="A934" s="33" t="s">
        <v>33</v>
      </c>
      <c r="B934" s="34">
        <v>387.21100000000001</v>
      </c>
      <c r="C934" s="35">
        <v>35902.300000000003</v>
      </c>
      <c r="D934" s="33" t="s">
        <v>240</v>
      </c>
      <c r="E934" s="34">
        <v>387.07900000000001</v>
      </c>
      <c r="F934" s="36">
        <v>0.132000000000005</v>
      </c>
      <c r="G934" s="34">
        <v>0.132000000000005</v>
      </c>
      <c r="H934" s="35">
        <v>1.3</v>
      </c>
      <c r="I934" s="37">
        <f t="shared" si="14"/>
        <v>3.6209379343384685E-5</v>
      </c>
      <c r="J934" s="33"/>
    </row>
    <row r="935" spans="1:10">
      <c r="A935" s="33" t="s">
        <v>33</v>
      </c>
      <c r="B935" s="34">
        <v>387.21100000000001</v>
      </c>
      <c r="C935" s="35">
        <v>35902.300000000003</v>
      </c>
      <c r="D935" s="33" t="s">
        <v>25</v>
      </c>
      <c r="E935" s="34">
        <v>387.08699999999999</v>
      </c>
      <c r="F935" s="36">
        <v>0.12400000000002399</v>
      </c>
      <c r="G935" s="34">
        <v>0.12400000000002399</v>
      </c>
      <c r="H935" s="35">
        <v>722</v>
      </c>
      <c r="I935" s="37">
        <f t="shared" si="14"/>
        <v>2.0110132219941339E-2</v>
      </c>
      <c r="J935" s="33" t="s">
        <v>116</v>
      </c>
    </row>
    <row r="936" spans="1:10">
      <c r="A936" s="33" t="s">
        <v>33</v>
      </c>
      <c r="B936" s="34">
        <v>387.21100000000001</v>
      </c>
      <c r="C936" s="35">
        <v>35902.300000000003</v>
      </c>
      <c r="D936" s="33" t="s">
        <v>277</v>
      </c>
      <c r="E936" s="34">
        <v>387.10300000000001</v>
      </c>
      <c r="F936" s="36">
        <v>0.108000000000004</v>
      </c>
      <c r="G936" s="34">
        <v>0.108000000000004</v>
      </c>
      <c r="H936" s="35">
        <v>1239.8</v>
      </c>
      <c r="I936" s="37">
        <f t="shared" si="14"/>
        <v>3.4532606546098715E-2</v>
      </c>
      <c r="J936" s="33"/>
    </row>
    <row r="937" spans="1:10">
      <c r="A937" s="33" t="s">
        <v>33</v>
      </c>
      <c r="B937" s="34">
        <v>387.21100000000001</v>
      </c>
      <c r="C937" s="35">
        <v>35902.300000000003</v>
      </c>
      <c r="D937" s="33" t="s">
        <v>271</v>
      </c>
      <c r="E937" s="34">
        <v>387.10700000000003</v>
      </c>
      <c r="F937" s="36">
        <v>0.10399999999998499</v>
      </c>
      <c r="G937" s="34">
        <v>0.10399999999998499</v>
      </c>
      <c r="H937" s="35">
        <v>77.599999999999994</v>
      </c>
      <c r="I937" s="37">
        <f t="shared" si="14"/>
        <v>2.1614214131128085E-3</v>
      </c>
      <c r="J937" s="33"/>
    </row>
    <row r="938" spans="1:10">
      <c r="A938" s="33" t="s">
        <v>33</v>
      </c>
      <c r="B938" s="34">
        <v>387.21100000000001</v>
      </c>
      <c r="C938" s="35">
        <v>35902.300000000003</v>
      </c>
      <c r="D938" s="33" t="s">
        <v>278</v>
      </c>
      <c r="E938" s="34">
        <v>387.10700000000003</v>
      </c>
      <c r="F938" s="36">
        <v>0.10399999999998499</v>
      </c>
      <c r="G938" s="34">
        <v>0.10399999999998499</v>
      </c>
      <c r="H938" s="35">
        <v>128.9</v>
      </c>
      <c r="I938" s="37">
        <f t="shared" si="14"/>
        <v>3.5902992287402198E-3</v>
      </c>
      <c r="J938" s="33"/>
    </row>
    <row r="939" spans="1:10">
      <c r="A939" s="33" t="s">
        <v>33</v>
      </c>
      <c r="B939" s="34">
        <v>387.21100000000001</v>
      </c>
      <c r="C939" s="35">
        <v>35902.300000000003</v>
      </c>
      <c r="D939" s="33" t="s">
        <v>273</v>
      </c>
      <c r="E939" s="34">
        <v>387.11900000000003</v>
      </c>
      <c r="F939" s="36">
        <v>9.1999999999984497E-2</v>
      </c>
      <c r="G939" s="34">
        <v>9.1999999999984497E-2</v>
      </c>
      <c r="H939" s="35">
        <v>16.399999999999999</v>
      </c>
      <c r="I939" s="37">
        <f t="shared" si="14"/>
        <v>4.5679524710116057E-4</v>
      </c>
      <c r="J939" s="33"/>
    </row>
    <row r="940" spans="1:10">
      <c r="A940" s="33" t="s">
        <v>33</v>
      </c>
      <c r="B940" s="34">
        <v>387.21100000000001</v>
      </c>
      <c r="C940" s="35">
        <v>35902.300000000003</v>
      </c>
      <c r="D940" s="33" t="s">
        <v>275</v>
      </c>
      <c r="E940" s="34">
        <v>387.14499999999998</v>
      </c>
      <c r="F940" s="36">
        <v>6.6000000000030895E-2</v>
      </c>
      <c r="G940" s="34">
        <v>6.6000000000030895E-2</v>
      </c>
      <c r="H940" s="35">
        <v>41.4</v>
      </c>
      <c r="I940" s="37">
        <f t="shared" si="14"/>
        <v>1.1531294652431738E-3</v>
      </c>
      <c r="J940" s="33"/>
    </row>
    <row r="941" spans="1:10">
      <c r="A941" s="33" t="s">
        <v>33</v>
      </c>
      <c r="B941" s="34">
        <v>387.21100000000001</v>
      </c>
      <c r="C941" s="35">
        <v>35902.300000000003</v>
      </c>
      <c r="D941" s="33" t="s">
        <v>271</v>
      </c>
      <c r="E941" s="34">
        <v>387.14600000000002</v>
      </c>
      <c r="F941" s="36">
        <v>6.4999999999997699E-2</v>
      </c>
      <c r="G941" s="34">
        <v>6.4999999999997699E-2</v>
      </c>
      <c r="H941" s="35">
        <v>192.1</v>
      </c>
      <c r="I941" s="37">
        <f t="shared" si="14"/>
        <v>5.3506321322032285E-3</v>
      </c>
      <c r="J941" s="33"/>
    </row>
    <row r="942" spans="1:10">
      <c r="A942" s="33" t="s">
        <v>33</v>
      </c>
      <c r="B942" s="34">
        <v>387.21100000000001</v>
      </c>
      <c r="C942" s="35">
        <v>35902.300000000003</v>
      </c>
      <c r="D942" s="33" t="s">
        <v>165</v>
      </c>
      <c r="E942" s="34">
        <v>387.15899999999999</v>
      </c>
      <c r="F942" s="36">
        <v>5.2000000000020898E-2</v>
      </c>
      <c r="G942" s="34">
        <v>5.2000000000020898E-2</v>
      </c>
      <c r="H942" s="35">
        <v>23</v>
      </c>
      <c r="I942" s="37">
        <f t="shared" si="14"/>
        <v>6.4062748069065205E-4</v>
      </c>
      <c r="J942" s="33"/>
    </row>
    <row r="943" spans="1:10">
      <c r="A943" s="33" t="s">
        <v>33</v>
      </c>
      <c r="B943" s="34">
        <v>387.21100000000001</v>
      </c>
      <c r="C943" s="35">
        <v>35902.300000000003</v>
      </c>
      <c r="D943" s="33" t="s">
        <v>33</v>
      </c>
      <c r="E943" s="34">
        <v>387.16300000000001</v>
      </c>
      <c r="F943" s="36">
        <v>4.8000000000001798E-2</v>
      </c>
      <c r="G943" s="34">
        <v>4.8000000000001798E-2</v>
      </c>
      <c r="H943" s="35">
        <v>1098.9000000000001</v>
      </c>
      <c r="I943" s="37">
        <f t="shared" si="14"/>
        <v>3.0608066892650332E-2</v>
      </c>
      <c r="J943" s="33" t="s">
        <v>116</v>
      </c>
    </row>
    <row r="944" spans="1:10">
      <c r="A944" s="33" t="s">
        <v>33</v>
      </c>
      <c r="B944" s="34">
        <v>387.21100000000001</v>
      </c>
      <c r="C944" s="35">
        <v>35902.300000000003</v>
      </c>
      <c r="D944" s="33" t="s">
        <v>133</v>
      </c>
      <c r="E944" s="34">
        <v>387.16399999999999</v>
      </c>
      <c r="F944" s="36">
        <v>4.7000000000025501E-2</v>
      </c>
      <c r="G944" s="34">
        <v>4.7000000000025501E-2</v>
      </c>
      <c r="H944" s="35">
        <v>76758.8</v>
      </c>
      <c r="I944" s="37">
        <f t="shared" si="14"/>
        <v>2.1379911593407663</v>
      </c>
      <c r="J944" s="33"/>
    </row>
    <row r="945" spans="1:10">
      <c r="A945" s="33" t="s">
        <v>33</v>
      </c>
      <c r="B945" s="34">
        <v>387.21100000000001</v>
      </c>
      <c r="C945" s="35">
        <v>35902.300000000003</v>
      </c>
      <c r="D945" s="33" t="s">
        <v>240</v>
      </c>
      <c r="E945" s="34">
        <v>387.16800000000001</v>
      </c>
      <c r="F945" s="36">
        <v>4.3000000000006401E-2</v>
      </c>
      <c r="G945" s="34">
        <v>4.3000000000006401E-2</v>
      </c>
      <c r="H945" s="35">
        <v>1.2</v>
      </c>
      <c r="I945" s="37">
        <f t="shared" si="14"/>
        <v>3.3424042470816628E-5</v>
      </c>
      <c r="J945" s="33"/>
    </row>
    <row r="946" spans="1:10">
      <c r="A946" s="33" t="s">
        <v>33</v>
      </c>
      <c r="B946" s="34">
        <v>387.21100000000001</v>
      </c>
      <c r="C946" s="35">
        <v>35902.300000000003</v>
      </c>
      <c r="D946" s="33" t="s">
        <v>97</v>
      </c>
      <c r="E946" s="34">
        <v>387.17500000000001</v>
      </c>
      <c r="F946" s="36">
        <v>3.6000000000001399E-2</v>
      </c>
      <c r="G946" s="34">
        <v>3.6000000000001399E-2</v>
      </c>
      <c r="H946" s="35">
        <v>14.7</v>
      </c>
      <c r="I946" s="37">
        <f t="shared" si="14"/>
        <v>4.0944452026750369E-4</v>
      </c>
      <c r="J946" s="33"/>
    </row>
    <row r="947" spans="1:10">
      <c r="A947" s="33" t="s">
        <v>33</v>
      </c>
      <c r="B947" s="34">
        <v>387.21100000000001</v>
      </c>
      <c r="C947" s="35">
        <v>35902.300000000003</v>
      </c>
      <c r="D947" s="33" t="s">
        <v>270</v>
      </c>
      <c r="E947" s="34">
        <v>387.178</v>
      </c>
      <c r="F947" s="36">
        <v>3.3000000000015503E-2</v>
      </c>
      <c r="G947" s="34">
        <v>3.3000000000015503E-2</v>
      </c>
      <c r="H947" s="35">
        <v>5884.7</v>
      </c>
      <c r="I947" s="37">
        <f t="shared" si="14"/>
        <v>0.16390871894001219</v>
      </c>
      <c r="J947" s="33"/>
    </row>
    <row r="948" spans="1:10">
      <c r="A948" s="33" t="s">
        <v>33</v>
      </c>
      <c r="B948" s="34">
        <v>387.21100000000001</v>
      </c>
      <c r="C948" s="35">
        <v>35902.300000000003</v>
      </c>
      <c r="D948" s="33" t="s">
        <v>25</v>
      </c>
      <c r="E948" s="34">
        <v>387.18</v>
      </c>
      <c r="F948" s="36">
        <v>3.1000000000005901E-2</v>
      </c>
      <c r="G948" s="34">
        <v>3.1000000000005901E-2</v>
      </c>
      <c r="H948" s="35">
        <v>413.8</v>
      </c>
      <c r="I948" s="37">
        <f t="shared" si="14"/>
        <v>1.1525723978686602E-2</v>
      </c>
      <c r="J948" s="33" t="s">
        <v>116</v>
      </c>
    </row>
    <row r="949" spans="1:10">
      <c r="A949" s="33" t="s">
        <v>33</v>
      </c>
      <c r="B949" s="34">
        <v>387.21100000000001</v>
      </c>
      <c r="C949" s="35">
        <v>35902.300000000003</v>
      </c>
      <c r="D949" s="33" t="s">
        <v>275</v>
      </c>
      <c r="E949" s="34">
        <v>387.18900000000002</v>
      </c>
      <c r="F949" s="36">
        <v>2.1999999999991401E-2</v>
      </c>
      <c r="G949" s="34">
        <v>2.1999999999991401E-2</v>
      </c>
      <c r="H949" s="35">
        <v>55.3</v>
      </c>
      <c r="I949" s="37">
        <f t="shared" si="14"/>
        <v>1.540291290530133E-3</v>
      </c>
      <c r="J949" s="33"/>
    </row>
    <row r="950" spans="1:10">
      <c r="A950" s="33" t="s">
        <v>33</v>
      </c>
      <c r="B950" s="34">
        <v>387.21100000000001</v>
      </c>
      <c r="C950" s="35">
        <v>35902.300000000003</v>
      </c>
      <c r="D950" s="33" t="s">
        <v>282</v>
      </c>
      <c r="E950" s="34">
        <v>387.23899999999998</v>
      </c>
      <c r="F950" s="36">
        <v>2.79999999999632E-2</v>
      </c>
      <c r="G950" s="34">
        <v>2.79999999999632E-2</v>
      </c>
      <c r="H950" s="35">
        <v>23.2</v>
      </c>
      <c r="I950" s="37">
        <f t="shared" si="14"/>
        <v>6.4619815443578811E-4</v>
      </c>
      <c r="J950" s="33"/>
    </row>
    <row r="951" spans="1:10">
      <c r="A951" s="33" t="s">
        <v>33</v>
      </c>
      <c r="B951" s="34">
        <v>387.21100000000001</v>
      </c>
      <c r="C951" s="35">
        <v>35902.300000000003</v>
      </c>
      <c r="D951" s="33" t="s">
        <v>97</v>
      </c>
      <c r="E951" s="34">
        <v>387.25</v>
      </c>
      <c r="F951" s="36">
        <v>3.8999999999987302E-2</v>
      </c>
      <c r="G951" s="34">
        <v>3.8999999999987302E-2</v>
      </c>
      <c r="H951" s="35">
        <v>301.10000000000002</v>
      </c>
      <c r="I951" s="37">
        <f t="shared" si="14"/>
        <v>8.3866493233024069E-3</v>
      </c>
      <c r="J951" s="33"/>
    </row>
    <row r="952" spans="1:10">
      <c r="A952" s="33" t="s">
        <v>33</v>
      </c>
      <c r="B952" s="34">
        <v>387.21100000000001</v>
      </c>
      <c r="C952" s="35">
        <v>35902.300000000003</v>
      </c>
      <c r="D952" s="33" t="s">
        <v>238</v>
      </c>
      <c r="E952" s="34">
        <v>387.25400000000002</v>
      </c>
      <c r="F952" s="36">
        <v>4.3000000000006401E-2</v>
      </c>
      <c r="G952" s="34">
        <v>4.3000000000006401E-2</v>
      </c>
      <c r="H952" s="35">
        <v>9.1</v>
      </c>
      <c r="I952" s="37">
        <f t="shared" si="14"/>
        <v>2.5346565540369277E-4</v>
      </c>
      <c r="J952" s="33"/>
    </row>
    <row r="953" spans="1:10">
      <c r="A953" s="33" t="s">
        <v>33</v>
      </c>
      <c r="B953" s="34">
        <v>387.21100000000001</v>
      </c>
      <c r="C953" s="35">
        <v>35902.300000000003</v>
      </c>
      <c r="D953" s="33" t="s">
        <v>269</v>
      </c>
      <c r="E953" s="34">
        <v>387.255</v>
      </c>
      <c r="F953" s="36">
        <v>4.3999999999982699E-2</v>
      </c>
      <c r="G953" s="34">
        <v>4.3999999999982699E-2</v>
      </c>
      <c r="H953" s="35">
        <v>1507.4</v>
      </c>
      <c r="I953" s="37">
        <f t="shared" si="14"/>
        <v>4.1986168017090826E-2</v>
      </c>
      <c r="J953" s="33"/>
    </row>
    <row r="954" spans="1:10">
      <c r="A954" s="33" t="s">
        <v>33</v>
      </c>
      <c r="B954" s="34">
        <v>387.21100000000001</v>
      </c>
      <c r="C954" s="35">
        <v>35902.300000000003</v>
      </c>
      <c r="D954" s="33" t="s">
        <v>173</v>
      </c>
      <c r="E954" s="34">
        <v>387.27</v>
      </c>
      <c r="F954" s="36">
        <v>5.8999999999969098E-2</v>
      </c>
      <c r="G954" s="34">
        <v>5.8999999999969098E-2</v>
      </c>
      <c r="H954" s="35">
        <v>332.8</v>
      </c>
      <c r="I954" s="37">
        <f t="shared" si="14"/>
        <v>9.2696011119064795E-3</v>
      </c>
      <c r="J954" s="33"/>
    </row>
    <row r="955" spans="1:10">
      <c r="A955" s="33" t="s">
        <v>33</v>
      </c>
      <c r="B955" s="34">
        <v>387.21100000000001</v>
      </c>
      <c r="C955" s="35">
        <v>35902.300000000003</v>
      </c>
      <c r="D955" s="33" t="s">
        <v>280</v>
      </c>
      <c r="E955" s="34">
        <v>387.27199999999999</v>
      </c>
      <c r="F955" s="36">
        <v>6.0999999999978599E-2</v>
      </c>
      <c r="G955" s="34">
        <v>6.0999999999978599E-2</v>
      </c>
      <c r="H955" s="35">
        <v>79.2</v>
      </c>
      <c r="I955" s="37">
        <f t="shared" si="14"/>
        <v>2.2059868030738978E-3</v>
      </c>
      <c r="J955" s="33"/>
    </row>
    <row r="956" spans="1:10">
      <c r="A956" s="33" t="s">
        <v>33</v>
      </c>
      <c r="B956" s="34">
        <v>387.21100000000001</v>
      </c>
      <c r="C956" s="35">
        <v>35902.300000000003</v>
      </c>
      <c r="D956" s="33" t="s">
        <v>271</v>
      </c>
      <c r="E956" s="34">
        <v>387.27199999999999</v>
      </c>
      <c r="F956" s="36">
        <v>6.0999999999978599E-2</v>
      </c>
      <c r="G956" s="34">
        <v>6.0999999999978599E-2</v>
      </c>
      <c r="H956" s="35">
        <v>3361</v>
      </c>
      <c r="I956" s="37">
        <f t="shared" si="14"/>
        <v>9.3615172287012244E-2</v>
      </c>
      <c r="J956" s="33"/>
    </row>
    <row r="957" spans="1:10">
      <c r="A957" s="33" t="s">
        <v>33</v>
      </c>
      <c r="B957" s="34">
        <v>387.21100000000001</v>
      </c>
      <c r="C957" s="35">
        <v>35902.300000000003</v>
      </c>
      <c r="D957" s="33" t="s">
        <v>274</v>
      </c>
      <c r="E957" s="34">
        <v>387.28300000000002</v>
      </c>
      <c r="F957" s="36">
        <v>7.2000000000002701E-2</v>
      </c>
      <c r="G957" s="34">
        <v>7.2000000000002701E-2</v>
      </c>
      <c r="H957" s="35">
        <v>45</v>
      </c>
      <c r="I957" s="37">
        <f t="shared" si="14"/>
        <v>1.2534015926556237E-3</v>
      </c>
      <c r="J957" s="33"/>
    </row>
    <row r="958" spans="1:10">
      <c r="A958" s="33" t="s">
        <v>33</v>
      </c>
      <c r="B958" s="34">
        <v>387.21100000000001</v>
      </c>
      <c r="C958" s="35">
        <v>35902.300000000003</v>
      </c>
      <c r="D958" s="33" t="s">
        <v>201</v>
      </c>
      <c r="E958" s="34">
        <v>387.286</v>
      </c>
      <c r="F958" s="36">
        <v>7.4999999999988604E-2</v>
      </c>
      <c r="G958" s="34">
        <v>7.4999999999988604E-2</v>
      </c>
      <c r="H958" s="35">
        <v>73.900000000000006</v>
      </c>
      <c r="I958" s="37">
        <f t="shared" si="14"/>
        <v>2.0583639488277908E-3</v>
      </c>
      <c r="J958" s="33"/>
    </row>
    <row r="959" spans="1:10">
      <c r="A959" s="33" t="s">
        <v>33</v>
      </c>
      <c r="B959" s="34">
        <v>387.21100000000001</v>
      </c>
      <c r="C959" s="35">
        <v>35902.300000000003</v>
      </c>
      <c r="D959" s="33" t="s">
        <v>54</v>
      </c>
      <c r="E959" s="34">
        <v>387.30200000000002</v>
      </c>
      <c r="F959" s="36">
        <v>9.1000000000008199E-2</v>
      </c>
      <c r="G959" s="34">
        <v>9.1000000000008199E-2</v>
      </c>
      <c r="H959" s="35">
        <v>1811.5</v>
      </c>
      <c r="I959" s="37">
        <f t="shared" si="14"/>
        <v>5.0456377446570271E-2</v>
      </c>
      <c r="J959" s="33"/>
    </row>
    <row r="960" spans="1:10">
      <c r="A960" s="33" t="s">
        <v>33</v>
      </c>
      <c r="B960" s="34">
        <v>387.21100000000001</v>
      </c>
      <c r="C960" s="35">
        <v>35902.300000000003</v>
      </c>
      <c r="D960" s="33" t="s">
        <v>275</v>
      </c>
      <c r="E960" s="34">
        <v>387.31099999999998</v>
      </c>
      <c r="F960" s="36">
        <v>9.9999999999965894E-2</v>
      </c>
      <c r="G960" s="34">
        <v>9.9999999999965894E-2</v>
      </c>
      <c r="H960" s="35">
        <v>13.1</v>
      </c>
      <c r="I960" s="37">
        <f t="shared" si="14"/>
        <v>3.6487913030641488E-4</v>
      </c>
      <c r="J960" s="33"/>
    </row>
    <row r="961" spans="1:10">
      <c r="A961" s="33" t="s">
        <v>33</v>
      </c>
      <c r="B961" s="34">
        <v>387.21100000000001</v>
      </c>
      <c r="C961" s="35">
        <v>35902.300000000003</v>
      </c>
      <c r="D961" s="33" t="s">
        <v>270</v>
      </c>
      <c r="E961" s="34">
        <v>387.32100000000003</v>
      </c>
      <c r="F961" s="36">
        <v>0.110000000000014</v>
      </c>
      <c r="G961" s="34">
        <v>0.110000000000014</v>
      </c>
      <c r="H961" s="35">
        <v>1165.8</v>
      </c>
      <c r="I961" s="37">
        <f t="shared" si="14"/>
        <v>3.2471457260398358E-2</v>
      </c>
      <c r="J961" s="33"/>
    </row>
    <row r="962" spans="1:10">
      <c r="A962" s="33" t="s">
        <v>33</v>
      </c>
      <c r="B962" s="34">
        <v>387.21100000000001</v>
      </c>
      <c r="C962" s="35">
        <v>35902.300000000003</v>
      </c>
      <c r="D962" s="33" t="s">
        <v>237</v>
      </c>
      <c r="E962" s="34">
        <v>387.322</v>
      </c>
      <c r="F962" s="36">
        <v>0.11099999999999</v>
      </c>
      <c r="G962" s="34">
        <v>0.11099999999999</v>
      </c>
      <c r="H962" s="35">
        <v>99.7</v>
      </c>
      <c r="I962" s="37">
        <f t="shared" ref="I962:I1025" si="15">H962/C962</f>
        <v>2.7769808619503484E-3</v>
      </c>
      <c r="J962" s="33"/>
    </row>
    <row r="963" spans="1:10">
      <c r="A963" s="33" t="s">
        <v>33</v>
      </c>
      <c r="B963" s="34">
        <v>387.21100000000001</v>
      </c>
      <c r="C963" s="35">
        <v>35902.300000000003</v>
      </c>
      <c r="D963" s="33" t="s">
        <v>25</v>
      </c>
      <c r="E963" s="34">
        <v>387.32499999999999</v>
      </c>
      <c r="F963" s="36">
        <v>0.113999999999976</v>
      </c>
      <c r="G963" s="34">
        <v>0.113999999999976</v>
      </c>
      <c r="H963" s="35">
        <v>514.79999999999995</v>
      </c>
      <c r="I963" s="37">
        <f t="shared" si="15"/>
        <v>1.4338914219980334E-2</v>
      </c>
      <c r="J963" s="33" t="s">
        <v>116</v>
      </c>
    </row>
    <row r="964" spans="1:10">
      <c r="A964" s="33" t="s">
        <v>33</v>
      </c>
      <c r="B964" s="34">
        <v>387.21100000000001</v>
      </c>
      <c r="C964" s="35">
        <v>35902.300000000003</v>
      </c>
      <c r="D964" s="33" t="s">
        <v>268</v>
      </c>
      <c r="E964" s="34">
        <v>387.35300000000001</v>
      </c>
      <c r="F964" s="36">
        <v>0.14199999999999599</v>
      </c>
      <c r="G964" s="34">
        <v>0.14199999999999599</v>
      </c>
      <c r="H964" s="35">
        <v>55.2</v>
      </c>
      <c r="I964" s="37">
        <f t="shared" si="15"/>
        <v>1.537505953657565E-3</v>
      </c>
      <c r="J964" s="33"/>
    </row>
    <row r="965" spans="1:10">
      <c r="A965" s="33" t="s">
        <v>33</v>
      </c>
      <c r="B965" s="34">
        <v>387.21100000000001</v>
      </c>
      <c r="C965" s="35">
        <v>35902.300000000003</v>
      </c>
      <c r="D965" s="33" t="s">
        <v>270</v>
      </c>
      <c r="E965" s="34">
        <v>387.35899999999998</v>
      </c>
      <c r="F965" s="36">
        <v>0.14799999999996799</v>
      </c>
      <c r="G965" s="34">
        <v>0.14799999999996799</v>
      </c>
      <c r="H965" s="35">
        <v>322.89999999999998</v>
      </c>
      <c r="I965" s="37">
        <f t="shared" si="15"/>
        <v>8.9938527615222412E-3</v>
      </c>
      <c r="J965" s="33"/>
    </row>
    <row r="966" spans="1:10">
      <c r="A966" s="33" t="s">
        <v>33</v>
      </c>
      <c r="B966" s="34">
        <v>387.21100000000001</v>
      </c>
      <c r="C966" s="35">
        <v>35902.300000000003</v>
      </c>
      <c r="D966" s="33" t="s">
        <v>278</v>
      </c>
      <c r="E966" s="34">
        <v>387.36099999999999</v>
      </c>
      <c r="F966" s="36">
        <v>0.14999999999997701</v>
      </c>
      <c r="G966" s="34">
        <v>0.14999999999997701</v>
      </c>
      <c r="H966" s="35">
        <v>333.6</v>
      </c>
      <c r="I966" s="37">
        <f t="shared" si="15"/>
        <v>9.2918838068870233E-3</v>
      </c>
      <c r="J966" s="33"/>
    </row>
    <row r="967" spans="1:10">
      <c r="A967" s="33" t="s">
        <v>33</v>
      </c>
      <c r="B967" s="34">
        <v>387.21100000000001</v>
      </c>
      <c r="C967" s="35">
        <v>35902.300000000003</v>
      </c>
      <c r="D967" s="33" t="s">
        <v>278</v>
      </c>
      <c r="E967" s="34">
        <v>387.36200000000002</v>
      </c>
      <c r="F967" s="36">
        <v>0.15100000000001099</v>
      </c>
      <c r="G967" s="34">
        <v>0.15100000000001099</v>
      </c>
      <c r="H967" s="35">
        <v>35.5</v>
      </c>
      <c r="I967" s="37">
        <f t="shared" si="15"/>
        <v>9.8879458976165865E-4</v>
      </c>
      <c r="J967" s="33"/>
    </row>
    <row r="968" spans="1:10">
      <c r="A968" s="33" t="s">
        <v>33</v>
      </c>
      <c r="B968" s="34">
        <v>389.85300000000001</v>
      </c>
      <c r="C968" s="35">
        <v>17081.900000000001</v>
      </c>
      <c r="D968" s="33" t="s">
        <v>270</v>
      </c>
      <c r="E968" s="34">
        <v>389.697</v>
      </c>
      <c r="F968" s="36">
        <v>0.15600000000000599</v>
      </c>
      <c r="G968" s="34">
        <v>0.15600000000000599</v>
      </c>
      <c r="H968" s="35">
        <v>6554.6</v>
      </c>
      <c r="I968" s="37">
        <f t="shared" si="15"/>
        <v>0.38371609715546862</v>
      </c>
      <c r="J968" s="33"/>
    </row>
    <row r="969" spans="1:10">
      <c r="A969" s="33" t="s">
        <v>33</v>
      </c>
      <c r="B969" s="34">
        <v>389.85300000000001</v>
      </c>
      <c r="C969" s="35">
        <v>17081.900000000001</v>
      </c>
      <c r="D969" s="33" t="s">
        <v>278</v>
      </c>
      <c r="E969" s="34">
        <v>389.70800000000003</v>
      </c>
      <c r="F969" s="36">
        <v>0.144999999999982</v>
      </c>
      <c r="G969" s="34">
        <v>0.144999999999982</v>
      </c>
      <c r="H969" s="35">
        <v>56.2</v>
      </c>
      <c r="I969" s="37">
        <f t="shared" si="15"/>
        <v>3.2900321392819298E-3</v>
      </c>
      <c r="J969" s="33"/>
    </row>
    <row r="970" spans="1:10">
      <c r="A970" s="33" t="s">
        <v>33</v>
      </c>
      <c r="B970" s="34">
        <v>389.85300000000001</v>
      </c>
      <c r="C970" s="35">
        <v>17081.900000000001</v>
      </c>
      <c r="D970" s="33" t="s">
        <v>268</v>
      </c>
      <c r="E970" s="34">
        <v>389.72399999999999</v>
      </c>
      <c r="F970" s="36">
        <v>0.12900000000001899</v>
      </c>
      <c r="G970" s="34">
        <v>0.12900000000001899</v>
      </c>
      <c r="H970" s="35">
        <v>10.9</v>
      </c>
      <c r="I970" s="37">
        <f t="shared" si="15"/>
        <v>6.381023188287017E-4</v>
      </c>
      <c r="J970" s="33"/>
    </row>
    <row r="971" spans="1:10">
      <c r="A971" s="33" t="s">
        <v>33</v>
      </c>
      <c r="B971" s="34">
        <v>389.85300000000001</v>
      </c>
      <c r="C971" s="35">
        <v>17081.900000000001</v>
      </c>
      <c r="D971" s="33" t="s">
        <v>173</v>
      </c>
      <c r="E971" s="34">
        <v>389.72500000000002</v>
      </c>
      <c r="F971" s="36">
        <v>0.12799999999998601</v>
      </c>
      <c r="G971" s="34">
        <v>0.12799999999998601</v>
      </c>
      <c r="H971" s="35">
        <v>1644.2</v>
      </c>
      <c r="I971" s="37">
        <f t="shared" si="15"/>
        <v>9.625392959799553E-2</v>
      </c>
      <c r="J971" s="33"/>
    </row>
    <row r="972" spans="1:10">
      <c r="A972" s="33" t="s">
        <v>33</v>
      </c>
      <c r="B972" s="34">
        <v>389.85300000000001</v>
      </c>
      <c r="C972" s="35">
        <v>17081.900000000001</v>
      </c>
      <c r="D972" s="33" t="s">
        <v>25</v>
      </c>
      <c r="E972" s="34">
        <v>389.74200000000002</v>
      </c>
      <c r="F972" s="36">
        <v>0.11099999999999</v>
      </c>
      <c r="G972" s="34">
        <v>0.11099999999999</v>
      </c>
      <c r="H972" s="35">
        <v>217.2</v>
      </c>
      <c r="I972" s="37">
        <f t="shared" si="15"/>
        <v>1.2715213178861835E-2</v>
      </c>
      <c r="J972" s="33" t="s">
        <v>116</v>
      </c>
    </row>
    <row r="973" spans="1:10">
      <c r="A973" s="33" t="s">
        <v>33</v>
      </c>
      <c r="B973" s="34">
        <v>389.85300000000001</v>
      </c>
      <c r="C973" s="35">
        <v>17081.900000000001</v>
      </c>
      <c r="D973" s="33" t="s">
        <v>27</v>
      </c>
      <c r="E973" s="34">
        <v>389.76299999999998</v>
      </c>
      <c r="F973" s="36">
        <v>9.0000000000031805E-2</v>
      </c>
      <c r="G973" s="34">
        <v>9.0000000000031805E-2</v>
      </c>
      <c r="H973" s="35">
        <v>1404.2</v>
      </c>
      <c r="I973" s="37">
        <f t="shared" si="15"/>
        <v>8.2203970284336042E-2</v>
      </c>
      <c r="J973" s="33" t="s">
        <v>116</v>
      </c>
    </row>
    <row r="974" spans="1:10">
      <c r="A974" s="33" t="s">
        <v>33</v>
      </c>
      <c r="B974" s="34">
        <v>389.85300000000001</v>
      </c>
      <c r="C974" s="35">
        <v>17081.900000000001</v>
      </c>
      <c r="D974" s="33" t="s">
        <v>236</v>
      </c>
      <c r="E974" s="34">
        <v>389.76400000000001</v>
      </c>
      <c r="F974" s="36">
        <v>8.8999999999998594E-2</v>
      </c>
      <c r="G974" s="34">
        <v>8.8999999999998594E-2</v>
      </c>
      <c r="H974" s="35">
        <v>26</v>
      </c>
      <c r="I974" s="37">
        <f t="shared" si="15"/>
        <v>1.5220789256464443E-3</v>
      </c>
      <c r="J974" s="33"/>
    </row>
    <row r="975" spans="1:10">
      <c r="A975" s="33" t="s">
        <v>33</v>
      </c>
      <c r="B975" s="34">
        <v>389.85300000000001</v>
      </c>
      <c r="C975" s="35">
        <v>17081.900000000001</v>
      </c>
      <c r="D975" s="33" t="s">
        <v>239</v>
      </c>
      <c r="E975" s="34">
        <v>389.76499999999999</v>
      </c>
      <c r="F975" s="36">
        <v>8.8000000000022296E-2</v>
      </c>
      <c r="G975" s="34">
        <v>8.8000000000022296E-2</v>
      </c>
      <c r="H975" s="35">
        <v>17.399999999999999</v>
      </c>
      <c r="I975" s="37">
        <f t="shared" si="15"/>
        <v>1.0186220502403126E-3</v>
      </c>
      <c r="J975" s="33"/>
    </row>
    <row r="976" spans="1:10">
      <c r="A976" s="33" t="s">
        <v>33</v>
      </c>
      <c r="B976" s="34">
        <v>389.85300000000001</v>
      </c>
      <c r="C976" s="35">
        <v>17081.900000000001</v>
      </c>
      <c r="D976" s="33" t="s">
        <v>277</v>
      </c>
      <c r="E976" s="34">
        <v>389.77100000000002</v>
      </c>
      <c r="F976" s="36">
        <v>8.1999999999993606E-2</v>
      </c>
      <c r="G976" s="34">
        <v>8.1999999999993606E-2</v>
      </c>
      <c r="H976" s="35">
        <v>162.30000000000001</v>
      </c>
      <c r="I976" s="37">
        <f t="shared" si="15"/>
        <v>9.5012849858622291E-3</v>
      </c>
      <c r="J976" s="33"/>
    </row>
    <row r="977" spans="1:10">
      <c r="A977" s="33" t="s">
        <v>33</v>
      </c>
      <c r="B977" s="34">
        <v>389.85300000000001</v>
      </c>
      <c r="C977" s="35">
        <v>17081.900000000001</v>
      </c>
      <c r="D977" s="33" t="s">
        <v>276</v>
      </c>
      <c r="E977" s="34">
        <v>389.78699999999998</v>
      </c>
      <c r="F977" s="36">
        <v>6.6000000000030895E-2</v>
      </c>
      <c r="G977" s="34">
        <v>6.6000000000030895E-2</v>
      </c>
      <c r="H977" s="35">
        <v>52.2</v>
      </c>
      <c r="I977" s="37">
        <f t="shared" si="15"/>
        <v>3.0558661507209383E-3</v>
      </c>
      <c r="J977" s="33"/>
    </row>
    <row r="978" spans="1:10">
      <c r="A978" s="33" t="s">
        <v>33</v>
      </c>
      <c r="B978" s="34">
        <v>389.85300000000001</v>
      </c>
      <c r="C978" s="35">
        <v>17081.900000000001</v>
      </c>
      <c r="D978" s="33" t="s">
        <v>97</v>
      </c>
      <c r="E978" s="34">
        <v>389.78899999999999</v>
      </c>
      <c r="F978" s="36">
        <v>6.4000000000021401E-2</v>
      </c>
      <c r="G978" s="34">
        <v>6.4000000000021401E-2</v>
      </c>
      <c r="H978" s="35">
        <v>30.9</v>
      </c>
      <c r="I978" s="37">
        <f t="shared" si="15"/>
        <v>1.8089322616336588E-3</v>
      </c>
      <c r="J978" s="33"/>
    </row>
    <row r="979" spans="1:10">
      <c r="A979" s="33" t="s">
        <v>33</v>
      </c>
      <c r="B979" s="34">
        <v>389.85300000000001</v>
      </c>
      <c r="C979" s="35">
        <v>17081.900000000001</v>
      </c>
      <c r="D979" s="33" t="s">
        <v>201</v>
      </c>
      <c r="E979" s="34">
        <v>389.78899999999999</v>
      </c>
      <c r="F979" s="36">
        <v>6.4000000000021401E-2</v>
      </c>
      <c r="G979" s="34">
        <v>6.4000000000021401E-2</v>
      </c>
      <c r="H979" s="35">
        <v>786.5</v>
      </c>
      <c r="I979" s="37">
        <f t="shared" si="15"/>
        <v>4.6042887500804944E-2</v>
      </c>
      <c r="J979" s="33"/>
    </row>
    <row r="980" spans="1:10">
      <c r="A980" s="33" t="s">
        <v>33</v>
      </c>
      <c r="B980" s="34">
        <v>389.85300000000001</v>
      </c>
      <c r="C980" s="35">
        <v>17081.900000000001</v>
      </c>
      <c r="D980" s="33" t="s">
        <v>274</v>
      </c>
      <c r="E980" s="34">
        <v>389.791</v>
      </c>
      <c r="F980" s="36">
        <v>6.2000000000011803E-2</v>
      </c>
      <c r="G980" s="34">
        <v>6.2000000000011803E-2</v>
      </c>
      <c r="H980" s="35">
        <v>25.3</v>
      </c>
      <c r="I980" s="37">
        <f t="shared" si="15"/>
        <v>1.4810998776482709E-3</v>
      </c>
      <c r="J980" s="33"/>
    </row>
    <row r="981" spans="1:10">
      <c r="A981" s="33" t="s">
        <v>33</v>
      </c>
      <c r="B981" s="34">
        <v>389.85300000000001</v>
      </c>
      <c r="C981" s="35">
        <v>17081.900000000001</v>
      </c>
      <c r="D981" s="33" t="s">
        <v>278</v>
      </c>
      <c r="E981" s="34">
        <v>389.798</v>
      </c>
      <c r="F981" s="36">
        <v>5.50000000000068E-2</v>
      </c>
      <c r="G981" s="34">
        <v>5.50000000000068E-2</v>
      </c>
      <c r="H981" s="35">
        <v>151.69999999999999</v>
      </c>
      <c r="I981" s="37">
        <f t="shared" si="15"/>
        <v>8.8807451161755993E-3</v>
      </c>
      <c r="J981" s="33"/>
    </row>
    <row r="982" spans="1:10">
      <c r="A982" s="33" t="s">
        <v>33</v>
      </c>
      <c r="B982" s="34">
        <v>389.85300000000001</v>
      </c>
      <c r="C982" s="35">
        <v>17081.900000000001</v>
      </c>
      <c r="D982" s="33" t="s">
        <v>275</v>
      </c>
      <c r="E982" s="34">
        <v>389.82400000000001</v>
      </c>
      <c r="F982" s="36">
        <v>2.89999999999964E-2</v>
      </c>
      <c r="G982" s="34">
        <v>2.89999999999964E-2</v>
      </c>
      <c r="H982" s="35">
        <v>22.8</v>
      </c>
      <c r="I982" s="37">
        <f t="shared" si="15"/>
        <v>1.3347461347976513E-3</v>
      </c>
      <c r="J982" s="33"/>
    </row>
    <row r="983" spans="1:10">
      <c r="A983" s="33" t="s">
        <v>33</v>
      </c>
      <c r="B983" s="34">
        <v>389.85300000000001</v>
      </c>
      <c r="C983" s="35">
        <v>17081.900000000001</v>
      </c>
      <c r="D983" s="33" t="s">
        <v>25</v>
      </c>
      <c r="E983" s="34">
        <v>389.82600000000002</v>
      </c>
      <c r="F983" s="36">
        <v>2.6999999999986798E-2</v>
      </c>
      <c r="G983" s="34">
        <v>2.6999999999986798E-2</v>
      </c>
      <c r="H983" s="35">
        <v>2089</v>
      </c>
      <c r="I983" s="37">
        <f t="shared" si="15"/>
        <v>0.12229318752597777</v>
      </c>
      <c r="J983" s="33" t="s">
        <v>116</v>
      </c>
    </row>
    <row r="984" spans="1:10">
      <c r="A984" s="33" t="s">
        <v>33</v>
      </c>
      <c r="B984" s="34">
        <v>389.85300000000001</v>
      </c>
      <c r="C984" s="35">
        <v>17081.900000000001</v>
      </c>
      <c r="D984" s="33" t="s">
        <v>273</v>
      </c>
      <c r="E984" s="34">
        <v>389.82799999999997</v>
      </c>
      <c r="F984" s="36">
        <v>2.5000000000034099E-2</v>
      </c>
      <c r="G984" s="34">
        <v>2.5000000000034099E-2</v>
      </c>
      <c r="H984" s="35">
        <v>865.3</v>
      </c>
      <c r="I984" s="37">
        <f t="shared" si="15"/>
        <v>5.0655957475456467E-2</v>
      </c>
      <c r="J984" s="33"/>
    </row>
    <row r="985" spans="1:10">
      <c r="A985" s="33" t="s">
        <v>33</v>
      </c>
      <c r="B985" s="34">
        <v>389.85300000000001</v>
      </c>
      <c r="C985" s="35">
        <v>17081.900000000001</v>
      </c>
      <c r="D985" s="33" t="s">
        <v>240</v>
      </c>
      <c r="E985" s="34">
        <v>389.834</v>
      </c>
      <c r="F985" s="36">
        <v>1.9000000000005499E-2</v>
      </c>
      <c r="G985" s="34">
        <v>1.9000000000005499E-2</v>
      </c>
      <c r="H985" s="35">
        <v>12.6</v>
      </c>
      <c r="I985" s="37">
        <f t="shared" si="15"/>
        <v>7.3762286396712306E-4</v>
      </c>
      <c r="J985" s="33"/>
    </row>
    <row r="986" spans="1:10">
      <c r="A986" s="33" t="s">
        <v>33</v>
      </c>
      <c r="B986" s="34">
        <v>389.85300000000001</v>
      </c>
      <c r="C986" s="35">
        <v>17081.900000000001</v>
      </c>
      <c r="D986" s="33" t="s">
        <v>268</v>
      </c>
      <c r="E986" s="34">
        <v>389.83600000000001</v>
      </c>
      <c r="F986" s="36">
        <v>1.69999999999959E-2</v>
      </c>
      <c r="G986" s="34">
        <v>1.69999999999959E-2</v>
      </c>
      <c r="H986" s="35">
        <v>10.4</v>
      </c>
      <c r="I986" s="37">
        <f t="shared" si="15"/>
        <v>6.0883157025857777E-4</v>
      </c>
      <c r="J986" s="33"/>
    </row>
    <row r="987" spans="1:10">
      <c r="A987" s="33" t="s">
        <v>33</v>
      </c>
      <c r="B987" s="34">
        <v>389.85300000000001</v>
      </c>
      <c r="C987" s="35">
        <v>17081.900000000001</v>
      </c>
      <c r="D987" s="33" t="s">
        <v>271</v>
      </c>
      <c r="E987" s="34">
        <v>389.851</v>
      </c>
      <c r="F987" s="36">
        <v>2.0000000000095501E-3</v>
      </c>
      <c r="G987" s="34">
        <v>2.0000000000095501E-3</v>
      </c>
      <c r="H987" s="35">
        <v>84.1</v>
      </c>
      <c r="I987" s="37">
        <f t="shared" si="15"/>
        <v>4.9233399094948446E-3</v>
      </c>
      <c r="J987" s="33"/>
    </row>
    <row r="988" spans="1:10">
      <c r="A988" s="33" t="s">
        <v>33</v>
      </c>
      <c r="B988" s="34">
        <v>389.85300000000001</v>
      </c>
      <c r="C988" s="35">
        <v>17081.900000000001</v>
      </c>
      <c r="D988" s="33" t="s">
        <v>133</v>
      </c>
      <c r="E988" s="34">
        <v>389.85899999999998</v>
      </c>
      <c r="F988" s="36">
        <v>5.99999999997181E-3</v>
      </c>
      <c r="G988" s="34">
        <v>5.99999999997181E-3</v>
      </c>
      <c r="H988" s="35">
        <v>18.899999999999999</v>
      </c>
      <c r="I988" s="37">
        <f t="shared" si="15"/>
        <v>1.1064342959506844E-3</v>
      </c>
      <c r="J988" s="33"/>
    </row>
    <row r="989" spans="1:10">
      <c r="A989" s="33" t="s">
        <v>33</v>
      </c>
      <c r="B989" s="34">
        <v>389.85300000000001</v>
      </c>
      <c r="C989" s="35">
        <v>17081.900000000001</v>
      </c>
      <c r="D989" s="33" t="s">
        <v>173</v>
      </c>
      <c r="E989" s="34">
        <v>389.88400000000001</v>
      </c>
      <c r="F989" s="36">
        <v>3.1000000000005901E-2</v>
      </c>
      <c r="G989" s="34">
        <v>3.1000000000005901E-2</v>
      </c>
      <c r="H989" s="35">
        <v>1431.2</v>
      </c>
      <c r="I989" s="37">
        <f t="shared" si="15"/>
        <v>8.3784590707122741E-2</v>
      </c>
      <c r="J989" s="33"/>
    </row>
    <row r="990" spans="1:10">
      <c r="A990" s="33" t="s">
        <v>33</v>
      </c>
      <c r="B990" s="34">
        <v>389.85300000000001</v>
      </c>
      <c r="C990" s="35">
        <v>17081.900000000001</v>
      </c>
      <c r="D990" s="33" t="s">
        <v>25</v>
      </c>
      <c r="E990" s="34">
        <v>389.89400000000001</v>
      </c>
      <c r="F990" s="36">
        <v>4.0999999999996803E-2</v>
      </c>
      <c r="G990" s="34">
        <v>4.0999999999996803E-2</v>
      </c>
      <c r="H990" s="35">
        <v>927</v>
      </c>
      <c r="I990" s="37">
        <f t="shared" si="15"/>
        <v>5.4267967849009766E-2</v>
      </c>
      <c r="J990" s="33" t="s">
        <v>116</v>
      </c>
    </row>
    <row r="991" spans="1:10">
      <c r="A991" s="33" t="s">
        <v>33</v>
      </c>
      <c r="B991" s="34">
        <v>389.85300000000001</v>
      </c>
      <c r="C991" s="35">
        <v>17081.900000000001</v>
      </c>
      <c r="D991" s="33" t="s">
        <v>277</v>
      </c>
      <c r="E991" s="34">
        <v>389.91</v>
      </c>
      <c r="F991" s="36">
        <v>5.7000000000016399E-2</v>
      </c>
      <c r="G991" s="34">
        <v>5.7000000000016399E-2</v>
      </c>
      <c r="H991" s="35">
        <v>89.5</v>
      </c>
      <c r="I991" s="37">
        <f t="shared" si="15"/>
        <v>5.2394639940521832E-3</v>
      </c>
      <c r="J991" s="33"/>
    </row>
    <row r="992" spans="1:10">
      <c r="A992" s="33" t="s">
        <v>33</v>
      </c>
      <c r="B992" s="34">
        <v>389.85300000000001</v>
      </c>
      <c r="C992" s="35">
        <v>17081.900000000001</v>
      </c>
      <c r="D992" s="33" t="s">
        <v>278</v>
      </c>
      <c r="E992" s="34">
        <v>389.91399999999999</v>
      </c>
      <c r="F992" s="36">
        <v>6.0999999999978599E-2</v>
      </c>
      <c r="G992" s="34">
        <v>6.0999999999978599E-2</v>
      </c>
      <c r="H992" s="35">
        <v>1221.8</v>
      </c>
      <c r="I992" s="37">
        <f t="shared" si="15"/>
        <v>7.1526001205954828E-2</v>
      </c>
      <c r="J992" s="33"/>
    </row>
    <row r="993" spans="1:10">
      <c r="A993" s="33" t="s">
        <v>33</v>
      </c>
      <c r="B993" s="34">
        <v>389.85300000000001</v>
      </c>
      <c r="C993" s="35">
        <v>17081.900000000001</v>
      </c>
      <c r="D993" s="33" t="s">
        <v>201</v>
      </c>
      <c r="E993" s="34">
        <v>389.91899999999998</v>
      </c>
      <c r="F993" s="36">
        <v>6.5999999999974093E-2</v>
      </c>
      <c r="G993" s="34">
        <v>6.5999999999974093E-2</v>
      </c>
      <c r="H993" s="35">
        <v>10294.9</v>
      </c>
      <c r="I993" s="37">
        <f t="shared" si="15"/>
        <v>0.60267885890913764</v>
      </c>
      <c r="J993" s="33"/>
    </row>
    <row r="994" spans="1:10">
      <c r="A994" s="33" t="s">
        <v>33</v>
      </c>
      <c r="B994" s="34">
        <v>389.85300000000001</v>
      </c>
      <c r="C994" s="35">
        <v>17081.900000000001</v>
      </c>
      <c r="D994" s="33" t="s">
        <v>285</v>
      </c>
      <c r="E994" s="34">
        <v>389.92099999999999</v>
      </c>
      <c r="F994" s="36">
        <v>6.7999999999983601E-2</v>
      </c>
      <c r="G994" s="34">
        <v>6.7999999999983601E-2</v>
      </c>
      <c r="H994" s="35">
        <v>0.5</v>
      </c>
      <c r="I994" s="37">
        <f t="shared" si="15"/>
        <v>2.927074857012393E-5</v>
      </c>
      <c r="J994" s="33"/>
    </row>
    <row r="995" spans="1:10">
      <c r="A995" s="33" t="s">
        <v>33</v>
      </c>
      <c r="B995" s="34">
        <v>389.85300000000001</v>
      </c>
      <c r="C995" s="35">
        <v>17081.900000000001</v>
      </c>
      <c r="D995" s="33" t="s">
        <v>240</v>
      </c>
      <c r="E995" s="34">
        <v>389.93099999999998</v>
      </c>
      <c r="F995" s="36">
        <v>7.7999999999974506E-2</v>
      </c>
      <c r="G995" s="34">
        <v>7.7999999999974506E-2</v>
      </c>
      <c r="H995" s="35">
        <v>10.3</v>
      </c>
      <c r="I995" s="37">
        <f t="shared" si="15"/>
        <v>6.0297742054455305E-4</v>
      </c>
      <c r="J995" s="33"/>
    </row>
    <row r="996" spans="1:10">
      <c r="A996" s="33" t="s">
        <v>33</v>
      </c>
      <c r="B996" s="34">
        <v>389.85300000000001</v>
      </c>
      <c r="C996" s="35">
        <v>17081.900000000001</v>
      </c>
      <c r="D996" s="33" t="s">
        <v>282</v>
      </c>
      <c r="E996" s="34">
        <v>389.93400000000003</v>
      </c>
      <c r="F996" s="36">
        <v>8.1000000000017294E-2</v>
      </c>
      <c r="G996" s="34">
        <v>8.1000000000017294E-2</v>
      </c>
      <c r="H996" s="35">
        <v>3.2</v>
      </c>
      <c r="I996" s="37">
        <f t="shared" si="15"/>
        <v>1.8733279084879315E-4</v>
      </c>
      <c r="J996" s="33"/>
    </row>
    <row r="997" spans="1:10">
      <c r="A997" s="33" t="s">
        <v>33</v>
      </c>
      <c r="B997" s="34">
        <v>389.85300000000001</v>
      </c>
      <c r="C997" s="35">
        <v>17081.900000000001</v>
      </c>
      <c r="D997" s="33" t="s">
        <v>25</v>
      </c>
      <c r="E997" s="34">
        <v>389.93799999999999</v>
      </c>
      <c r="F997" s="36">
        <v>8.4999999999979495E-2</v>
      </c>
      <c r="G997" s="34">
        <v>8.4999999999979495E-2</v>
      </c>
      <c r="H997" s="35">
        <v>242.9</v>
      </c>
      <c r="I997" s="37">
        <f t="shared" si="15"/>
        <v>1.4219729655366206E-2</v>
      </c>
      <c r="J997" s="33" t="s">
        <v>116</v>
      </c>
    </row>
    <row r="998" spans="1:10">
      <c r="A998" s="33" t="s">
        <v>33</v>
      </c>
      <c r="B998" s="34">
        <v>389.85300000000001</v>
      </c>
      <c r="C998" s="35">
        <v>17081.900000000001</v>
      </c>
      <c r="D998" s="33" t="s">
        <v>268</v>
      </c>
      <c r="E998" s="34">
        <v>389.93799999999999</v>
      </c>
      <c r="F998" s="36">
        <v>8.4999999999979495E-2</v>
      </c>
      <c r="G998" s="34">
        <v>8.4999999999979495E-2</v>
      </c>
      <c r="H998" s="35">
        <v>6.8</v>
      </c>
      <c r="I998" s="37">
        <f t="shared" si="15"/>
        <v>3.9808218055368546E-4</v>
      </c>
      <c r="J998" s="33"/>
    </row>
    <row r="999" spans="1:10">
      <c r="A999" s="33" t="s">
        <v>33</v>
      </c>
      <c r="B999" s="34">
        <v>389.85300000000001</v>
      </c>
      <c r="C999" s="35">
        <v>17081.900000000001</v>
      </c>
      <c r="D999" s="33" t="s">
        <v>277</v>
      </c>
      <c r="E999" s="34">
        <v>389.947</v>
      </c>
      <c r="F999" s="36">
        <v>9.3999999999994102E-2</v>
      </c>
      <c r="G999" s="34">
        <v>9.3999999999994102E-2</v>
      </c>
      <c r="H999" s="35">
        <v>270.5</v>
      </c>
      <c r="I999" s="37">
        <f t="shared" si="15"/>
        <v>1.5835474976437044E-2</v>
      </c>
      <c r="J999" s="33"/>
    </row>
    <row r="1000" spans="1:10">
      <c r="A1000" s="33" t="s">
        <v>33</v>
      </c>
      <c r="B1000" s="34">
        <v>389.85300000000001</v>
      </c>
      <c r="C1000" s="35">
        <v>17081.900000000001</v>
      </c>
      <c r="D1000" s="33" t="s">
        <v>173</v>
      </c>
      <c r="E1000" s="34">
        <v>389.95499999999998</v>
      </c>
      <c r="F1000" s="36">
        <v>0.101999999999975</v>
      </c>
      <c r="G1000" s="34">
        <v>0.101999999999975</v>
      </c>
      <c r="H1000" s="35">
        <v>502.7</v>
      </c>
      <c r="I1000" s="37">
        <f t="shared" si="15"/>
        <v>2.9428810612402597E-2</v>
      </c>
      <c r="J1000" s="33"/>
    </row>
    <row r="1001" spans="1:10">
      <c r="A1001" s="33" t="s">
        <v>33</v>
      </c>
      <c r="B1001" s="34">
        <v>389.85300000000001</v>
      </c>
      <c r="C1001" s="35">
        <v>17081.900000000001</v>
      </c>
      <c r="D1001" s="33" t="s">
        <v>97</v>
      </c>
      <c r="E1001" s="34">
        <v>389.971</v>
      </c>
      <c r="F1001" s="36">
        <v>0.117999999999995</v>
      </c>
      <c r="G1001" s="34">
        <v>0.117999999999995</v>
      </c>
      <c r="H1001" s="35">
        <v>316.3</v>
      </c>
      <c r="I1001" s="37">
        <f t="shared" si="15"/>
        <v>1.8516675545460399E-2</v>
      </c>
      <c r="J1001" s="33"/>
    </row>
    <row r="1002" spans="1:10">
      <c r="A1002" s="33" t="s">
        <v>33</v>
      </c>
      <c r="B1002" s="34">
        <v>389.85300000000001</v>
      </c>
      <c r="C1002" s="35">
        <v>17081.900000000001</v>
      </c>
      <c r="D1002" s="33" t="s">
        <v>277</v>
      </c>
      <c r="E1002" s="34">
        <v>389.97300000000001</v>
      </c>
      <c r="F1002" s="36">
        <v>0.12000000000000501</v>
      </c>
      <c r="G1002" s="34">
        <v>0.12000000000000501</v>
      </c>
      <c r="H1002" s="35">
        <v>426.7</v>
      </c>
      <c r="I1002" s="37">
        <f t="shared" si="15"/>
        <v>2.4979656829743763E-2</v>
      </c>
      <c r="J1002" s="33"/>
    </row>
    <row r="1003" spans="1:10">
      <c r="A1003" s="33" t="s">
        <v>33</v>
      </c>
      <c r="B1003" s="34">
        <v>389.85300000000001</v>
      </c>
      <c r="C1003" s="35">
        <v>17081.900000000001</v>
      </c>
      <c r="D1003" s="33" t="s">
        <v>287</v>
      </c>
      <c r="E1003" s="34">
        <v>389.988</v>
      </c>
      <c r="F1003" s="36">
        <v>0.13499999999999099</v>
      </c>
      <c r="G1003" s="34">
        <v>0.13499999999999099</v>
      </c>
      <c r="H1003" s="35">
        <v>2050</v>
      </c>
      <c r="I1003" s="37">
        <f t="shared" si="15"/>
        <v>0.12001006913750811</v>
      </c>
      <c r="J1003" s="33"/>
    </row>
    <row r="1004" spans="1:10">
      <c r="A1004" s="33" t="s">
        <v>33</v>
      </c>
      <c r="B1004" s="34">
        <v>389.85300000000001</v>
      </c>
      <c r="C1004" s="35">
        <v>17081.900000000001</v>
      </c>
      <c r="D1004" s="33" t="s">
        <v>269</v>
      </c>
      <c r="E1004" s="34">
        <v>389.99299999999999</v>
      </c>
      <c r="F1004" s="36">
        <v>0.139999999999986</v>
      </c>
      <c r="G1004" s="34">
        <v>0.139999999999986</v>
      </c>
      <c r="H1004" s="35">
        <v>135.80000000000001</v>
      </c>
      <c r="I1004" s="37">
        <f t="shared" si="15"/>
        <v>7.9499353116456607E-3</v>
      </c>
      <c r="J1004" s="33"/>
    </row>
    <row r="1005" spans="1:10">
      <c r="A1005" s="33" t="s">
        <v>33</v>
      </c>
      <c r="B1005" s="34">
        <v>389.85300000000001</v>
      </c>
      <c r="C1005" s="35">
        <v>17081.900000000001</v>
      </c>
      <c r="D1005" s="33" t="s">
        <v>271</v>
      </c>
      <c r="E1005" s="34">
        <v>390.01299999999998</v>
      </c>
      <c r="F1005" s="36">
        <v>0.159999999999968</v>
      </c>
      <c r="G1005" s="34">
        <v>0.159999999999968</v>
      </c>
      <c r="H1005" s="35">
        <v>191.5</v>
      </c>
      <c r="I1005" s="37">
        <f t="shared" si="15"/>
        <v>1.1210696702357465E-2</v>
      </c>
      <c r="J1005" s="33"/>
    </row>
    <row r="1006" spans="1:10">
      <c r="A1006" s="33" t="s">
        <v>33</v>
      </c>
      <c r="B1006" s="34">
        <v>389.85300000000001</v>
      </c>
      <c r="C1006" s="35">
        <v>17081.900000000001</v>
      </c>
      <c r="D1006" s="33" t="s">
        <v>278</v>
      </c>
      <c r="E1006" s="34">
        <v>390.017</v>
      </c>
      <c r="F1006" s="36">
        <v>0.16399999999998699</v>
      </c>
      <c r="G1006" s="34">
        <v>0.16399999999998699</v>
      </c>
      <c r="H1006" s="35">
        <v>60.6</v>
      </c>
      <c r="I1006" s="37">
        <f t="shared" si="15"/>
        <v>3.5476147266990206E-3</v>
      </c>
      <c r="J1006" s="33"/>
    </row>
    <row r="1007" spans="1:10">
      <c r="A1007" s="33" t="s">
        <v>33</v>
      </c>
      <c r="B1007" s="34">
        <v>389.85300000000001</v>
      </c>
      <c r="C1007" s="35">
        <v>17081.900000000001</v>
      </c>
      <c r="D1007" s="33" t="s">
        <v>25</v>
      </c>
      <c r="E1007" s="34">
        <v>390.02</v>
      </c>
      <c r="F1007" s="36">
        <v>0.166999999999973</v>
      </c>
      <c r="G1007" s="34">
        <v>0.166999999999973</v>
      </c>
      <c r="H1007" s="35">
        <v>284</v>
      </c>
      <c r="I1007" s="37">
        <f t="shared" si="15"/>
        <v>1.6625785187830391E-2</v>
      </c>
      <c r="J1007" s="33" t="s">
        <v>116</v>
      </c>
    </row>
    <row r="1008" spans="1:10">
      <c r="A1008" s="33" t="s">
        <v>33</v>
      </c>
      <c r="B1008" s="34">
        <v>394.46800000000002</v>
      </c>
      <c r="C1008" s="35">
        <v>20625.2</v>
      </c>
      <c r="D1008" s="33" t="s">
        <v>240</v>
      </c>
      <c r="E1008" s="34">
        <v>394.29</v>
      </c>
      <c r="F1008" s="36">
        <v>0.17799999999999699</v>
      </c>
      <c r="G1008" s="34">
        <v>0.17799999999999699</v>
      </c>
      <c r="H1008" s="35">
        <v>10.9</v>
      </c>
      <c r="I1008" s="37">
        <f t="shared" si="15"/>
        <v>5.2847972383298096E-4</v>
      </c>
      <c r="J1008" s="33"/>
    </row>
    <row r="1009" spans="1:10">
      <c r="A1009" s="33" t="s">
        <v>33</v>
      </c>
      <c r="B1009" s="34">
        <v>394.46800000000002</v>
      </c>
      <c r="C1009" s="35">
        <v>20625.2</v>
      </c>
      <c r="D1009" s="33" t="s">
        <v>280</v>
      </c>
      <c r="E1009" s="34">
        <v>394.30700000000002</v>
      </c>
      <c r="F1009" s="36">
        <v>0.161000000000001</v>
      </c>
      <c r="G1009" s="34">
        <v>0.161000000000001</v>
      </c>
      <c r="H1009" s="35">
        <v>951.7</v>
      </c>
      <c r="I1009" s="37">
        <f t="shared" si="15"/>
        <v>4.6142582859802571E-2</v>
      </c>
      <c r="J1009" s="33"/>
    </row>
    <row r="1010" spans="1:10">
      <c r="A1010" s="33" t="s">
        <v>33</v>
      </c>
      <c r="B1010" s="34">
        <v>394.46800000000002</v>
      </c>
      <c r="C1010" s="35">
        <v>20625.2</v>
      </c>
      <c r="D1010" s="33" t="s">
        <v>275</v>
      </c>
      <c r="E1010" s="34">
        <v>394.30799999999999</v>
      </c>
      <c r="F1010" s="36">
        <v>0.16000000000002501</v>
      </c>
      <c r="G1010" s="34">
        <v>0.16000000000002501</v>
      </c>
      <c r="H1010" s="35">
        <v>31.4</v>
      </c>
      <c r="I1010" s="37">
        <f t="shared" si="15"/>
        <v>1.5224094796656516E-3</v>
      </c>
      <c r="J1010" s="33"/>
    </row>
    <row r="1011" spans="1:10">
      <c r="A1011" s="33" t="s">
        <v>33</v>
      </c>
      <c r="B1011" s="34">
        <v>394.46800000000002</v>
      </c>
      <c r="C1011" s="35">
        <v>20625.2</v>
      </c>
      <c r="D1011" s="33" t="s">
        <v>25</v>
      </c>
      <c r="E1011" s="34">
        <v>394.31299999999999</v>
      </c>
      <c r="F1011" s="36">
        <v>0.15500000000003</v>
      </c>
      <c r="G1011" s="34">
        <v>0.15500000000003</v>
      </c>
      <c r="H1011" s="35">
        <v>361.3</v>
      </c>
      <c r="I1011" s="37">
        <f t="shared" si="15"/>
        <v>1.7517405891821655E-2</v>
      </c>
      <c r="J1011" s="33" t="s">
        <v>116</v>
      </c>
    </row>
    <row r="1012" spans="1:10">
      <c r="A1012" s="33" t="s">
        <v>33</v>
      </c>
      <c r="B1012" s="34">
        <v>394.46800000000002</v>
      </c>
      <c r="C1012" s="35">
        <v>20625.2</v>
      </c>
      <c r="D1012" s="33" t="s">
        <v>84</v>
      </c>
      <c r="E1012" s="34">
        <v>394.31900000000002</v>
      </c>
      <c r="F1012" s="36">
        <v>0.14899999999999999</v>
      </c>
      <c r="G1012" s="34">
        <v>0.14899999999999999</v>
      </c>
      <c r="H1012" s="35">
        <v>408.5</v>
      </c>
      <c r="I1012" s="37">
        <f t="shared" si="15"/>
        <v>1.9805868549153463E-2</v>
      </c>
      <c r="J1012" s="33" t="s">
        <v>116</v>
      </c>
    </row>
    <row r="1013" spans="1:10">
      <c r="A1013" s="33" t="s">
        <v>33</v>
      </c>
      <c r="B1013" s="34">
        <v>394.46800000000002</v>
      </c>
      <c r="C1013" s="35">
        <v>20625.2</v>
      </c>
      <c r="D1013" s="33" t="s">
        <v>270</v>
      </c>
      <c r="E1013" s="34">
        <v>394.32400000000001</v>
      </c>
      <c r="F1013" s="36">
        <v>0.14400000000000601</v>
      </c>
      <c r="G1013" s="34">
        <v>0.14400000000000601</v>
      </c>
      <c r="H1013" s="35">
        <v>1402.6</v>
      </c>
      <c r="I1013" s="37">
        <f t="shared" si="15"/>
        <v>6.8004189050287989E-2</v>
      </c>
      <c r="J1013" s="33"/>
    </row>
    <row r="1014" spans="1:10">
      <c r="A1014" s="33" t="s">
        <v>33</v>
      </c>
      <c r="B1014" s="34">
        <v>394.46800000000002</v>
      </c>
      <c r="C1014" s="35">
        <v>20625.2</v>
      </c>
      <c r="D1014" s="33" t="s">
        <v>271</v>
      </c>
      <c r="E1014" s="34">
        <v>394.339</v>
      </c>
      <c r="F1014" s="36">
        <v>0.12900000000001899</v>
      </c>
      <c r="G1014" s="34">
        <v>0.12900000000001899</v>
      </c>
      <c r="H1014" s="35">
        <v>587.9</v>
      </c>
      <c r="I1014" s="37">
        <f t="shared" si="15"/>
        <v>2.8503966022147661E-2</v>
      </c>
      <c r="J1014" s="33"/>
    </row>
    <row r="1015" spans="1:10">
      <c r="A1015" s="33" t="s">
        <v>33</v>
      </c>
      <c r="B1015" s="34">
        <v>394.46800000000002</v>
      </c>
      <c r="C1015" s="35">
        <v>20625.2</v>
      </c>
      <c r="D1015" s="33" t="s">
        <v>273</v>
      </c>
      <c r="E1015" s="34">
        <v>394.36599999999999</v>
      </c>
      <c r="F1015" s="36">
        <v>0.102000000000032</v>
      </c>
      <c r="G1015" s="34">
        <v>0.102000000000032</v>
      </c>
      <c r="H1015" s="35">
        <v>84.4</v>
      </c>
      <c r="I1015" s="37">
        <f t="shared" si="15"/>
        <v>4.0920815313306054E-3</v>
      </c>
      <c r="J1015" s="33"/>
    </row>
    <row r="1016" spans="1:10">
      <c r="A1016" s="33" t="s">
        <v>33</v>
      </c>
      <c r="B1016" s="34">
        <v>394.46800000000002</v>
      </c>
      <c r="C1016" s="35">
        <v>20625.2</v>
      </c>
      <c r="D1016" s="33" t="s">
        <v>278</v>
      </c>
      <c r="E1016" s="34">
        <v>394.36599999999999</v>
      </c>
      <c r="F1016" s="36">
        <v>0.102000000000032</v>
      </c>
      <c r="G1016" s="34">
        <v>0.102000000000032</v>
      </c>
      <c r="H1016" s="35">
        <v>26.9</v>
      </c>
      <c r="I1016" s="37">
        <f t="shared" si="15"/>
        <v>1.3042297771657971E-3</v>
      </c>
      <c r="J1016" s="33"/>
    </row>
    <row r="1017" spans="1:10">
      <c r="A1017" s="33" t="s">
        <v>33</v>
      </c>
      <c r="B1017" s="34">
        <v>394.46800000000002</v>
      </c>
      <c r="C1017" s="35">
        <v>20625.2</v>
      </c>
      <c r="D1017" s="33" t="s">
        <v>271</v>
      </c>
      <c r="E1017" s="34">
        <v>394.36900000000003</v>
      </c>
      <c r="F1017" s="36">
        <v>9.8999999999989499E-2</v>
      </c>
      <c r="G1017" s="34">
        <v>9.8999999999989499E-2</v>
      </c>
      <c r="H1017" s="35">
        <v>322.10000000000002</v>
      </c>
      <c r="I1017" s="37">
        <f t="shared" si="15"/>
        <v>1.5616818261156256E-2</v>
      </c>
      <c r="J1017" s="33"/>
    </row>
    <row r="1018" spans="1:10">
      <c r="A1018" s="33" t="s">
        <v>33</v>
      </c>
      <c r="B1018" s="34">
        <v>394.46800000000002</v>
      </c>
      <c r="C1018" s="35">
        <v>20625.2</v>
      </c>
      <c r="D1018" s="33" t="s">
        <v>239</v>
      </c>
      <c r="E1018" s="34">
        <v>394.38</v>
      </c>
      <c r="F1018" s="36">
        <v>8.8000000000022296E-2</v>
      </c>
      <c r="G1018" s="34">
        <v>8.8000000000022296E-2</v>
      </c>
      <c r="H1018" s="35">
        <v>1.8</v>
      </c>
      <c r="I1018" s="37">
        <f t="shared" si="15"/>
        <v>8.7271880999941821E-5</v>
      </c>
      <c r="J1018" s="33"/>
    </row>
    <row r="1019" spans="1:10">
      <c r="A1019" s="33" t="s">
        <v>33</v>
      </c>
      <c r="B1019" s="34">
        <v>394.46800000000002</v>
      </c>
      <c r="C1019" s="35">
        <v>20625.2</v>
      </c>
      <c r="D1019" s="33" t="s">
        <v>25</v>
      </c>
      <c r="E1019" s="34">
        <v>394.38799999999998</v>
      </c>
      <c r="F1019" s="36">
        <v>8.00000000000409E-2</v>
      </c>
      <c r="G1019" s="34">
        <v>8.00000000000409E-2</v>
      </c>
      <c r="H1019" s="35">
        <v>2695.2</v>
      </c>
      <c r="I1019" s="37">
        <f t="shared" si="15"/>
        <v>0.13067509648391287</v>
      </c>
      <c r="J1019" s="33" t="s">
        <v>116</v>
      </c>
    </row>
    <row r="1020" spans="1:10">
      <c r="A1020" s="33" t="s">
        <v>33</v>
      </c>
      <c r="B1020" s="34">
        <v>394.46800000000002</v>
      </c>
      <c r="C1020" s="35">
        <v>20625.2</v>
      </c>
      <c r="D1020" s="33" t="s">
        <v>283</v>
      </c>
      <c r="E1020" s="34">
        <v>394.40100000000001</v>
      </c>
      <c r="F1020" s="36">
        <v>6.7000000000007304E-2</v>
      </c>
      <c r="G1020" s="34">
        <v>6.7000000000007304E-2</v>
      </c>
      <c r="H1020" s="35">
        <v>7581.6</v>
      </c>
      <c r="I1020" s="37">
        <f t="shared" si="15"/>
        <v>0.36758916277175496</v>
      </c>
      <c r="J1020" s="33"/>
    </row>
    <row r="1021" spans="1:10">
      <c r="A1021" s="33" t="s">
        <v>33</v>
      </c>
      <c r="B1021" s="34">
        <v>394.46800000000002</v>
      </c>
      <c r="C1021" s="35">
        <v>20625.2</v>
      </c>
      <c r="D1021" s="33" t="s">
        <v>36</v>
      </c>
      <c r="E1021" s="34">
        <v>394.40499999999997</v>
      </c>
      <c r="F1021" s="36">
        <v>6.3E-2</v>
      </c>
      <c r="G1021" s="34">
        <v>6.3E-2</v>
      </c>
      <c r="H1021" s="35">
        <v>3.9</v>
      </c>
      <c r="I1021" s="37">
        <f t="shared" si="15"/>
        <v>1.8908907549987394E-4</v>
      </c>
      <c r="J1021" s="33" t="s">
        <v>116</v>
      </c>
    </row>
    <row r="1022" spans="1:10">
      <c r="A1022" s="33" t="s">
        <v>33</v>
      </c>
      <c r="B1022" s="34">
        <v>394.46800000000002</v>
      </c>
      <c r="C1022" s="35">
        <v>20625.2</v>
      </c>
      <c r="D1022" s="33" t="s">
        <v>165</v>
      </c>
      <c r="E1022" s="34">
        <v>394.41</v>
      </c>
      <c r="F1022" s="36">
        <v>5.7999999999992703E-2</v>
      </c>
      <c r="G1022" s="34">
        <v>5.7999999999992703E-2</v>
      </c>
      <c r="H1022" s="35">
        <v>75</v>
      </c>
      <c r="I1022" s="37">
        <f t="shared" si="15"/>
        <v>3.6363283749975758E-3</v>
      </c>
      <c r="J1022" s="33"/>
    </row>
    <row r="1023" spans="1:10">
      <c r="A1023" s="33" t="s">
        <v>33</v>
      </c>
      <c r="B1023" s="34">
        <v>394.46800000000002</v>
      </c>
      <c r="C1023" s="35">
        <v>20625.2</v>
      </c>
      <c r="D1023" s="33" t="s">
        <v>277</v>
      </c>
      <c r="E1023" s="34">
        <v>394.41300000000001</v>
      </c>
      <c r="F1023" s="36">
        <v>5.50000000000068E-2</v>
      </c>
      <c r="G1023" s="34">
        <v>5.50000000000068E-2</v>
      </c>
      <c r="H1023" s="35">
        <v>232.9</v>
      </c>
      <c r="I1023" s="37">
        <f t="shared" si="15"/>
        <v>1.1292011713825805E-2</v>
      </c>
      <c r="J1023" s="33"/>
    </row>
    <row r="1024" spans="1:10">
      <c r="A1024" s="33" t="s">
        <v>33</v>
      </c>
      <c r="B1024" s="34">
        <v>394.46800000000002</v>
      </c>
      <c r="C1024" s="35">
        <v>20625.2</v>
      </c>
      <c r="D1024" s="33" t="s">
        <v>268</v>
      </c>
      <c r="E1024" s="34">
        <v>394.42</v>
      </c>
      <c r="F1024" s="36">
        <v>4.8000000000001798E-2</v>
      </c>
      <c r="G1024" s="34">
        <v>4.8000000000001798E-2</v>
      </c>
      <c r="H1024" s="35">
        <v>49</v>
      </c>
      <c r="I1024" s="37">
        <f t="shared" si="15"/>
        <v>2.3757345383317494E-3</v>
      </c>
      <c r="J1024" s="33"/>
    </row>
    <row r="1025" spans="1:10">
      <c r="A1025" s="33" t="s">
        <v>33</v>
      </c>
      <c r="B1025" s="34">
        <v>394.46800000000002</v>
      </c>
      <c r="C1025" s="35">
        <v>20625.2</v>
      </c>
      <c r="D1025" s="33" t="s">
        <v>84</v>
      </c>
      <c r="E1025" s="34">
        <v>394.44200000000001</v>
      </c>
      <c r="F1025" s="36">
        <v>2.5999999999999999E-2</v>
      </c>
      <c r="G1025" s="34">
        <v>2.5999999999999999E-2</v>
      </c>
      <c r="H1025" s="35">
        <v>243.1</v>
      </c>
      <c r="I1025" s="37">
        <f t="shared" si="15"/>
        <v>1.1786552372825474E-2</v>
      </c>
      <c r="J1025" s="33" t="s">
        <v>116</v>
      </c>
    </row>
    <row r="1026" spans="1:10">
      <c r="A1026" s="33" t="s">
        <v>33</v>
      </c>
      <c r="B1026" s="34">
        <v>394.46800000000002</v>
      </c>
      <c r="C1026" s="35">
        <v>20625.2</v>
      </c>
      <c r="D1026" s="33" t="s">
        <v>133</v>
      </c>
      <c r="E1026" s="34">
        <v>394.45100000000002</v>
      </c>
      <c r="F1026" s="36">
        <v>1.69999999999959E-2</v>
      </c>
      <c r="G1026" s="34">
        <v>1.69999999999959E-2</v>
      </c>
      <c r="H1026" s="35">
        <v>13.3</v>
      </c>
      <c r="I1026" s="37">
        <f t="shared" ref="I1026:I1089" si="16">H1026/C1026</f>
        <v>6.4484223183290342E-4</v>
      </c>
      <c r="J1026" s="33"/>
    </row>
    <row r="1027" spans="1:10">
      <c r="A1027" s="33" t="s">
        <v>33</v>
      </c>
      <c r="B1027" s="34">
        <v>394.46800000000002</v>
      </c>
      <c r="C1027" s="35">
        <v>20625.2</v>
      </c>
      <c r="D1027" s="33" t="s">
        <v>280</v>
      </c>
      <c r="E1027" s="34">
        <v>394.459</v>
      </c>
      <c r="F1027" s="36">
        <v>9.0000000000145502E-3</v>
      </c>
      <c r="G1027" s="34">
        <v>9.0000000000145502E-3</v>
      </c>
      <c r="H1027" s="35">
        <v>147.69999999999999</v>
      </c>
      <c r="I1027" s="37">
        <f t="shared" si="16"/>
        <v>7.1611426798285586E-3</v>
      </c>
      <c r="J1027" s="33"/>
    </row>
    <row r="1028" spans="1:10">
      <c r="A1028" s="33" t="s">
        <v>33</v>
      </c>
      <c r="B1028" s="34">
        <v>394.46800000000002</v>
      </c>
      <c r="C1028" s="35">
        <v>20625.2</v>
      </c>
      <c r="D1028" s="33" t="s">
        <v>279</v>
      </c>
      <c r="E1028" s="34">
        <v>394.47300000000001</v>
      </c>
      <c r="F1028" s="36">
        <v>4.9999999999954499E-3</v>
      </c>
      <c r="G1028" s="34">
        <v>4.9999999999954499E-3</v>
      </c>
      <c r="H1028" s="35">
        <v>3.5</v>
      </c>
      <c r="I1028" s="37">
        <f t="shared" si="16"/>
        <v>1.6969532416655353E-4</v>
      </c>
      <c r="J1028" s="33"/>
    </row>
    <row r="1029" spans="1:10">
      <c r="A1029" s="33" t="s">
        <v>33</v>
      </c>
      <c r="B1029" s="34">
        <v>394.46800000000002</v>
      </c>
      <c r="C1029" s="35">
        <v>20625.2</v>
      </c>
      <c r="D1029" s="33" t="s">
        <v>25</v>
      </c>
      <c r="E1029" s="34">
        <v>394.483</v>
      </c>
      <c r="F1029" s="36">
        <v>1.4999999999986399E-2</v>
      </c>
      <c r="G1029" s="34">
        <v>1.4999999999986399E-2</v>
      </c>
      <c r="H1029" s="35">
        <v>463</v>
      </c>
      <c r="I1029" s="37">
        <f t="shared" si="16"/>
        <v>2.2448267168318367E-2</v>
      </c>
      <c r="J1029" s="33" t="s">
        <v>116</v>
      </c>
    </row>
    <row r="1030" spans="1:10">
      <c r="A1030" s="33" t="s">
        <v>33</v>
      </c>
      <c r="B1030" s="34">
        <v>394.46800000000002</v>
      </c>
      <c r="C1030" s="35">
        <v>20625.2</v>
      </c>
      <c r="D1030" s="33" t="s">
        <v>97</v>
      </c>
      <c r="E1030" s="34">
        <v>394.50900000000001</v>
      </c>
      <c r="F1030" s="36">
        <v>4.0999999999996803E-2</v>
      </c>
      <c r="G1030" s="34">
        <v>4.0999999999996803E-2</v>
      </c>
      <c r="H1030" s="35">
        <v>21</v>
      </c>
      <c r="I1030" s="37">
        <f t="shared" si="16"/>
        <v>1.0181719449993212E-3</v>
      </c>
      <c r="J1030" s="33"/>
    </row>
    <row r="1031" spans="1:10">
      <c r="A1031" s="33" t="s">
        <v>33</v>
      </c>
      <c r="B1031" s="34">
        <v>394.46800000000002</v>
      </c>
      <c r="C1031" s="35">
        <v>20625.2</v>
      </c>
      <c r="D1031" s="33" t="s">
        <v>275</v>
      </c>
      <c r="E1031" s="34">
        <v>394.524</v>
      </c>
      <c r="F1031" s="36">
        <v>5.5999999999983202E-2</v>
      </c>
      <c r="G1031" s="34">
        <v>5.5999999999983202E-2</v>
      </c>
      <c r="H1031" s="35">
        <v>42</v>
      </c>
      <c r="I1031" s="37">
        <f t="shared" si="16"/>
        <v>2.0363438899986424E-3</v>
      </c>
      <c r="J1031" s="33"/>
    </row>
    <row r="1032" spans="1:10">
      <c r="A1032" s="33" t="s">
        <v>33</v>
      </c>
      <c r="B1032" s="34">
        <v>394.46800000000002</v>
      </c>
      <c r="C1032" s="35">
        <v>20625.2</v>
      </c>
      <c r="D1032" s="33" t="s">
        <v>54</v>
      </c>
      <c r="E1032" s="34">
        <v>394.53199999999998</v>
      </c>
      <c r="F1032" s="36">
        <v>6.3999999999964502E-2</v>
      </c>
      <c r="G1032" s="34">
        <v>6.3999999999964502E-2</v>
      </c>
      <c r="H1032" s="35">
        <v>24.6</v>
      </c>
      <c r="I1032" s="37">
        <f t="shared" si="16"/>
        <v>1.1927157069992048E-3</v>
      </c>
      <c r="J1032" s="33"/>
    </row>
    <row r="1033" spans="1:10">
      <c r="A1033" s="33" t="s">
        <v>33</v>
      </c>
      <c r="B1033" s="34">
        <v>394.46800000000002</v>
      </c>
      <c r="C1033" s="35">
        <v>20625.2</v>
      </c>
      <c r="D1033" s="33" t="s">
        <v>269</v>
      </c>
      <c r="E1033" s="34">
        <v>394.536</v>
      </c>
      <c r="F1033" s="36">
        <v>6.7999999999983601E-2</v>
      </c>
      <c r="G1033" s="34">
        <v>6.7999999999983601E-2</v>
      </c>
      <c r="H1033" s="35">
        <v>54.7</v>
      </c>
      <c r="I1033" s="37">
        <f t="shared" si="16"/>
        <v>2.6520954948315652E-3</v>
      </c>
      <c r="J1033" s="33"/>
    </row>
    <row r="1034" spans="1:10">
      <c r="A1034" s="33" t="s">
        <v>33</v>
      </c>
      <c r="B1034" s="34">
        <v>394.46800000000002</v>
      </c>
      <c r="C1034" s="35">
        <v>20625.2</v>
      </c>
      <c r="D1034" s="33" t="s">
        <v>239</v>
      </c>
      <c r="E1034" s="34">
        <v>394.54700000000003</v>
      </c>
      <c r="F1034" s="36">
        <v>7.9000000000007703E-2</v>
      </c>
      <c r="G1034" s="34">
        <v>7.9000000000007703E-2</v>
      </c>
      <c r="H1034" s="35">
        <v>2</v>
      </c>
      <c r="I1034" s="37">
        <f t="shared" si="16"/>
        <v>9.6968756666602013E-5</v>
      </c>
      <c r="J1034" s="33"/>
    </row>
    <row r="1035" spans="1:10">
      <c r="A1035" s="33" t="s">
        <v>33</v>
      </c>
      <c r="B1035" s="34">
        <v>394.46800000000002</v>
      </c>
      <c r="C1035" s="35">
        <v>20625.2</v>
      </c>
      <c r="D1035" s="33" t="s">
        <v>271</v>
      </c>
      <c r="E1035" s="34">
        <v>394.55099999999999</v>
      </c>
      <c r="F1035" s="36">
        <v>8.2999999999970001E-2</v>
      </c>
      <c r="G1035" s="34">
        <v>8.2999999999970001E-2</v>
      </c>
      <c r="H1035" s="35">
        <v>760</v>
      </c>
      <c r="I1035" s="37">
        <f t="shared" si="16"/>
        <v>3.6848127533308767E-2</v>
      </c>
      <c r="J1035" s="33"/>
    </row>
    <row r="1036" spans="1:10">
      <c r="A1036" s="33" t="s">
        <v>33</v>
      </c>
      <c r="B1036" s="34">
        <v>394.46800000000002</v>
      </c>
      <c r="C1036" s="35">
        <v>20625.2</v>
      </c>
      <c r="D1036" s="33" t="s">
        <v>36</v>
      </c>
      <c r="E1036" s="34">
        <v>394.553</v>
      </c>
      <c r="F1036" s="36">
        <v>8.5000000000000006E-2</v>
      </c>
      <c r="G1036" s="34">
        <v>8.5000000000000006E-2</v>
      </c>
      <c r="H1036" s="35">
        <v>110.5</v>
      </c>
      <c r="I1036" s="37">
        <f t="shared" si="16"/>
        <v>5.3575238058297617E-3</v>
      </c>
      <c r="J1036" s="33" t="s">
        <v>116</v>
      </c>
    </row>
    <row r="1037" spans="1:10">
      <c r="A1037" s="33" t="s">
        <v>33</v>
      </c>
      <c r="B1037" s="34">
        <v>394.46800000000002</v>
      </c>
      <c r="C1037" s="35">
        <v>20625.2</v>
      </c>
      <c r="D1037" s="33" t="s">
        <v>268</v>
      </c>
      <c r="E1037" s="34">
        <v>394.55799999999999</v>
      </c>
      <c r="F1037" s="36">
        <v>8.9999999999975003E-2</v>
      </c>
      <c r="G1037" s="34">
        <v>8.9999999999975003E-2</v>
      </c>
      <c r="H1037" s="35">
        <v>101.9</v>
      </c>
      <c r="I1037" s="37">
        <f t="shared" si="16"/>
        <v>4.9405581521633733E-3</v>
      </c>
      <c r="J1037" s="33"/>
    </row>
    <row r="1038" spans="1:10">
      <c r="A1038" s="33" t="s">
        <v>33</v>
      </c>
      <c r="B1038" s="34">
        <v>394.46800000000002</v>
      </c>
      <c r="C1038" s="35">
        <v>20625.2</v>
      </c>
      <c r="D1038" s="33" t="s">
        <v>280</v>
      </c>
      <c r="E1038" s="34">
        <v>394.56700000000001</v>
      </c>
      <c r="F1038" s="36">
        <v>9.8999999999989499E-2</v>
      </c>
      <c r="G1038" s="34">
        <v>9.8999999999989499E-2</v>
      </c>
      <c r="H1038" s="35">
        <v>131.80000000000001</v>
      </c>
      <c r="I1038" s="37">
        <f t="shared" si="16"/>
        <v>6.3902410643290738E-3</v>
      </c>
      <c r="J1038" s="33"/>
    </row>
    <row r="1039" spans="1:10">
      <c r="A1039" s="33" t="s">
        <v>33</v>
      </c>
      <c r="B1039" s="34">
        <v>394.46800000000002</v>
      </c>
      <c r="C1039" s="35">
        <v>20625.2</v>
      </c>
      <c r="D1039" s="33" t="s">
        <v>279</v>
      </c>
      <c r="E1039" s="34">
        <v>394.59100000000001</v>
      </c>
      <c r="F1039" s="36">
        <v>0.12299999999999101</v>
      </c>
      <c r="G1039" s="34">
        <v>0.12299999999999101</v>
      </c>
      <c r="H1039" s="35">
        <v>8</v>
      </c>
      <c r="I1039" s="37">
        <f t="shared" si="16"/>
        <v>3.8787502666640805E-4</v>
      </c>
      <c r="J1039" s="33"/>
    </row>
    <row r="1040" spans="1:10">
      <c r="A1040" s="33" t="s">
        <v>33</v>
      </c>
      <c r="B1040" s="34">
        <v>394.46800000000002</v>
      </c>
      <c r="C1040" s="35">
        <v>20625.2</v>
      </c>
      <c r="D1040" s="33" t="s">
        <v>239</v>
      </c>
      <c r="E1040" s="34">
        <v>394.59500000000003</v>
      </c>
      <c r="F1040" s="36">
        <v>0.12700000000000999</v>
      </c>
      <c r="G1040" s="34">
        <v>0.12700000000000999</v>
      </c>
      <c r="H1040" s="35">
        <v>29</v>
      </c>
      <c r="I1040" s="37">
        <f t="shared" si="16"/>
        <v>1.4060469716657292E-3</v>
      </c>
      <c r="J1040" s="33"/>
    </row>
    <row r="1041" spans="1:10">
      <c r="A1041" s="33" t="s">
        <v>33</v>
      </c>
      <c r="B1041" s="34">
        <v>394.46800000000002</v>
      </c>
      <c r="C1041" s="35">
        <v>20625.2</v>
      </c>
      <c r="D1041" s="33" t="s">
        <v>271</v>
      </c>
      <c r="E1041" s="34">
        <v>394.61500000000001</v>
      </c>
      <c r="F1041" s="36">
        <v>0.146999999999991</v>
      </c>
      <c r="G1041" s="34">
        <v>0.146999999999991</v>
      </c>
      <c r="H1041" s="35">
        <v>1036</v>
      </c>
      <c r="I1041" s="37">
        <f t="shared" si="16"/>
        <v>5.0229815953299846E-2</v>
      </c>
      <c r="J1041" s="33"/>
    </row>
    <row r="1042" spans="1:10">
      <c r="A1042" s="33" t="s">
        <v>33</v>
      </c>
      <c r="B1042" s="34">
        <v>394.46800000000002</v>
      </c>
      <c r="C1042" s="35">
        <v>20625.2</v>
      </c>
      <c r="D1042" s="33" t="s">
        <v>25</v>
      </c>
      <c r="E1042" s="34">
        <v>394.61799999999999</v>
      </c>
      <c r="F1042" s="36">
        <v>0.14999999999997701</v>
      </c>
      <c r="G1042" s="34">
        <v>0.14999999999997701</v>
      </c>
      <c r="H1042" s="35">
        <v>56.9</v>
      </c>
      <c r="I1042" s="37">
        <f t="shared" si="16"/>
        <v>2.7587611271648275E-3</v>
      </c>
      <c r="J1042" s="33" t="s">
        <v>116</v>
      </c>
    </row>
    <row r="1043" spans="1:10">
      <c r="A1043" s="33" t="s">
        <v>33</v>
      </c>
      <c r="B1043" s="34">
        <v>394.46800000000002</v>
      </c>
      <c r="C1043" s="35">
        <v>20625.2</v>
      </c>
      <c r="D1043" s="33" t="s">
        <v>290</v>
      </c>
      <c r="E1043" s="34">
        <v>394.62799999999999</v>
      </c>
      <c r="F1043" s="36">
        <v>0.159999999999968</v>
      </c>
      <c r="G1043" s="34">
        <v>0.159999999999968</v>
      </c>
      <c r="H1043" s="35">
        <v>10.6</v>
      </c>
      <c r="I1043" s="37">
        <f t="shared" si="16"/>
        <v>5.1393441033299064E-4</v>
      </c>
      <c r="J1043" s="33"/>
    </row>
    <row r="1044" spans="1:10">
      <c r="A1044" s="33" t="s">
        <v>33</v>
      </c>
      <c r="B1044" s="34">
        <v>394.46800000000002</v>
      </c>
      <c r="C1044" s="35">
        <v>20625.2</v>
      </c>
      <c r="D1044" s="33" t="s">
        <v>268</v>
      </c>
      <c r="E1044" s="34">
        <v>394.63299999999998</v>
      </c>
      <c r="F1044" s="36">
        <v>0.16499999999996401</v>
      </c>
      <c r="G1044" s="34">
        <v>0.16499999999996401</v>
      </c>
      <c r="H1044" s="35">
        <v>28</v>
      </c>
      <c r="I1044" s="37">
        <f t="shared" si="16"/>
        <v>1.3575625933324282E-3</v>
      </c>
      <c r="J1044" s="33"/>
    </row>
    <row r="1045" spans="1:10">
      <c r="A1045" s="33" t="s">
        <v>33</v>
      </c>
      <c r="B1045" s="34">
        <v>394.46800000000002</v>
      </c>
      <c r="C1045" s="35">
        <v>20625.2</v>
      </c>
      <c r="D1045" s="33" t="s">
        <v>270</v>
      </c>
      <c r="E1045" s="34">
        <v>394.65100000000001</v>
      </c>
      <c r="F1045" s="36">
        <v>0.182999999999993</v>
      </c>
      <c r="G1045" s="34">
        <v>0.182999999999993</v>
      </c>
      <c r="H1045" s="35">
        <v>1695.8</v>
      </c>
      <c r="I1045" s="37">
        <f t="shared" si="16"/>
        <v>8.2219808777611855E-2</v>
      </c>
      <c r="J1045" s="33"/>
    </row>
    <row r="1046" spans="1:10">
      <c r="A1046" s="33" t="s">
        <v>33</v>
      </c>
      <c r="B1046" s="34">
        <v>394.46800000000002</v>
      </c>
      <c r="C1046" s="35">
        <v>20625.2</v>
      </c>
      <c r="D1046" s="33" t="s">
        <v>54</v>
      </c>
      <c r="E1046" s="34">
        <v>394.66300000000001</v>
      </c>
      <c r="F1046" s="36">
        <v>0.19499999999999301</v>
      </c>
      <c r="G1046" s="34">
        <v>0.19499999999999301</v>
      </c>
      <c r="H1046" s="35">
        <v>2</v>
      </c>
      <c r="I1046" s="37">
        <f t="shared" si="16"/>
        <v>9.6968756666602013E-5</v>
      </c>
      <c r="J1046" s="33"/>
    </row>
    <row r="1047" spans="1:10">
      <c r="A1047" s="33" t="s">
        <v>33</v>
      </c>
      <c r="B1047" s="34">
        <v>394.46800000000002</v>
      </c>
      <c r="C1047" s="35">
        <v>20625.2</v>
      </c>
      <c r="D1047" s="33" t="s">
        <v>25</v>
      </c>
      <c r="E1047" s="34">
        <v>394.67</v>
      </c>
      <c r="F1047" s="36">
        <v>0.20199999999999799</v>
      </c>
      <c r="G1047" s="34">
        <v>0.20199999999999799</v>
      </c>
      <c r="H1047" s="35">
        <v>329.3</v>
      </c>
      <c r="I1047" s="37">
        <f t="shared" si="16"/>
        <v>1.5965905785156023E-2</v>
      </c>
      <c r="J1047" s="33" t="s">
        <v>116</v>
      </c>
    </row>
    <row r="1048" spans="1:10">
      <c r="A1048" s="33" t="s">
        <v>33</v>
      </c>
      <c r="B1048" s="34">
        <v>400.04500000000002</v>
      </c>
      <c r="C1048" s="35">
        <v>24743.5</v>
      </c>
      <c r="D1048" s="33" t="s">
        <v>84</v>
      </c>
      <c r="E1048" s="34">
        <v>399.30700000000002</v>
      </c>
      <c r="F1048" s="36">
        <v>0.73799999999999999</v>
      </c>
      <c r="G1048" s="34">
        <v>0.73799999999999999</v>
      </c>
      <c r="H1048" s="35">
        <v>393.1</v>
      </c>
      <c r="I1048" s="37">
        <f t="shared" si="16"/>
        <v>1.5887000626427145E-2</v>
      </c>
      <c r="J1048" s="33" t="s">
        <v>116</v>
      </c>
    </row>
    <row r="1049" spans="1:10">
      <c r="A1049" s="33" t="s">
        <v>33</v>
      </c>
      <c r="B1049" s="34">
        <v>400.04500000000002</v>
      </c>
      <c r="C1049" s="35">
        <v>24743.5</v>
      </c>
      <c r="D1049" s="33" t="s">
        <v>277</v>
      </c>
      <c r="E1049" s="34">
        <v>399.82400000000001</v>
      </c>
      <c r="F1049" s="36">
        <v>0.221000000000004</v>
      </c>
      <c r="G1049" s="34">
        <v>0.221000000000004</v>
      </c>
      <c r="H1049" s="35">
        <v>334.1</v>
      </c>
      <c r="I1049" s="37">
        <f t="shared" si="16"/>
        <v>1.3502536019560694E-2</v>
      </c>
      <c r="J1049" s="33"/>
    </row>
    <row r="1050" spans="1:10">
      <c r="A1050" s="33" t="s">
        <v>33</v>
      </c>
      <c r="B1050" s="34">
        <v>400.04500000000002</v>
      </c>
      <c r="C1050" s="35">
        <v>24743.5</v>
      </c>
      <c r="D1050" s="33" t="s">
        <v>269</v>
      </c>
      <c r="E1050" s="34">
        <v>399.851</v>
      </c>
      <c r="F1050" s="36">
        <v>0.19400000000001699</v>
      </c>
      <c r="G1050" s="34">
        <v>0.19400000000001699</v>
      </c>
      <c r="H1050" s="35">
        <v>133</v>
      </c>
      <c r="I1050" s="37">
        <f t="shared" si="16"/>
        <v>5.3751490290379293E-3</v>
      </c>
      <c r="J1050" s="33"/>
    </row>
    <row r="1051" spans="1:10">
      <c r="A1051" s="33" t="s">
        <v>33</v>
      </c>
      <c r="B1051" s="34">
        <v>400.04500000000002</v>
      </c>
      <c r="C1051" s="35">
        <v>24743.5</v>
      </c>
      <c r="D1051" s="33" t="s">
        <v>237</v>
      </c>
      <c r="E1051" s="34">
        <v>399.86399999999998</v>
      </c>
      <c r="F1051" s="36">
        <v>0.18100000000003999</v>
      </c>
      <c r="G1051" s="34">
        <v>0.18100000000003999</v>
      </c>
      <c r="H1051" s="35">
        <v>3679.7</v>
      </c>
      <c r="I1051" s="37">
        <f t="shared" si="16"/>
        <v>0.14871380362519449</v>
      </c>
      <c r="J1051" s="33"/>
    </row>
    <row r="1052" spans="1:10">
      <c r="A1052" s="33" t="s">
        <v>33</v>
      </c>
      <c r="B1052" s="34">
        <v>400.04500000000002</v>
      </c>
      <c r="C1052" s="35">
        <v>24743.5</v>
      </c>
      <c r="D1052" s="33" t="s">
        <v>278</v>
      </c>
      <c r="E1052" s="34">
        <v>399.87200000000001</v>
      </c>
      <c r="F1052" s="36">
        <v>0.17300000000000201</v>
      </c>
      <c r="G1052" s="34">
        <v>0.17300000000000201</v>
      </c>
      <c r="H1052" s="35">
        <v>198.2</v>
      </c>
      <c r="I1052" s="37">
        <f t="shared" si="16"/>
        <v>8.0101844928971242E-3</v>
      </c>
      <c r="J1052" s="33"/>
    </row>
    <row r="1053" spans="1:10">
      <c r="A1053" s="33" t="s">
        <v>33</v>
      </c>
      <c r="B1053" s="34">
        <v>400.04500000000002</v>
      </c>
      <c r="C1053" s="35">
        <v>24743.5</v>
      </c>
      <c r="D1053" s="33" t="s">
        <v>274</v>
      </c>
      <c r="E1053" s="34">
        <v>399.87599999999998</v>
      </c>
      <c r="F1053" s="36">
        <v>0.16900000000004001</v>
      </c>
      <c r="G1053" s="34">
        <v>0.16900000000004001</v>
      </c>
      <c r="H1053" s="35">
        <v>5.3</v>
      </c>
      <c r="I1053" s="37">
        <f t="shared" si="16"/>
        <v>2.1419766807444378E-4</v>
      </c>
      <c r="J1053" s="33"/>
    </row>
    <row r="1054" spans="1:10">
      <c r="A1054" s="33" t="s">
        <v>33</v>
      </c>
      <c r="B1054" s="34">
        <v>400.04500000000002</v>
      </c>
      <c r="C1054" s="35">
        <v>24743.5</v>
      </c>
      <c r="D1054" s="33" t="s">
        <v>239</v>
      </c>
      <c r="E1054" s="34">
        <v>399.88499999999999</v>
      </c>
      <c r="F1054" s="36">
        <v>0.16000000000002501</v>
      </c>
      <c r="G1054" s="34">
        <v>0.16000000000002501</v>
      </c>
      <c r="H1054" s="35">
        <v>21</v>
      </c>
      <c r="I1054" s="37">
        <f t="shared" si="16"/>
        <v>8.4870774142704148E-4</v>
      </c>
      <c r="J1054" s="33"/>
    </row>
    <row r="1055" spans="1:10">
      <c r="A1055" s="33" t="s">
        <v>33</v>
      </c>
      <c r="B1055" s="34">
        <v>400.04500000000002</v>
      </c>
      <c r="C1055" s="35">
        <v>24743.5</v>
      </c>
      <c r="D1055" s="33" t="s">
        <v>284</v>
      </c>
      <c r="E1055" s="34">
        <v>399.89299999999997</v>
      </c>
      <c r="F1055" s="36">
        <v>0.15200000000004399</v>
      </c>
      <c r="G1055" s="34">
        <v>0.15200000000004399</v>
      </c>
      <c r="H1055" s="35">
        <v>0.3</v>
      </c>
      <c r="I1055" s="37">
        <f t="shared" si="16"/>
        <v>1.2124396306100591E-5</v>
      </c>
      <c r="J1055" s="33"/>
    </row>
    <row r="1056" spans="1:10">
      <c r="A1056" s="33" t="s">
        <v>33</v>
      </c>
      <c r="B1056" s="34">
        <v>400.04500000000002</v>
      </c>
      <c r="C1056" s="35">
        <v>24743.5</v>
      </c>
      <c r="D1056" s="33" t="s">
        <v>236</v>
      </c>
      <c r="E1056" s="34">
        <v>399.89499999999998</v>
      </c>
      <c r="F1056" s="36">
        <v>0.150000000000034</v>
      </c>
      <c r="G1056" s="34">
        <v>0.150000000000034</v>
      </c>
      <c r="H1056" s="35">
        <v>9754.6</v>
      </c>
      <c r="I1056" s="37">
        <f t="shared" si="16"/>
        <v>0.39422878735829614</v>
      </c>
      <c r="J1056" s="33"/>
    </row>
    <row r="1057" spans="1:10">
      <c r="A1057" s="33" t="s">
        <v>33</v>
      </c>
      <c r="B1057" s="34">
        <v>400.04500000000002</v>
      </c>
      <c r="C1057" s="35">
        <v>24743.5</v>
      </c>
      <c r="D1057" s="33" t="s">
        <v>173</v>
      </c>
      <c r="E1057" s="34">
        <v>399.91199999999998</v>
      </c>
      <c r="F1057" s="36">
        <v>0.133000000000038</v>
      </c>
      <c r="G1057" s="34">
        <v>0.133000000000038</v>
      </c>
      <c r="H1057" s="35">
        <v>1685.3</v>
      </c>
      <c r="I1057" s="37">
        <f t="shared" si="16"/>
        <v>6.8110816982237754E-2</v>
      </c>
      <c r="J1057" s="33"/>
    </row>
    <row r="1058" spans="1:10">
      <c r="A1058" s="33" t="s">
        <v>33</v>
      </c>
      <c r="B1058" s="34">
        <v>400.04500000000002</v>
      </c>
      <c r="C1058" s="35">
        <v>24743.5</v>
      </c>
      <c r="D1058" s="33" t="s">
        <v>273</v>
      </c>
      <c r="E1058" s="34">
        <v>399.91800000000001</v>
      </c>
      <c r="F1058" s="36">
        <v>0.12700000000000999</v>
      </c>
      <c r="G1058" s="34">
        <v>0.12700000000000999</v>
      </c>
      <c r="H1058" s="35">
        <v>36.700000000000003</v>
      </c>
      <c r="I1058" s="37">
        <f t="shared" si="16"/>
        <v>1.4832178147796392E-3</v>
      </c>
      <c r="J1058" s="33"/>
    </row>
    <row r="1059" spans="1:10">
      <c r="A1059" s="33" t="s">
        <v>33</v>
      </c>
      <c r="B1059" s="34">
        <v>400.04500000000002</v>
      </c>
      <c r="C1059" s="35">
        <v>24743.5</v>
      </c>
      <c r="D1059" s="33" t="s">
        <v>277</v>
      </c>
      <c r="E1059" s="34">
        <v>399.91800000000001</v>
      </c>
      <c r="F1059" s="36">
        <v>0.12700000000000999</v>
      </c>
      <c r="G1059" s="34">
        <v>0.12700000000000999</v>
      </c>
      <c r="H1059" s="35">
        <v>31.6</v>
      </c>
      <c r="I1059" s="37">
        <f t="shared" si="16"/>
        <v>1.2771030775759291E-3</v>
      </c>
      <c r="J1059" s="33"/>
    </row>
    <row r="1060" spans="1:10">
      <c r="A1060" s="33" t="s">
        <v>33</v>
      </c>
      <c r="B1060" s="34">
        <v>400.04500000000002</v>
      </c>
      <c r="C1060" s="35">
        <v>24743.5</v>
      </c>
      <c r="D1060" s="33" t="s">
        <v>278</v>
      </c>
      <c r="E1060" s="34">
        <v>399.92</v>
      </c>
      <c r="F1060" s="36">
        <v>0.125</v>
      </c>
      <c r="G1060" s="34">
        <v>0.125</v>
      </c>
      <c r="H1060" s="35">
        <v>449</v>
      </c>
      <c r="I1060" s="37">
        <f t="shared" si="16"/>
        <v>1.814617980479722E-2</v>
      </c>
      <c r="J1060" s="33"/>
    </row>
    <row r="1061" spans="1:10">
      <c r="A1061" s="33" t="s">
        <v>33</v>
      </c>
      <c r="B1061" s="34">
        <v>400.04500000000002</v>
      </c>
      <c r="C1061" s="35">
        <v>24743.5</v>
      </c>
      <c r="D1061" s="33" t="s">
        <v>25</v>
      </c>
      <c r="E1061" s="34">
        <v>399.92399999999998</v>
      </c>
      <c r="F1061" s="36">
        <v>0.12100000000003799</v>
      </c>
      <c r="G1061" s="34">
        <v>0.12100000000003799</v>
      </c>
      <c r="H1061" s="35">
        <v>7983</v>
      </c>
      <c r="I1061" s="37">
        <f t="shared" si="16"/>
        <v>0.32263018570533675</v>
      </c>
      <c r="J1061" s="33" t="s">
        <v>116</v>
      </c>
    </row>
    <row r="1062" spans="1:10">
      <c r="A1062" s="33" t="s">
        <v>33</v>
      </c>
      <c r="B1062" s="34">
        <v>400.04500000000002</v>
      </c>
      <c r="C1062" s="35">
        <v>24743.5</v>
      </c>
      <c r="D1062" s="33" t="s">
        <v>193</v>
      </c>
      <c r="E1062" s="34">
        <v>399.928</v>
      </c>
      <c r="F1062" s="36">
        <v>0.11700000000001901</v>
      </c>
      <c r="G1062" s="34">
        <v>0.11700000000001901</v>
      </c>
      <c r="H1062" s="35">
        <v>38.1</v>
      </c>
      <c r="I1062" s="37">
        <f t="shared" si="16"/>
        <v>1.5397983308747753E-3</v>
      </c>
      <c r="J1062" s="33"/>
    </row>
    <row r="1063" spans="1:10">
      <c r="A1063" s="33" t="s">
        <v>33</v>
      </c>
      <c r="B1063" s="34">
        <v>400.04500000000002</v>
      </c>
      <c r="C1063" s="35">
        <v>24743.5</v>
      </c>
      <c r="D1063" s="33" t="s">
        <v>201</v>
      </c>
      <c r="E1063" s="34">
        <v>399.94</v>
      </c>
      <c r="F1063" s="36">
        <v>0.105000000000018</v>
      </c>
      <c r="G1063" s="34">
        <v>0.105000000000018</v>
      </c>
      <c r="H1063" s="35">
        <v>1319.9</v>
      </c>
      <c r="I1063" s="37">
        <f t="shared" si="16"/>
        <v>5.334330228140724E-2</v>
      </c>
      <c r="J1063" s="33"/>
    </row>
    <row r="1064" spans="1:10">
      <c r="A1064" s="33" t="s">
        <v>33</v>
      </c>
      <c r="B1064" s="34">
        <v>400.04500000000002</v>
      </c>
      <c r="C1064" s="35">
        <v>24743.5</v>
      </c>
      <c r="D1064" s="33" t="s">
        <v>285</v>
      </c>
      <c r="E1064" s="34">
        <v>399.94499999999999</v>
      </c>
      <c r="F1064" s="36">
        <v>0.100000000000023</v>
      </c>
      <c r="G1064" s="34">
        <v>0.100000000000023</v>
      </c>
      <c r="H1064" s="35">
        <v>1</v>
      </c>
      <c r="I1064" s="37">
        <f t="shared" si="16"/>
        <v>4.0414654353668638E-5</v>
      </c>
      <c r="J1064" s="33"/>
    </row>
    <row r="1065" spans="1:10">
      <c r="A1065" s="33" t="s">
        <v>33</v>
      </c>
      <c r="B1065" s="34">
        <v>400.04500000000002</v>
      </c>
      <c r="C1065" s="35">
        <v>24743.5</v>
      </c>
      <c r="D1065" s="33" t="s">
        <v>201</v>
      </c>
      <c r="E1065" s="34">
        <v>400</v>
      </c>
      <c r="F1065" s="36">
        <v>4.5000000000015902E-2</v>
      </c>
      <c r="G1065" s="34">
        <v>4.5000000000015902E-2</v>
      </c>
      <c r="H1065" s="35">
        <v>524.4</v>
      </c>
      <c r="I1065" s="37">
        <f t="shared" si="16"/>
        <v>2.1193444743063835E-2</v>
      </c>
      <c r="J1065" s="33"/>
    </row>
    <row r="1066" spans="1:10">
      <c r="A1066" s="33" t="s">
        <v>33</v>
      </c>
      <c r="B1066" s="34">
        <v>400.04500000000002</v>
      </c>
      <c r="C1066" s="35">
        <v>24743.5</v>
      </c>
      <c r="D1066" s="33" t="s">
        <v>173</v>
      </c>
      <c r="E1066" s="34">
        <v>400.017</v>
      </c>
      <c r="F1066" s="36">
        <v>2.8000000000019998E-2</v>
      </c>
      <c r="G1066" s="34">
        <v>2.8000000000019998E-2</v>
      </c>
      <c r="H1066" s="35">
        <v>2321.3000000000002</v>
      </c>
      <c r="I1066" s="37">
        <f t="shared" si="16"/>
        <v>9.3814537151171024E-2</v>
      </c>
      <c r="J1066" s="33"/>
    </row>
    <row r="1067" spans="1:10">
      <c r="A1067" s="33" t="s">
        <v>33</v>
      </c>
      <c r="B1067" s="34">
        <v>400.04500000000002</v>
      </c>
      <c r="C1067" s="35">
        <v>24743.5</v>
      </c>
      <c r="D1067" s="33" t="s">
        <v>97</v>
      </c>
      <c r="E1067" s="34">
        <v>400.04599999999999</v>
      </c>
      <c r="F1067" s="36">
        <v>9.9999999997635292E-4</v>
      </c>
      <c r="G1067" s="34">
        <v>9.9999999997635292E-4</v>
      </c>
      <c r="H1067" s="35">
        <v>1.6</v>
      </c>
      <c r="I1067" s="37">
        <f t="shared" si="16"/>
        <v>6.4663446965869834E-5</v>
      </c>
      <c r="J1067" s="33"/>
    </row>
    <row r="1068" spans="1:10">
      <c r="A1068" s="33" t="s">
        <v>33</v>
      </c>
      <c r="B1068" s="34">
        <v>400.04500000000002</v>
      </c>
      <c r="C1068" s="35">
        <v>24743.5</v>
      </c>
      <c r="D1068" s="33" t="s">
        <v>275</v>
      </c>
      <c r="E1068" s="34">
        <v>400.04899999999998</v>
      </c>
      <c r="F1068" s="36">
        <v>3.9999999999622603E-3</v>
      </c>
      <c r="G1068" s="34">
        <v>3.9999999999622603E-3</v>
      </c>
      <c r="H1068" s="35">
        <v>14.7</v>
      </c>
      <c r="I1068" s="37">
        <f t="shared" si="16"/>
        <v>5.9409541899892897E-4</v>
      </c>
      <c r="J1068" s="33"/>
    </row>
    <row r="1069" spans="1:10">
      <c r="A1069" s="33" t="s">
        <v>33</v>
      </c>
      <c r="B1069" s="34">
        <v>400.04500000000002</v>
      </c>
      <c r="C1069" s="35">
        <v>24743.5</v>
      </c>
      <c r="D1069" s="33" t="s">
        <v>27</v>
      </c>
      <c r="E1069" s="34">
        <v>400.04899999999998</v>
      </c>
      <c r="F1069" s="36">
        <v>3.9999999999622603E-3</v>
      </c>
      <c r="G1069" s="34">
        <v>3.9999999999622603E-3</v>
      </c>
      <c r="H1069" s="35">
        <v>2015.6</v>
      </c>
      <c r="I1069" s="37">
        <f t="shared" si="16"/>
        <v>8.1459777315254514E-2</v>
      </c>
      <c r="J1069" s="33" t="s">
        <v>116</v>
      </c>
    </row>
    <row r="1070" spans="1:10">
      <c r="A1070" s="33" t="s">
        <v>33</v>
      </c>
      <c r="B1070" s="34">
        <v>400.04500000000002</v>
      </c>
      <c r="C1070" s="35">
        <v>24743.5</v>
      </c>
      <c r="D1070" s="33" t="s">
        <v>273</v>
      </c>
      <c r="E1070" s="34">
        <v>400.06</v>
      </c>
      <c r="F1070" s="36">
        <v>1.4999999999986399E-2</v>
      </c>
      <c r="G1070" s="34">
        <v>1.4999999999986399E-2</v>
      </c>
      <c r="H1070" s="35">
        <v>310.8</v>
      </c>
      <c r="I1070" s="37">
        <f t="shared" si="16"/>
        <v>1.2560874573120214E-2</v>
      </c>
      <c r="J1070" s="33"/>
    </row>
    <row r="1071" spans="1:10">
      <c r="A1071" s="33" t="s">
        <v>33</v>
      </c>
      <c r="B1071" s="34">
        <v>400.04500000000002</v>
      </c>
      <c r="C1071" s="35">
        <v>24743.5</v>
      </c>
      <c r="D1071" s="33" t="s">
        <v>25</v>
      </c>
      <c r="E1071" s="34">
        <v>400.10500000000002</v>
      </c>
      <c r="F1071" s="36">
        <v>6.0000000000002301E-2</v>
      </c>
      <c r="G1071" s="34">
        <v>6.0000000000002301E-2</v>
      </c>
      <c r="H1071" s="35">
        <v>542.20000000000005</v>
      </c>
      <c r="I1071" s="37">
        <f t="shared" si="16"/>
        <v>2.191282559055914E-2</v>
      </c>
      <c r="J1071" s="33" t="s">
        <v>116</v>
      </c>
    </row>
    <row r="1072" spans="1:10">
      <c r="A1072" s="33" t="s">
        <v>33</v>
      </c>
      <c r="B1072" s="34">
        <v>400.04500000000002</v>
      </c>
      <c r="C1072" s="35">
        <v>24743.5</v>
      </c>
      <c r="D1072" s="33" t="s">
        <v>240</v>
      </c>
      <c r="E1072" s="34">
        <v>400.10500000000002</v>
      </c>
      <c r="F1072" s="36">
        <v>6.0000000000002301E-2</v>
      </c>
      <c r="G1072" s="34">
        <v>6.0000000000002301E-2</v>
      </c>
      <c r="H1072" s="35">
        <v>21</v>
      </c>
      <c r="I1072" s="37">
        <f t="shared" si="16"/>
        <v>8.4870774142704148E-4</v>
      </c>
      <c r="J1072" s="33"/>
    </row>
    <row r="1073" spans="1:10">
      <c r="A1073" s="33" t="s">
        <v>33</v>
      </c>
      <c r="B1073" s="34">
        <v>400.04500000000002</v>
      </c>
      <c r="C1073" s="35">
        <v>24743.5</v>
      </c>
      <c r="D1073" s="33" t="s">
        <v>36</v>
      </c>
      <c r="E1073" s="34">
        <v>400.125</v>
      </c>
      <c r="F1073" s="36">
        <v>0.08</v>
      </c>
      <c r="G1073" s="34">
        <v>0.08</v>
      </c>
      <c r="H1073" s="35">
        <v>1697.7</v>
      </c>
      <c r="I1073" s="37">
        <f t="shared" si="16"/>
        <v>6.8611958696223246E-2</v>
      </c>
      <c r="J1073" s="33" t="s">
        <v>116</v>
      </c>
    </row>
    <row r="1074" spans="1:10">
      <c r="A1074" s="33" t="s">
        <v>33</v>
      </c>
      <c r="B1074" s="34">
        <v>400.04500000000002</v>
      </c>
      <c r="C1074" s="35">
        <v>24743.5</v>
      </c>
      <c r="D1074" s="33" t="s">
        <v>274</v>
      </c>
      <c r="E1074" s="34">
        <v>400.137</v>
      </c>
      <c r="F1074" s="36">
        <v>9.1999999999984497E-2</v>
      </c>
      <c r="G1074" s="34">
        <v>9.1999999999984497E-2</v>
      </c>
      <c r="H1074" s="35">
        <v>6.1</v>
      </c>
      <c r="I1074" s="37">
        <f t="shared" si="16"/>
        <v>2.4652939155737869E-4</v>
      </c>
      <c r="J1074" s="33"/>
    </row>
    <row r="1075" spans="1:10">
      <c r="A1075" s="33" t="s">
        <v>33</v>
      </c>
      <c r="B1075" s="34">
        <v>400.04500000000002</v>
      </c>
      <c r="C1075" s="35">
        <v>24743.5</v>
      </c>
      <c r="D1075" s="33" t="s">
        <v>239</v>
      </c>
      <c r="E1075" s="34">
        <v>400.14499999999998</v>
      </c>
      <c r="F1075" s="36">
        <v>9.9999999999965894E-2</v>
      </c>
      <c r="G1075" s="34">
        <v>9.9999999999965894E-2</v>
      </c>
      <c r="H1075" s="35">
        <v>39</v>
      </c>
      <c r="I1075" s="37">
        <f t="shared" si="16"/>
        <v>1.576171519793077E-3</v>
      </c>
      <c r="J1075" s="33"/>
    </row>
    <row r="1076" spans="1:10">
      <c r="A1076" s="33" t="s">
        <v>33</v>
      </c>
      <c r="B1076" s="34">
        <v>400.04500000000002</v>
      </c>
      <c r="C1076" s="35">
        <v>24743.5</v>
      </c>
      <c r="D1076" s="33" t="s">
        <v>84</v>
      </c>
      <c r="E1076" s="34">
        <v>400.154</v>
      </c>
      <c r="F1076" s="36">
        <v>0.109</v>
      </c>
      <c r="G1076" s="34">
        <v>0.109</v>
      </c>
      <c r="H1076" s="35">
        <v>136.19999999999999</v>
      </c>
      <c r="I1076" s="37">
        <f t="shared" si="16"/>
        <v>5.5044759229696686E-3</v>
      </c>
      <c r="J1076" s="33" t="s">
        <v>116</v>
      </c>
    </row>
    <row r="1077" spans="1:10">
      <c r="A1077" s="33" t="s">
        <v>33</v>
      </c>
      <c r="B1077" s="34">
        <v>400.04500000000002</v>
      </c>
      <c r="C1077" s="35">
        <v>24743.5</v>
      </c>
      <c r="D1077" s="33" t="s">
        <v>25</v>
      </c>
      <c r="E1077" s="34">
        <v>400.15600000000001</v>
      </c>
      <c r="F1077" s="36">
        <v>0.11099999999999</v>
      </c>
      <c r="G1077" s="34">
        <v>0.11099999999999</v>
      </c>
      <c r="H1077" s="35">
        <v>1545.9</v>
      </c>
      <c r="I1077" s="37">
        <f t="shared" si="16"/>
        <v>6.2477014165336353E-2</v>
      </c>
      <c r="J1077" s="33" t="s">
        <v>116</v>
      </c>
    </row>
    <row r="1078" spans="1:10">
      <c r="A1078" s="33" t="s">
        <v>33</v>
      </c>
      <c r="B1078" s="34">
        <v>400.04500000000002</v>
      </c>
      <c r="C1078" s="35">
        <v>24743.5</v>
      </c>
      <c r="D1078" s="33" t="s">
        <v>97</v>
      </c>
      <c r="E1078" s="34">
        <v>400.166</v>
      </c>
      <c r="F1078" s="36">
        <v>0.120999999999981</v>
      </c>
      <c r="G1078" s="34">
        <v>0.120999999999981</v>
      </c>
      <c r="H1078" s="35">
        <v>25</v>
      </c>
      <c r="I1078" s="37">
        <f t="shared" si="16"/>
        <v>1.0103663588417161E-3</v>
      </c>
      <c r="J1078" s="33"/>
    </row>
    <row r="1079" spans="1:10">
      <c r="A1079" s="33" t="s">
        <v>33</v>
      </c>
      <c r="B1079" s="34">
        <v>400.04500000000002</v>
      </c>
      <c r="C1079" s="35">
        <v>24743.5</v>
      </c>
      <c r="D1079" s="33" t="s">
        <v>271</v>
      </c>
      <c r="E1079" s="34">
        <v>400.173</v>
      </c>
      <c r="F1079" s="36">
        <v>0.12799999999998601</v>
      </c>
      <c r="G1079" s="34">
        <v>0.12799999999998601</v>
      </c>
      <c r="H1079" s="35">
        <v>162.9</v>
      </c>
      <c r="I1079" s="37">
        <f t="shared" si="16"/>
        <v>6.583547194212622E-3</v>
      </c>
      <c r="J1079" s="33"/>
    </row>
    <row r="1080" spans="1:10">
      <c r="A1080" s="33" t="s">
        <v>33</v>
      </c>
      <c r="B1080" s="34">
        <v>400.04500000000002</v>
      </c>
      <c r="C1080" s="35">
        <v>24743.5</v>
      </c>
      <c r="D1080" s="33" t="s">
        <v>240</v>
      </c>
      <c r="E1080" s="34">
        <v>400.202</v>
      </c>
      <c r="F1080" s="36">
        <v>0.15699999999998199</v>
      </c>
      <c r="G1080" s="34">
        <v>0.15699999999998199</v>
      </c>
      <c r="H1080" s="35">
        <v>2.6</v>
      </c>
      <c r="I1080" s="37">
        <f t="shared" si="16"/>
        <v>1.0507810131953847E-4</v>
      </c>
      <c r="J1080" s="33"/>
    </row>
    <row r="1081" spans="1:10">
      <c r="A1081" s="33" t="s">
        <v>33</v>
      </c>
      <c r="B1081" s="34">
        <v>400.04500000000002</v>
      </c>
      <c r="C1081" s="35">
        <v>24743.5</v>
      </c>
      <c r="D1081" s="33" t="s">
        <v>201</v>
      </c>
      <c r="E1081" s="34">
        <v>400.21899999999999</v>
      </c>
      <c r="F1081" s="36">
        <v>0.17399999999997801</v>
      </c>
      <c r="G1081" s="34">
        <v>0.17399999999997801</v>
      </c>
      <c r="H1081" s="35">
        <v>650.1</v>
      </c>
      <c r="I1081" s="37">
        <f t="shared" si="16"/>
        <v>2.6273566795319985E-2</v>
      </c>
      <c r="J1081" s="33"/>
    </row>
    <row r="1082" spans="1:10">
      <c r="A1082" s="33" t="s">
        <v>33</v>
      </c>
      <c r="B1082" s="34">
        <v>400.04500000000002</v>
      </c>
      <c r="C1082" s="35">
        <v>24743.5</v>
      </c>
      <c r="D1082" s="33" t="s">
        <v>54</v>
      </c>
      <c r="E1082" s="34">
        <v>400.233</v>
      </c>
      <c r="F1082" s="36">
        <v>0.18799999999998801</v>
      </c>
      <c r="G1082" s="34">
        <v>0.18799999999998801</v>
      </c>
      <c r="H1082" s="35">
        <v>0.9</v>
      </c>
      <c r="I1082" s="37">
        <f t="shared" si="16"/>
        <v>3.6373188918301777E-5</v>
      </c>
      <c r="J1082" s="33"/>
    </row>
    <row r="1083" spans="1:10">
      <c r="A1083" s="33" t="s">
        <v>33</v>
      </c>
      <c r="B1083" s="34">
        <v>400.04500000000002</v>
      </c>
      <c r="C1083" s="35">
        <v>24743.5</v>
      </c>
      <c r="D1083" s="33" t="s">
        <v>277</v>
      </c>
      <c r="E1083" s="34">
        <v>400.23399999999998</v>
      </c>
      <c r="F1083" s="36">
        <v>0.188999999999965</v>
      </c>
      <c r="G1083" s="34">
        <v>0.188999999999965</v>
      </c>
      <c r="H1083" s="35">
        <v>178.9</v>
      </c>
      <c r="I1083" s="37">
        <f t="shared" si="16"/>
        <v>7.2301816638713204E-3</v>
      </c>
      <c r="J1083" s="33"/>
    </row>
    <row r="1084" spans="1:10">
      <c r="A1084" s="33" t="s">
        <v>33</v>
      </c>
      <c r="B1084" s="34">
        <v>400.04500000000002</v>
      </c>
      <c r="C1084" s="35">
        <v>24743.5</v>
      </c>
      <c r="D1084" s="33" t="s">
        <v>201</v>
      </c>
      <c r="E1084" s="34">
        <v>400.25700000000001</v>
      </c>
      <c r="F1084" s="36">
        <v>0.211999999999989</v>
      </c>
      <c r="G1084" s="34">
        <v>0.211999999999989</v>
      </c>
      <c r="H1084" s="35">
        <v>3191.4</v>
      </c>
      <c r="I1084" s="37">
        <f t="shared" si="16"/>
        <v>0.12897932790429811</v>
      </c>
      <c r="J1084" s="33"/>
    </row>
    <row r="1085" spans="1:10">
      <c r="A1085" s="33" t="s">
        <v>33</v>
      </c>
      <c r="B1085" s="34">
        <v>400.04500000000002</v>
      </c>
      <c r="C1085" s="35">
        <v>24743.5</v>
      </c>
      <c r="D1085" s="33" t="s">
        <v>94</v>
      </c>
      <c r="E1085" s="34">
        <v>400.25900000000001</v>
      </c>
      <c r="F1085" s="36">
        <v>0.214</v>
      </c>
      <c r="G1085" s="34">
        <v>0.214</v>
      </c>
      <c r="H1085" s="35">
        <v>507.9</v>
      </c>
      <c r="I1085" s="37">
        <f t="shared" si="16"/>
        <v>2.0526602946228302E-2</v>
      </c>
      <c r="J1085" s="33" t="s">
        <v>116</v>
      </c>
    </row>
    <row r="1086" spans="1:10">
      <c r="A1086" s="33" t="s">
        <v>33</v>
      </c>
      <c r="B1086" s="34">
        <v>400.04500000000002</v>
      </c>
      <c r="C1086" s="35">
        <v>24743.5</v>
      </c>
      <c r="D1086" s="33" t="s">
        <v>25</v>
      </c>
      <c r="E1086" s="34">
        <v>400.28199999999998</v>
      </c>
      <c r="F1086" s="36">
        <v>0.23699999999996599</v>
      </c>
      <c r="G1086" s="34">
        <v>0.23699999999996599</v>
      </c>
      <c r="H1086" s="35">
        <v>1104</v>
      </c>
      <c r="I1086" s="37">
        <f t="shared" si="16"/>
        <v>4.4617778406450176E-2</v>
      </c>
      <c r="J1086" s="33" t="s">
        <v>116</v>
      </c>
    </row>
    <row r="1087" spans="1:10">
      <c r="A1087" s="33" t="s">
        <v>33</v>
      </c>
      <c r="B1087" s="34">
        <v>407.79700000000003</v>
      </c>
      <c r="C1087" s="35">
        <v>28806.5</v>
      </c>
      <c r="D1087" s="33" t="s">
        <v>84</v>
      </c>
      <c r="E1087" s="34">
        <v>407</v>
      </c>
      <c r="F1087" s="36">
        <v>0.79700000000000004</v>
      </c>
      <c r="G1087" s="34">
        <v>0.79700000000000004</v>
      </c>
      <c r="H1087" s="35">
        <v>30.3</v>
      </c>
      <c r="I1087" s="37">
        <f t="shared" si="16"/>
        <v>1.051845937548817E-3</v>
      </c>
      <c r="J1087" s="33" t="s">
        <v>116</v>
      </c>
    </row>
    <row r="1088" spans="1:10">
      <c r="A1088" s="33" t="s">
        <v>33</v>
      </c>
      <c r="B1088" s="34">
        <v>407.79700000000003</v>
      </c>
      <c r="C1088" s="35">
        <v>28806.5</v>
      </c>
      <c r="D1088" s="33" t="s">
        <v>36</v>
      </c>
      <c r="E1088" s="34">
        <v>407</v>
      </c>
      <c r="F1088" s="36">
        <v>0.79700000000000004</v>
      </c>
      <c r="G1088" s="34">
        <v>0.79700000000000004</v>
      </c>
      <c r="H1088" s="35">
        <v>6614.8</v>
      </c>
      <c r="I1088" s="37">
        <f t="shared" si="16"/>
        <v>0.2296287296269939</v>
      </c>
      <c r="J1088" s="33" t="s">
        <v>116</v>
      </c>
    </row>
    <row r="1089" spans="1:10">
      <c r="A1089" s="33" t="s">
        <v>33</v>
      </c>
      <c r="B1089" s="34">
        <v>407.79700000000003</v>
      </c>
      <c r="C1089" s="35">
        <v>28806.5</v>
      </c>
      <c r="D1089" s="33" t="s">
        <v>54</v>
      </c>
      <c r="E1089" s="34">
        <v>407.73899999999998</v>
      </c>
      <c r="F1089" s="36">
        <v>5.8000000000049602E-2</v>
      </c>
      <c r="G1089" s="34">
        <v>5.8000000000049602E-2</v>
      </c>
      <c r="H1089" s="35">
        <v>13.7</v>
      </c>
      <c r="I1089" s="37">
        <f t="shared" si="16"/>
        <v>4.7558710707652785E-4</v>
      </c>
      <c r="J1089" s="33"/>
    </row>
    <row r="1090" spans="1:10">
      <c r="A1090" s="33" t="s">
        <v>33</v>
      </c>
      <c r="B1090" s="34">
        <v>407.79700000000003</v>
      </c>
      <c r="C1090" s="35">
        <v>28806.5</v>
      </c>
      <c r="D1090" s="33" t="s">
        <v>25</v>
      </c>
      <c r="E1090" s="34">
        <v>407.74700000000001</v>
      </c>
      <c r="F1090" s="36">
        <v>5.0000000000011403E-2</v>
      </c>
      <c r="G1090" s="34">
        <v>5.0000000000011403E-2</v>
      </c>
      <c r="H1090" s="35">
        <v>3523</v>
      </c>
      <c r="I1090" s="37">
        <f t="shared" ref="I1090:I1153" si="17">H1090/C1090</f>
        <v>0.12229878673216114</v>
      </c>
      <c r="J1090" s="33" t="s">
        <v>116</v>
      </c>
    </row>
    <row r="1091" spans="1:10">
      <c r="A1091" s="33" t="s">
        <v>33</v>
      </c>
      <c r="B1091" s="34">
        <v>407.79700000000003</v>
      </c>
      <c r="C1091" s="35">
        <v>28806.5</v>
      </c>
      <c r="D1091" s="33" t="s">
        <v>282</v>
      </c>
      <c r="E1091" s="34">
        <v>407.75799999999998</v>
      </c>
      <c r="F1091" s="36">
        <v>3.9000000000044097E-2</v>
      </c>
      <c r="G1091" s="34">
        <v>3.9000000000044097E-2</v>
      </c>
      <c r="H1091" s="35">
        <v>21.4</v>
      </c>
      <c r="I1091" s="37">
        <f t="shared" si="17"/>
        <v>7.4288788988596322E-4</v>
      </c>
      <c r="J1091" s="33"/>
    </row>
    <row r="1092" spans="1:10">
      <c r="A1092" s="33" t="s">
        <v>33</v>
      </c>
      <c r="B1092" s="34">
        <v>407.79700000000003</v>
      </c>
      <c r="C1092" s="35">
        <v>28806.5</v>
      </c>
      <c r="D1092" s="33" t="s">
        <v>27</v>
      </c>
      <c r="E1092" s="34">
        <v>407.76100000000002</v>
      </c>
      <c r="F1092" s="36">
        <v>3.6000000000001399E-2</v>
      </c>
      <c r="G1092" s="34">
        <v>3.6000000000001399E-2</v>
      </c>
      <c r="H1092" s="35">
        <v>1954</v>
      </c>
      <c r="I1092" s="37">
        <f t="shared" si="17"/>
        <v>6.7831912936316463E-2</v>
      </c>
      <c r="J1092" s="33" t="s">
        <v>116</v>
      </c>
    </row>
    <row r="1093" spans="1:10">
      <c r="A1093" s="33" t="s">
        <v>33</v>
      </c>
      <c r="B1093" s="34">
        <v>407.79700000000003</v>
      </c>
      <c r="C1093" s="35">
        <v>28806.5</v>
      </c>
      <c r="D1093" s="33" t="s">
        <v>239</v>
      </c>
      <c r="E1093" s="34">
        <v>407.76600000000002</v>
      </c>
      <c r="F1093" s="36">
        <v>3.1000000000005901E-2</v>
      </c>
      <c r="G1093" s="34">
        <v>3.1000000000005901E-2</v>
      </c>
      <c r="H1093" s="35">
        <v>14</v>
      </c>
      <c r="I1093" s="37">
        <f t="shared" si="17"/>
        <v>4.8600142328988249E-4</v>
      </c>
      <c r="J1093" s="33"/>
    </row>
    <row r="1094" spans="1:10">
      <c r="A1094" s="33" t="s">
        <v>33</v>
      </c>
      <c r="B1094" s="34">
        <v>407.79700000000003</v>
      </c>
      <c r="C1094" s="35">
        <v>28806.5</v>
      </c>
      <c r="D1094" s="33" t="s">
        <v>302</v>
      </c>
      <c r="E1094" s="34">
        <v>407.77100000000002</v>
      </c>
      <c r="F1094" s="36">
        <v>2.6000000000010501E-2</v>
      </c>
      <c r="G1094" s="34">
        <v>2.6000000000010501E-2</v>
      </c>
      <c r="H1094" s="35">
        <v>3869250</v>
      </c>
      <c r="I1094" s="37">
        <f t="shared" si="17"/>
        <v>134.31864336174127</v>
      </c>
      <c r="J1094" s="33"/>
    </row>
    <row r="1095" spans="1:10">
      <c r="A1095" s="33" t="s">
        <v>33</v>
      </c>
      <c r="B1095" s="34">
        <v>407.79700000000003</v>
      </c>
      <c r="C1095" s="35">
        <v>28806.5</v>
      </c>
      <c r="D1095" s="33" t="s">
        <v>277</v>
      </c>
      <c r="E1095" s="34">
        <v>407.77800000000002</v>
      </c>
      <c r="F1095" s="36">
        <v>1.9000000000005499E-2</v>
      </c>
      <c r="G1095" s="34">
        <v>1.9000000000005499E-2</v>
      </c>
      <c r="H1095" s="35">
        <v>170.1</v>
      </c>
      <c r="I1095" s="37">
        <f t="shared" si="17"/>
        <v>5.9049172929720719E-3</v>
      </c>
      <c r="J1095" s="33"/>
    </row>
    <row r="1096" spans="1:10">
      <c r="A1096" s="33" t="s">
        <v>33</v>
      </c>
      <c r="B1096" s="34">
        <v>407.79700000000003</v>
      </c>
      <c r="C1096" s="35">
        <v>28806.5</v>
      </c>
      <c r="D1096" s="33" t="s">
        <v>296</v>
      </c>
      <c r="E1096" s="34">
        <v>407.78300000000002</v>
      </c>
      <c r="F1096" s="36">
        <v>1.4000000000009999E-2</v>
      </c>
      <c r="G1096" s="34">
        <v>1.4000000000009999E-2</v>
      </c>
      <c r="H1096" s="35">
        <v>2.6</v>
      </c>
      <c r="I1096" s="37">
        <f t="shared" si="17"/>
        <v>9.0257407182406756E-5</v>
      </c>
      <c r="J1096" s="33"/>
    </row>
    <row r="1097" spans="1:10">
      <c r="A1097" s="33" t="s">
        <v>33</v>
      </c>
      <c r="B1097" s="34">
        <v>407.79700000000003</v>
      </c>
      <c r="C1097" s="35">
        <v>28806.5</v>
      </c>
      <c r="D1097" s="33" t="s">
        <v>236</v>
      </c>
      <c r="E1097" s="34">
        <v>407.83100000000002</v>
      </c>
      <c r="F1097" s="36">
        <v>3.3999999999991801E-2</v>
      </c>
      <c r="G1097" s="34">
        <v>3.3999999999991801E-2</v>
      </c>
      <c r="H1097" s="35">
        <v>104.1</v>
      </c>
      <c r="I1097" s="37">
        <f t="shared" si="17"/>
        <v>3.6137677260340544E-3</v>
      </c>
      <c r="J1097" s="33"/>
    </row>
    <row r="1098" spans="1:10">
      <c r="A1098" s="33" t="s">
        <v>33</v>
      </c>
      <c r="B1098" s="34">
        <v>407.79700000000003</v>
      </c>
      <c r="C1098" s="35">
        <v>28806.5</v>
      </c>
      <c r="D1098" s="33" t="s">
        <v>25</v>
      </c>
      <c r="E1098" s="34">
        <v>407.83199999999999</v>
      </c>
      <c r="F1098" s="36">
        <v>3.4999999999968202E-2</v>
      </c>
      <c r="G1098" s="34">
        <v>3.4999999999968202E-2</v>
      </c>
      <c r="H1098" s="35">
        <v>3948.1</v>
      </c>
      <c r="I1098" s="37">
        <f t="shared" si="17"/>
        <v>0.13705587280648465</v>
      </c>
      <c r="J1098" s="33" t="s">
        <v>116</v>
      </c>
    </row>
    <row r="1099" spans="1:10">
      <c r="A1099" s="33" t="s">
        <v>33</v>
      </c>
      <c r="B1099" s="34">
        <v>407.79700000000003</v>
      </c>
      <c r="C1099" s="35">
        <v>28806.5</v>
      </c>
      <c r="D1099" s="33" t="s">
        <v>237</v>
      </c>
      <c r="E1099" s="34">
        <v>407.84699999999998</v>
      </c>
      <c r="F1099" s="36">
        <v>4.9999999999954498E-2</v>
      </c>
      <c r="G1099" s="34">
        <v>4.9999999999954498E-2</v>
      </c>
      <c r="H1099" s="35">
        <v>304.7</v>
      </c>
      <c r="I1099" s="37">
        <f t="shared" si="17"/>
        <v>1.0577473834030513E-2</v>
      </c>
      <c r="J1099" s="33"/>
    </row>
    <row r="1100" spans="1:10">
      <c r="A1100" s="33" t="s">
        <v>33</v>
      </c>
      <c r="B1100" s="34">
        <v>407.79700000000003</v>
      </c>
      <c r="C1100" s="35">
        <v>28806.5</v>
      </c>
      <c r="D1100" s="33" t="s">
        <v>184</v>
      </c>
      <c r="E1100" s="34">
        <v>407.85700000000003</v>
      </c>
      <c r="F1100" s="36">
        <v>6.0000000000002301E-2</v>
      </c>
      <c r="G1100" s="34">
        <v>6.0000000000002301E-2</v>
      </c>
      <c r="H1100" s="35">
        <v>63.2</v>
      </c>
      <c r="I1100" s="37">
        <f t="shared" si="17"/>
        <v>2.1939492822800411E-3</v>
      </c>
      <c r="J1100" s="33"/>
    </row>
    <row r="1101" spans="1:10">
      <c r="A1101" s="33" t="s">
        <v>33</v>
      </c>
      <c r="B1101" s="34">
        <v>407.79700000000003</v>
      </c>
      <c r="C1101" s="35">
        <v>28806.5</v>
      </c>
      <c r="D1101" s="33" t="s">
        <v>238</v>
      </c>
      <c r="E1101" s="34">
        <v>407.86500000000001</v>
      </c>
      <c r="F1101" s="36">
        <v>6.7999999999983601E-2</v>
      </c>
      <c r="G1101" s="34">
        <v>6.7999999999983601E-2</v>
      </c>
      <c r="H1101" s="35">
        <v>6777.8</v>
      </c>
      <c r="I1101" s="37">
        <f t="shared" si="17"/>
        <v>0.23528717476958327</v>
      </c>
      <c r="J1101" s="33"/>
    </row>
    <row r="1102" spans="1:10">
      <c r="A1102" s="33" t="s">
        <v>33</v>
      </c>
      <c r="B1102" s="34">
        <v>407.79700000000003</v>
      </c>
      <c r="C1102" s="35">
        <v>28806.5</v>
      </c>
      <c r="D1102" s="33" t="s">
        <v>36</v>
      </c>
      <c r="E1102" s="34">
        <v>407.87</v>
      </c>
      <c r="F1102" s="36">
        <v>7.2999999999999995E-2</v>
      </c>
      <c r="G1102" s="34">
        <v>7.2999999999999995E-2</v>
      </c>
      <c r="H1102" s="35">
        <v>509.6</v>
      </c>
      <c r="I1102" s="37">
        <f t="shared" si="17"/>
        <v>1.7690451807751723E-2</v>
      </c>
      <c r="J1102" s="33" t="s">
        <v>116</v>
      </c>
    </row>
    <row r="1103" spans="1:10">
      <c r="A1103" s="33" t="s">
        <v>33</v>
      </c>
      <c r="B1103" s="34">
        <v>407.79700000000003</v>
      </c>
      <c r="C1103" s="35">
        <v>28806.5</v>
      </c>
      <c r="D1103" s="33" t="s">
        <v>277</v>
      </c>
      <c r="E1103" s="34">
        <v>407.88299999999998</v>
      </c>
      <c r="F1103" s="36">
        <v>8.5999999999955903E-2</v>
      </c>
      <c r="G1103" s="34">
        <v>8.5999999999955903E-2</v>
      </c>
      <c r="H1103" s="35">
        <v>146.5</v>
      </c>
      <c r="I1103" s="37">
        <f t="shared" si="17"/>
        <v>5.0856577508548422E-3</v>
      </c>
      <c r="J1103" s="33"/>
    </row>
    <row r="1104" spans="1:10">
      <c r="A1104" s="33" t="s">
        <v>33</v>
      </c>
      <c r="B1104" s="34">
        <v>407.79700000000003</v>
      </c>
      <c r="C1104" s="35">
        <v>28806.5</v>
      </c>
      <c r="D1104" s="33" t="s">
        <v>303</v>
      </c>
      <c r="E1104" s="34">
        <v>407.91</v>
      </c>
      <c r="F1104" s="36">
        <v>0.113</v>
      </c>
      <c r="G1104" s="34">
        <v>0.113</v>
      </c>
      <c r="H1104" s="35">
        <v>0.4</v>
      </c>
      <c r="I1104" s="37">
        <f t="shared" si="17"/>
        <v>1.3885754951139501E-5</v>
      </c>
      <c r="J1104" s="33"/>
    </row>
    <row r="1105" spans="1:10">
      <c r="A1105" s="33" t="s">
        <v>33</v>
      </c>
      <c r="B1105" s="34">
        <v>407.79700000000003</v>
      </c>
      <c r="C1105" s="35">
        <v>28806.5</v>
      </c>
      <c r="D1105" s="33" t="s">
        <v>133</v>
      </c>
      <c r="E1105" s="34">
        <v>407.91699999999997</v>
      </c>
      <c r="F1105" s="36">
        <v>0.119999999999948</v>
      </c>
      <c r="G1105" s="34">
        <v>0.119999999999948</v>
      </c>
      <c r="H1105" s="35">
        <v>79.400000000000006</v>
      </c>
      <c r="I1105" s="37">
        <f t="shared" si="17"/>
        <v>2.7563223578011909E-3</v>
      </c>
      <c r="J1105" s="33"/>
    </row>
    <row r="1106" spans="1:10">
      <c r="A1106" s="33" t="s">
        <v>33</v>
      </c>
      <c r="B1106" s="34">
        <v>407.79700000000003</v>
      </c>
      <c r="C1106" s="35">
        <v>28806.5</v>
      </c>
      <c r="D1106" s="33" t="s">
        <v>240</v>
      </c>
      <c r="E1106" s="34">
        <v>407.92200000000003</v>
      </c>
      <c r="F1106" s="36">
        <v>0.125</v>
      </c>
      <c r="G1106" s="34">
        <v>0.125</v>
      </c>
      <c r="H1106" s="35">
        <v>402.7</v>
      </c>
      <c r="I1106" s="37">
        <f t="shared" si="17"/>
        <v>1.3979483797059692E-2</v>
      </c>
      <c r="J1106" s="33"/>
    </row>
    <row r="1107" spans="1:10">
      <c r="A1107" s="33" t="s">
        <v>33</v>
      </c>
      <c r="B1107" s="34">
        <v>407.79700000000003</v>
      </c>
      <c r="C1107" s="35">
        <v>28806.5</v>
      </c>
      <c r="D1107" s="33" t="s">
        <v>268</v>
      </c>
      <c r="E1107" s="34">
        <v>407.928</v>
      </c>
      <c r="F1107" s="36">
        <v>0.130999999999972</v>
      </c>
      <c r="G1107" s="34">
        <v>0.130999999999972</v>
      </c>
      <c r="H1107" s="35">
        <v>3</v>
      </c>
      <c r="I1107" s="37">
        <f t="shared" si="17"/>
        <v>1.0414316213354625E-4</v>
      </c>
      <c r="J1107" s="33"/>
    </row>
    <row r="1108" spans="1:10">
      <c r="A1108" s="33" t="s">
        <v>33</v>
      </c>
      <c r="B1108" s="34">
        <v>407.79700000000003</v>
      </c>
      <c r="C1108" s="35">
        <v>28806.5</v>
      </c>
      <c r="D1108" s="33" t="s">
        <v>54</v>
      </c>
      <c r="E1108" s="34">
        <v>407.94299999999998</v>
      </c>
      <c r="F1108" s="36">
        <v>0.145999999999958</v>
      </c>
      <c r="G1108" s="34">
        <v>0.145999999999958</v>
      </c>
      <c r="H1108" s="35">
        <v>1.8</v>
      </c>
      <c r="I1108" s="37">
        <f t="shared" si="17"/>
        <v>6.2485897280127744E-5</v>
      </c>
      <c r="J1108" s="33"/>
    </row>
    <row r="1109" spans="1:10">
      <c r="A1109" s="33" t="s">
        <v>33</v>
      </c>
      <c r="B1109" s="34">
        <v>407.79700000000003</v>
      </c>
      <c r="C1109" s="35">
        <v>28806.5</v>
      </c>
      <c r="D1109" s="33" t="s">
        <v>25</v>
      </c>
      <c r="E1109" s="34">
        <v>407.96699999999998</v>
      </c>
      <c r="F1109" s="36">
        <v>0.16999999999995899</v>
      </c>
      <c r="G1109" s="34">
        <v>0.16999999999995899</v>
      </c>
      <c r="H1109" s="35">
        <v>1262</v>
      </c>
      <c r="I1109" s="37">
        <f t="shared" si="17"/>
        <v>4.3809556870845125E-2</v>
      </c>
      <c r="J1109" s="33" t="s">
        <v>116</v>
      </c>
    </row>
    <row r="1110" spans="1:10">
      <c r="A1110" s="33" t="s">
        <v>33</v>
      </c>
      <c r="B1110" s="34">
        <v>407.79700000000003</v>
      </c>
      <c r="C1110" s="35">
        <v>28806.5</v>
      </c>
      <c r="D1110" s="33" t="s">
        <v>273</v>
      </c>
      <c r="E1110" s="34">
        <v>407.97199999999998</v>
      </c>
      <c r="F1110" s="36">
        <v>0.174999999999955</v>
      </c>
      <c r="G1110" s="34">
        <v>0.174999999999955</v>
      </c>
      <c r="H1110" s="35">
        <v>3192.5</v>
      </c>
      <c r="I1110" s="37">
        <f t="shared" si="17"/>
        <v>0.11082568170378214</v>
      </c>
      <c r="J1110" s="33"/>
    </row>
    <row r="1111" spans="1:10">
      <c r="A1111" s="33" t="s">
        <v>33</v>
      </c>
      <c r="B1111" s="34">
        <v>407.79700000000003</v>
      </c>
      <c r="C1111" s="35">
        <v>28806.5</v>
      </c>
      <c r="D1111" s="33" t="s">
        <v>133</v>
      </c>
      <c r="E1111" s="34">
        <v>408.00299999999999</v>
      </c>
      <c r="F1111" s="36">
        <v>0.20599999999995999</v>
      </c>
      <c r="G1111" s="34">
        <v>0.20599999999995999</v>
      </c>
      <c r="H1111" s="35">
        <v>50.6</v>
      </c>
      <c r="I1111" s="37">
        <f t="shared" si="17"/>
        <v>1.7565480013191468E-3</v>
      </c>
      <c r="J1111" s="33"/>
    </row>
    <row r="1112" spans="1:10">
      <c r="A1112" s="33" t="s">
        <v>33</v>
      </c>
      <c r="B1112" s="34">
        <v>407.79700000000003</v>
      </c>
      <c r="C1112" s="35">
        <v>28806.5</v>
      </c>
      <c r="D1112" s="33" t="s">
        <v>27</v>
      </c>
      <c r="E1112" s="34">
        <v>408.02199999999999</v>
      </c>
      <c r="F1112" s="36">
        <v>0.224999999999966</v>
      </c>
      <c r="G1112" s="34">
        <v>0.224999999999966</v>
      </c>
      <c r="H1112" s="35">
        <v>1760.2</v>
      </c>
      <c r="I1112" s="37">
        <f t="shared" si="17"/>
        <v>6.1104264662489367E-2</v>
      </c>
      <c r="J1112" s="33" t="s">
        <v>116</v>
      </c>
    </row>
    <row r="1113" spans="1:10">
      <c r="A1113" s="33" t="s">
        <v>33</v>
      </c>
      <c r="B1113" s="34">
        <v>407.79700000000003</v>
      </c>
      <c r="C1113" s="35">
        <v>28806.5</v>
      </c>
      <c r="D1113" s="33" t="s">
        <v>94</v>
      </c>
      <c r="E1113" s="34">
        <v>408.02300000000002</v>
      </c>
      <c r="F1113" s="36">
        <v>0.22600000000000001</v>
      </c>
      <c r="G1113" s="34">
        <v>0.22600000000000001</v>
      </c>
      <c r="H1113" s="35">
        <v>201.6</v>
      </c>
      <c r="I1113" s="37">
        <f t="shared" si="17"/>
        <v>6.9984204953743075E-3</v>
      </c>
      <c r="J1113" s="33" t="s">
        <v>116</v>
      </c>
    </row>
    <row r="1114" spans="1:10">
      <c r="A1114" s="33" t="s">
        <v>33</v>
      </c>
      <c r="B1114" s="34">
        <v>407.79700000000003</v>
      </c>
      <c r="C1114" s="35">
        <v>28806.5</v>
      </c>
      <c r="D1114" s="33" t="s">
        <v>25</v>
      </c>
      <c r="E1114" s="34">
        <v>408.04399999999998</v>
      </c>
      <c r="F1114" s="36">
        <v>0.246999999999957</v>
      </c>
      <c r="G1114" s="34">
        <v>0.246999999999957</v>
      </c>
      <c r="H1114" s="35">
        <v>2082.1</v>
      </c>
      <c r="I1114" s="37">
        <f t="shared" si="17"/>
        <v>7.2278825959418883E-2</v>
      </c>
      <c r="J1114" s="33" t="s">
        <v>116</v>
      </c>
    </row>
    <row r="1115" spans="1:10">
      <c r="A1115" s="33" t="s">
        <v>84</v>
      </c>
      <c r="B1115" s="34">
        <v>291.036</v>
      </c>
      <c r="C1115" s="35">
        <v>5866.7</v>
      </c>
      <c r="D1115" s="33" t="s">
        <v>84</v>
      </c>
      <c r="E1115" s="34">
        <v>290.35599999999999</v>
      </c>
      <c r="F1115" s="36">
        <v>0.68</v>
      </c>
      <c r="G1115" s="34">
        <v>0.68</v>
      </c>
      <c r="H1115" s="35">
        <v>564.9</v>
      </c>
      <c r="I1115" s="37">
        <f t="shared" si="17"/>
        <v>9.628922562939983E-2</v>
      </c>
      <c r="J1115" s="33" t="s">
        <v>116</v>
      </c>
    </row>
    <row r="1116" spans="1:10">
      <c r="A1116" s="33" t="s">
        <v>84</v>
      </c>
      <c r="B1116" s="34">
        <v>291.036</v>
      </c>
      <c r="C1116" s="35">
        <v>5866.7</v>
      </c>
      <c r="D1116" s="33" t="s">
        <v>284</v>
      </c>
      <c r="E1116" s="34">
        <v>290.90600000000001</v>
      </c>
      <c r="F1116" s="36">
        <v>0.12999999999999601</v>
      </c>
      <c r="G1116" s="34">
        <v>0.12999999999999601</v>
      </c>
      <c r="H1116" s="35">
        <v>79.099999999999994</v>
      </c>
      <c r="I1116" s="37">
        <f t="shared" si="17"/>
        <v>1.3482877938193532E-2</v>
      </c>
      <c r="J1116" s="33"/>
    </row>
    <row r="1117" spans="1:10">
      <c r="A1117" s="33" t="s">
        <v>84</v>
      </c>
      <c r="B1117" s="34">
        <v>291.036</v>
      </c>
      <c r="C1117" s="35">
        <v>5866.7</v>
      </c>
      <c r="D1117" s="33" t="s">
        <v>275</v>
      </c>
      <c r="E1117" s="34">
        <v>290.911</v>
      </c>
      <c r="F1117" s="36">
        <v>0.125</v>
      </c>
      <c r="G1117" s="34">
        <v>0.125</v>
      </c>
      <c r="H1117" s="35">
        <v>1587.2</v>
      </c>
      <c r="I1117" s="37">
        <f t="shared" si="17"/>
        <v>0.27054391736410588</v>
      </c>
      <c r="J1117" s="33"/>
    </row>
    <row r="1118" spans="1:10">
      <c r="A1118" s="33" t="s">
        <v>84</v>
      </c>
      <c r="B1118" s="34">
        <v>291.036</v>
      </c>
      <c r="C1118" s="35">
        <v>5866.7</v>
      </c>
      <c r="D1118" s="33" t="s">
        <v>274</v>
      </c>
      <c r="E1118" s="34">
        <v>290.91199999999998</v>
      </c>
      <c r="F1118" s="36">
        <v>0.12400000000002399</v>
      </c>
      <c r="G1118" s="34">
        <v>0.12400000000002399</v>
      </c>
      <c r="H1118" s="35">
        <v>8.3000000000000007</v>
      </c>
      <c r="I1118" s="37">
        <f t="shared" si="17"/>
        <v>1.4147646888369955E-3</v>
      </c>
      <c r="J1118" s="33"/>
    </row>
    <row r="1119" spans="1:10">
      <c r="A1119" s="33" t="s">
        <v>84</v>
      </c>
      <c r="B1119" s="34">
        <v>291.036</v>
      </c>
      <c r="C1119" s="35">
        <v>5866.7</v>
      </c>
      <c r="D1119" s="33" t="s">
        <v>63</v>
      </c>
      <c r="E1119" s="34">
        <v>290.91899999999998</v>
      </c>
      <c r="F1119" s="36">
        <v>0.11700000000000001</v>
      </c>
      <c r="G1119" s="34">
        <v>0.11700000000000001</v>
      </c>
      <c r="H1119" s="35">
        <v>79.400000000000006</v>
      </c>
      <c r="I1119" s="37">
        <f t="shared" si="17"/>
        <v>1.3534014011284028E-2</v>
      </c>
      <c r="J1119" s="33" t="s">
        <v>116</v>
      </c>
    </row>
    <row r="1120" spans="1:10">
      <c r="A1120" s="33" t="s">
        <v>84</v>
      </c>
      <c r="B1120" s="34">
        <v>291.036</v>
      </c>
      <c r="C1120" s="35">
        <v>5866.7</v>
      </c>
      <c r="D1120" s="33" t="s">
        <v>277</v>
      </c>
      <c r="E1120" s="34">
        <v>290.92500000000001</v>
      </c>
      <c r="F1120" s="36">
        <v>0.11099999999999</v>
      </c>
      <c r="G1120" s="34">
        <v>0.11099999999999</v>
      </c>
      <c r="H1120" s="35">
        <v>90.2</v>
      </c>
      <c r="I1120" s="37">
        <f t="shared" si="17"/>
        <v>1.5374912642541805E-2</v>
      </c>
      <c r="J1120" s="33"/>
    </row>
    <row r="1121" spans="1:10">
      <c r="A1121" s="33" t="s">
        <v>84</v>
      </c>
      <c r="B1121" s="34">
        <v>291.036</v>
      </c>
      <c r="C1121" s="35">
        <v>5866.7</v>
      </c>
      <c r="D1121" s="33" t="s">
        <v>94</v>
      </c>
      <c r="E1121" s="34">
        <v>290.94099999999997</v>
      </c>
      <c r="F1121" s="36">
        <v>9.5000000000000001E-2</v>
      </c>
      <c r="G1121" s="34">
        <v>9.5000000000000001E-2</v>
      </c>
      <c r="H1121" s="35">
        <v>914</v>
      </c>
      <c r="I1121" s="37">
        <f t="shared" si="17"/>
        <v>0.15579456934903779</v>
      </c>
      <c r="J1121" s="33" t="s">
        <v>116</v>
      </c>
    </row>
    <row r="1122" spans="1:10">
      <c r="A1122" s="33" t="s">
        <v>84</v>
      </c>
      <c r="B1122" s="34">
        <v>291.036</v>
      </c>
      <c r="C1122" s="35">
        <v>5866.7</v>
      </c>
      <c r="D1122" s="33" t="s">
        <v>63</v>
      </c>
      <c r="E1122" s="34">
        <v>290.94600000000003</v>
      </c>
      <c r="F1122" s="36">
        <v>0.09</v>
      </c>
      <c r="G1122" s="34">
        <v>0.09</v>
      </c>
      <c r="H1122" s="35">
        <v>143.30000000000001</v>
      </c>
      <c r="I1122" s="37">
        <f t="shared" si="17"/>
        <v>2.4425997579559211E-2</v>
      </c>
      <c r="J1122" s="33" t="s">
        <v>116</v>
      </c>
    </row>
    <row r="1123" spans="1:10">
      <c r="A1123" s="33" t="s">
        <v>84</v>
      </c>
      <c r="B1123" s="34">
        <v>291.036</v>
      </c>
      <c r="C1123" s="35">
        <v>5866.7</v>
      </c>
      <c r="D1123" s="33" t="s">
        <v>201</v>
      </c>
      <c r="E1123" s="34">
        <v>290.94799999999998</v>
      </c>
      <c r="F1123" s="36">
        <v>8.8000000000022296E-2</v>
      </c>
      <c r="G1123" s="34">
        <v>8.8000000000022296E-2</v>
      </c>
      <c r="H1123" s="35">
        <v>149.30000000000001</v>
      </c>
      <c r="I1123" s="37">
        <f t="shared" si="17"/>
        <v>2.5448719041369087E-2</v>
      </c>
      <c r="J1123" s="33"/>
    </row>
    <row r="1124" spans="1:10">
      <c r="A1124" s="33" t="s">
        <v>84</v>
      </c>
      <c r="B1124" s="34">
        <v>291.036</v>
      </c>
      <c r="C1124" s="35">
        <v>5866.7</v>
      </c>
      <c r="D1124" s="33" t="s">
        <v>290</v>
      </c>
      <c r="E1124" s="34">
        <v>290.95600000000002</v>
      </c>
      <c r="F1124" s="36">
        <v>7.9999999999984098E-2</v>
      </c>
      <c r="G1124" s="34">
        <v>7.9999999999984098E-2</v>
      </c>
      <c r="H1124" s="35">
        <v>3.7</v>
      </c>
      <c r="I1124" s="37">
        <f t="shared" si="17"/>
        <v>6.3067823478275701E-4</v>
      </c>
      <c r="J1124" s="33"/>
    </row>
    <row r="1125" spans="1:10">
      <c r="A1125" s="33" t="s">
        <v>84</v>
      </c>
      <c r="B1125" s="34">
        <v>291.036</v>
      </c>
      <c r="C1125" s="35">
        <v>5866.7</v>
      </c>
      <c r="D1125" s="33" t="s">
        <v>284</v>
      </c>
      <c r="E1125" s="34">
        <v>290.96699999999998</v>
      </c>
      <c r="F1125" s="36">
        <v>6.9000000000016798E-2</v>
      </c>
      <c r="G1125" s="34">
        <v>6.9000000000016798E-2</v>
      </c>
      <c r="H1125" s="35">
        <v>0.4</v>
      </c>
      <c r="I1125" s="37">
        <f t="shared" si="17"/>
        <v>6.8181430787325073E-5</v>
      </c>
      <c r="J1125" s="33"/>
    </row>
    <row r="1126" spans="1:10">
      <c r="A1126" s="33" t="s">
        <v>84</v>
      </c>
      <c r="B1126" s="34">
        <v>291.036</v>
      </c>
      <c r="C1126" s="35">
        <v>5866.7</v>
      </c>
      <c r="D1126" s="33" t="s">
        <v>271</v>
      </c>
      <c r="E1126" s="34">
        <v>290.97699999999998</v>
      </c>
      <c r="F1126" s="36">
        <v>5.90000000000259E-2</v>
      </c>
      <c r="G1126" s="34">
        <v>5.90000000000259E-2</v>
      </c>
      <c r="H1126" s="35">
        <v>69.2</v>
      </c>
      <c r="I1126" s="37">
        <f t="shared" si="17"/>
        <v>1.1795387526207238E-2</v>
      </c>
      <c r="J1126" s="33"/>
    </row>
    <row r="1127" spans="1:10">
      <c r="A1127" s="33" t="s">
        <v>84</v>
      </c>
      <c r="B1127" s="34">
        <v>291.036</v>
      </c>
      <c r="C1127" s="35">
        <v>5866.7</v>
      </c>
      <c r="D1127" s="33" t="s">
        <v>279</v>
      </c>
      <c r="E1127" s="34">
        <v>290.98200000000003</v>
      </c>
      <c r="F1127" s="36">
        <v>5.3999999999973597E-2</v>
      </c>
      <c r="G1127" s="34">
        <v>5.3999999999973597E-2</v>
      </c>
      <c r="H1127" s="35">
        <v>21.4</v>
      </c>
      <c r="I1127" s="37">
        <f t="shared" si="17"/>
        <v>3.6477065471218913E-3</v>
      </c>
      <c r="J1127" s="33"/>
    </row>
    <row r="1128" spans="1:10">
      <c r="A1128" s="33" t="s">
        <v>84</v>
      </c>
      <c r="B1128" s="34">
        <v>291.036</v>
      </c>
      <c r="C1128" s="35">
        <v>5866.7</v>
      </c>
      <c r="D1128" s="33" t="s">
        <v>237</v>
      </c>
      <c r="E1128" s="34">
        <v>290.98700000000002</v>
      </c>
      <c r="F1128" s="36">
        <v>4.89999999999782E-2</v>
      </c>
      <c r="G1128" s="34">
        <v>4.89999999999782E-2</v>
      </c>
      <c r="H1128" s="35">
        <v>113.1</v>
      </c>
      <c r="I1128" s="37">
        <f t="shared" si="17"/>
        <v>1.9278299555116164E-2</v>
      </c>
      <c r="J1128" s="33"/>
    </row>
    <row r="1129" spans="1:10">
      <c r="A1129" s="33" t="s">
        <v>84</v>
      </c>
      <c r="B1129" s="34">
        <v>291.036</v>
      </c>
      <c r="C1129" s="35">
        <v>5866.7</v>
      </c>
      <c r="D1129" s="33" t="s">
        <v>269</v>
      </c>
      <c r="E1129" s="34">
        <v>290.99200000000002</v>
      </c>
      <c r="F1129" s="36">
        <v>4.3999999999982699E-2</v>
      </c>
      <c r="G1129" s="34">
        <v>4.3999999999982699E-2</v>
      </c>
      <c r="H1129" s="35">
        <v>615.5</v>
      </c>
      <c r="I1129" s="37">
        <f t="shared" si="17"/>
        <v>0.10491417662399646</v>
      </c>
      <c r="J1129" s="33"/>
    </row>
    <row r="1130" spans="1:10">
      <c r="A1130" s="33" t="s">
        <v>84</v>
      </c>
      <c r="B1130" s="34">
        <v>291.036</v>
      </c>
      <c r="C1130" s="35">
        <v>5866.7</v>
      </c>
      <c r="D1130" s="33" t="s">
        <v>278</v>
      </c>
      <c r="E1130" s="34">
        <v>291.00099999999998</v>
      </c>
      <c r="F1130" s="36">
        <v>3.5000000000024997E-2</v>
      </c>
      <c r="G1130" s="34">
        <v>3.5000000000024997E-2</v>
      </c>
      <c r="H1130" s="35">
        <v>6250.2</v>
      </c>
      <c r="I1130" s="37">
        <f t="shared" si="17"/>
        <v>1.0653689467673479</v>
      </c>
      <c r="J1130" s="33"/>
    </row>
    <row r="1131" spans="1:10">
      <c r="A1131" s="33" t="s">
        <v>84</v>
      </c>
      <c r="B1131" s="34">
        <v>291.036</v>
      </c>
      <c r="C1131" s="35">
        <v>5866.7</v>
      </c>
      <c r="D1131" s="33" t="s">
        <v>282</v>
      </c>
      <c r="E1131" s="34">
        <v>291.01400000000001</v>
      </c>
      <c r="F1131" s="36">
        <v>2.1999999999991401E-2</v>
      </c>
      <c r="G1131" s="34">
        <v>2.1999999999991401E-2</v>
      </c>
      <c r="H1131" s="35">
        <v>222.4</v>
      </c>
      <c r="I1131" s="37">
        <f t="shared" si="17"/>
        <v>3.7908875517752745E-2</v>
      </c>
      <c r="J1131" s="33"/>
    </row>
    <row r="1132" spans="1:10">
      <c r="A1132" s="33" t="s">
        <v>84</v>
      </c>
      <c r="B1132" s="34">
        <v>291.036</v>
      </c>
      <c r="C1132" s="35">
        <v>5866.7</v>
      </c>
      <c r="D1132" s="33" t="s">
        <v>236</v>
      </c>
      <c r="E1132" s="34">
        <v>291.024</v>
      </c>
      <c r="F1132" s="36">
        <v>1.20000000000005E-2</v>
      </c>
      <c r="G1132" s="34">
        <v>1.20000000000005E-2</v>
      </c>
      <c r="H1132" s="35">
        <v>313.2</v>
      </c>
      <c r="I1132" s="37">
        <f t="shared" si="17"/>
        <v>5.3386060306475532E-2</v>
      </c>
      <c r="J1132" s="33"/>
    </row>
    <row r="1133" spans="1:10">
      <c r="A1133" s="33" t="s">
        <v>84</v>
      </c>
      <c r="B1133" s="34">
        <v>291.036</v>
      </c>
      <c r="C1133" s="35">
        <v>5866.7</v>
      </c>
      <c r="D1133" s="33" t="s">
        <v>270</v>
      </c>
      <c r="E1133" s="34">
        <v>291.02800000000002</v>
      </c>
      <c r="F1133" s="36">
        <v>7.9999999999813606E-3</v>
      </c>
      <c r="G1133" s="34">
        <v>7.9999999999813606E-3</v>
      </c>
      <c r="H1133" s="35">
        <v>113.4</v>
      </c>
      <c r="I1133" s="37">
        <f t="shared" si="17"/>
        <v>1.9329435628206659E-2</v>
      </c>
      <c r="J1133" s="33"/>
    </row>
    <row r="1134" spans="1:10">
      <c r="A1134" s="33" t="s">
        <v>84</v>
      </c>
      <c r="B1134" s="34">
        <v>291.036</v>
      </c>
      <c r="C1134" s="35">
        <v>5866.7</v>
      </c>
      <c r="D1134" s="33" t="s">
        <v>201</v>
      </c>
      <c r="E1134" s="34">
        <v>291.02999999999997</v>
      </c>
      <c r="F1134" s="36">
        <v>6.00000000002865E-3</v>
      </c>
      <c r="G1134" s="34">
        <v>6.00000000002865E-3</v>
      </c>
      <c r="H1134" s="35">
        <v>174.4</v>
      </c>
      <c r="I1134" s="37">
        <f t="shared" si="17"/>
        <v>2.9727103823273732E-2</v>
      </c>
      <c r="J1134" s="33"/>
    </row>
    <row r="1135" spans="1:10">
      <c r="A1135" s="33" t="s">
        <v>84</v>
      </c>
      <c r="B1135" s="34">
        <v>291.036</v>
      </c>
      <c r="C1135" s="35">
        <v>5866.7</v>
      </c>
      <c r="D1135" s="33" t="s">
        <v>278</v>
      </c>
      <c r="E1135" s="34">
        <v>291.03699999999998</v>
      </c>
      <c r="F1135" s="36">
        <v>9.9999999997635292E-4</v>
      </c>
      <c r="G1135" s="34">
        <v>9.9999999997635292E-4</v>
      </c>
      <c r="H1135" s="35">
        <v>4757.7</v>
      </c>
      <c r="I1135" s="37">
        <f t="shared" si="17"/>
        <v>0.81096698314214122</v>
      </c>
      <c r="J1135" s="33"/>
    </row>
    <row r="1136" spans="1:10">
      <c r="A1136" s="33" t="s">
        <v>84</v>
      </c>
      <c r="B1136" s="34">
        <v>291.036</v>
      </c>
      <c r="C1136" s="35">
        <v>5866.7</v>
      </c>
      <c r="D1136" s="33" t="s">
        <v>274</v>
      </c>
      <c r="E1136" s="34">
        <v>291.048</v>
      </c>
      <c r="F1136" s="36">
        <v>1.20000000000005E-2</v>
      </c>
      <c r="G1136" s="34">
        <v>1.20000000000005E-2</v>
      </c>
      <c r="H1136" s="35">
        <v>39.200000000000003</v>
      </c>
      <c r="I1136" s="37">
        <f t="shared" si="17"/>
        <v>6.6817802171578577E-3</v>
      </c>
      <c r="J1136" s="33"/>
    </row>
    <row r="1137" spans="1:10">
      <c r="A1137" s="33" t="s">
        <v>84</v>
      </c>
      <c r="B1137" s="34">
        <v>291.036</v>
      </c>
      <c r="C1137" s="35">
        <v>5866.7</v>
      </c>
      <c r="D1137" s="33" t="s">
        <v>36</v>
      </c>
      <c r="E1137" s="34">
        <v>291.05200000000002</v>
      </c>
      <c r="F1137" s="36">
        <v>1.6E-2</v>
      </c>
      <c r="G1137" s="34">
        <v>1.6E-2</v>
      </c>
      <c r="H1137" s="35">
        <v>308.60000000000002</v>
      </c>
      <c r="I1137" s="37">
        <f t="shared" si="17"/>
        <v>5.2601973852421297E-2</v>
      </c>
      <c r="J1137" s="33" t="s">
        <v>116</v>
      </c>
    </row>
    <row r="1138" spans="1:10">
      <c r="A1138" s="33" t="s">
        <v>84</v>
      </c>
      <c r="B1138" s="34">
        <v>291.036</v>
      </c>
      <c r="C1138" s="35">
        <v>5866.7</v>
      </c>
      <c r="D1138" s="33" t="s">
        <v>273</v>
      </c>
      <c r="E1138" s="34">
        <v>291.05799999999999</v>
      </c>
      <c r="F1138" s="36">
        <v>2.1999999999991401E-2</v>
      </c>
      <c r="G1138" s="34">
        <v>2.1999999999991401E-2</v>
      </c>
      <c r="H1138" s="35">
        <v>4190.6000000000004</v>
      </c>
      <c r="I1138" s="37">
        <f t="shared" si="17"/>
        <v>0.71430275964341117</v>
      </c>
      <c r="J1138" s="33"/>
    </row>
    <row r="1139" spans="1:10">
      <c r="A1139" s="33" t="s">
        <v>84</v>
      </c>
      <c r="B1139" s="34">
        <v>291.036</v>
      </c>
      <c r="C1139" s="35">
        <v>5866.7</v>
      </c>
      <c r="D1139" s="33" t="s">
        <v>271</v>
      </c>
      <c r="E1139" s="34">
        <v>291.05900000000003</v>
      </c>
      <c r="F1139" s="36">
        <v>2.3000000000024601E-2</v>
      </c>
      <c r="G1139" s="34">
        <v>2.3000000000024601E-2</v>
      </c>
      <c r="H1139" s="35">
        <v>685</v>
      </c>
      <c r="I1139" s="37">
        <f t="shared" si="17"/>
        <v>0.11676070022329418</v>
      </c>
      <c r="J1139" s="33"/>
    </row>
    <row r="1140" spans="1:10">
      <c r="A1140" s="33" t="s">
        <v>84</v>
      </c>
      <c r="B1140" s="34">
        <v>291.036</v>
      </c>
      <c r="C1140" s="35">
        <v>5866.7</v>
      </c>
      <c r="D1140" s="33" t="s">
        <v>239</v>
      </c>
      <c r="E1140" s="34">
        <v>291.065</v>
      </c>
      <c r="F1140" s="36">
        <v>2.89999999999964E-2</v>
      </c>
      <c r="G1140" s="34">
        <v>2.89999999999964E-2</v>
      </c>
      <c r="H1140" s="35">
        <v>39.200000000000003</v>
      </c>
      <c r="I1140" s="37">
        <f t="shared" si="17"/>
        <v>6.6817802171578577E-3</v>
      </c>
      <c r="J1140" s="33"/>
    </row>
    <row r="1141" spans="1:10">
      <c r="A1141" s="33" t="s">
        <v>84</v>
      </c>
      <c r="B1141" s="34">
        <v>291.036</v>
      </c>
      <c r="C1141" s="35">
        <v>5866.7</v>
      </c>
      <c r="D1141" s="33" t="s">
        <v>277</v>
      </c>
      <c r="E1141" s="34">
        <v>291.08199999999999</v>
      </c>
      <c r="F1141" s="36">
        <v>4.5999999999992297E-2</v>
      </c>
      <c r="G1141" s="34">
        <v>4.5999999999992297E-2</v>
      </c>
      <c r="H1141" s="35">
        <v>65.7</v>
      </c>
      <c r="I1141" s="37">
        <f t="shared" si="17"/>
        <v>1.1198800006818143E-2</v>
      </c>
      <c r="J1141" s="33"/>
    </row>
    <row r="1142" spans="1:10">
      <c r="A1142" s="33" t="s">
        <v>84</v>
      </c>
      <c r="B1142" s="34">
        <v>291.036</v>
      </c>
      <c r="C1142" s="35">
        <v>5866.7</v>
      </c>
      <c r="D1142" s="33" t="s">
        <v>239</v>
      </c>
      <c r="E1142" s="34">
        <v>291.08999999999997</v>
      </c>
      <c r="F1142" s="36">
        <v>5.3999999999973597E-2</v>
      </c>
      <c r="G1142" s="34">
        <v>5.3999999999973597E-2</v>
      </c>
      <c r="H1142" s="35">
        <v>58</v>
      </c>
      <c r="I1142" s="37">
        <f t="shared" si="17"/>
        <v>9.8863074641621362E-3</v>
      </c>
      <c r="J1142" s="33"/>
    </row>
    <row r="1143" spans="1:10">
      <c r="A1143" s="33" t="s">
        <v>84</v>
      </c>
      <c r="B1143" s="34">
        <v>291.036</v>
      </c>
      <c r="C1143" s="35">
        <v>5866.7</v>
      </c>
      <c r="D1143" s="33" t="s">
        <v>274</v>
      </c>
      <c r="E1143" s="34">
        <v>291.10000000000002</v>
      </c>
      <c r="F1143" s="36">
        <v>6.4000000000021401E-2</v>
      </c>
      <c r="G1143" s="34">
        <v>6.4000000000021401E-2</v>
      </c>
      <c r="H1143" s="35">
        <v>28.1</v>
      </c>
      <c r="I1143" s="37">
        <f t="shared" si="17"/>
        <v>4.7897455128095871E-3</v>
      </c>
      <c r="J1143" s="33"/>
    </row>
    <row r="1144" spans="1:10">
      <c r="A1144" s="33" t="s">
        <v>84</v>
      </c>
      <c r="B1144" s="34">
        <v>291.036</v>
      </c>
      <c r="C1144" s="35">
        <v>5866.7</v>
      </c>
      <c r="D1144" s="33" t="s">
        <v>278</v>
      </c>
      <c r="E1144" s="34">
        <v>291.10500000000002</v>
      </c>
      <c r="F1144" s="36">
        <v>6.9000000000016798E-2</v>
      </c>
      <c r="G1144" s="34">
        <v>6.9000000000016798E-2</v>
      </c>
      <c r="H1144" s="35">
        <v>4408.3</v>
      </c>
      <c r="I1144" s="37">
        <f t="shared" si="17"/>
        <v>0.75141050334941284</v>
      </c>
      <c r="J1144" s="33"/>
    </row>
    <row r="1145" spans="1:10">
      <c r="A1145" s="33" t="s">
        <v>84</v>
      </c>
      <c r="B1145" s="34">
        <v>291.036</v>
      </c>
      <c r="C1145" s="35">
        <v>5866.7</v>
      </c>
      <c r="D1145" s="33" t="s">
        <v>84</v>
      </c>
      <c r="E1145" s="34">
        <v>291.10700000000003</v>
      </c>
      <c r="F1145" s="36">
        <v>7.0999999999999994E-2</v>
      </c>
      <c r="G1145" s="34">
        <v>7.0999999999999994E-2</v>
      </c>
      <c r="H1145" s="35">
        <v>130</v>
      </c>
      <c r="I1145" s="37">
        <f t="shared" si="17"/>
        <v>2.2158965005880649E-2</v>
      </c>
      <c r="J1145" s="33" t="s">
        <v>116</v>
      </c>
    </row>
    <row r="1146" spans="1:10">
      <c r="A1146" s="33" t="s">
        <v>84</v>
      </c>
      <c r="B1146" s="34">
        <v>291.036</v>
      </c>
      <c r="C1146" s="35">
        <v>5866.7</v>
      </c>
      <c r="D1146" s="33" t="s">
        <v>271</v>
      </c>
      <c r="E1146" s="34">
        <v>291.13200000000001</v>
      </c>
      <c r="F1146" s="36">
        <v>9.6000000000003596E-2</v>
      </c>
      <c r="G1146" s="34">
        <v>9.6000000000003596E-2</v>
      </c>
      <c r="H1146" s="35">
        <v>199.1</v>
      </c>
      <c r="I1146" s="37">
        <f t="shared" si="17"/>
        <v>3.3937307174391057E-2</v>
      </c>
      <c r="J1146" s="33"/>
    </row>
    <row r="1147" spans="1:10">
      <c r="A1147" s="33" t="s">
        <v>84</v>
      </c>
      <c r="B1147" s="34">
        <v>291.036</v>
      </c>
      <c r="C1147" s="35">
        <v>5866.7</v>
      </c>
      <c r="D1147" s="33" t="s">
        <v>85</v>
      </c>
      <c r="E1147" s="34">
        <v>291.13900000000001</v>
      </c>
      <c r="F1147" s="36">
        <v>0.10299999999999999</v>
      </c>
      <c r="G1147" s="34">
        <v>0.10299999999999999</v>
      </c>
      <c r="H1147" s="35">
        <v>25808.2</v>
      </c>
      <c r="I1147" s="37">
        <f t="shared" si="17"/>
        <v>4.399100005113608</v>
      </c>
      <c r="J1147" s="33" t="s">
        <v>116</v>
      </c>
    </row>
    <row r="1148" spans="1:10">
      <c r="A1148" s="33" t="s">
        <v>84</v>
      </c>
      <c r="B1148" s="34">
        <v>291.036</v>
      </c>
      <c r="C1148" s="35">
        <v>5866.7</v>
      </c>
      <c r="D1148" s="33" t="s">
        <v>63</v>
      </c>
      <c r="E1148" s="34">
        <v>291.15300000000002</v>
      </c>
      <c r="F1148" s="36">
        <v>0.11700000000000001</v>
      </c>
      <c r="G1148" s="34">
        <v>0.11700000000000001</v>
      </c>
      <c r="H1148" s="35">
        <v>221.5</v>
      </c>
      <c r="I1148" s="37">
        <f t="shared" si="17"/>
        <v>3.7755467298481261E-2</v>
      </c>
      <c r="J1148" s="33" t="s">
        <v>116</v>
      </c>
    </row>
    <row r="1149" spans="1:10">
      <c r="A1149" s="33" t="s">
        <v>84</v>
      </c>
      <c r="B1149" s="34">
        <v>291.036</v>
      </c>
      <c r="C1149" s="35">
        <v>5866.7</v>
      </c>
      <c r="D1149" s="33" t="s">
        <v>277</v>
      </c>
      <c r="E1149" s="34">
        <v>291.15499999999997</v>
      </c>
      <c r="F1149" s="36">
        <v>0.118999999999971</v>
      </c>
      <c r="G1149" s="34">
        <v>0.118999999999971</v>
      </c>
      <c r="H1149" s="35">
        <v>57.6</v>
      </c>
      <c r="I1149" s="37">
        <f t="shared" si="17"/>
        <v>9.8181260333748115E-3</v>
      </c>
      <c r="J1149" s="33"/>
    </row>
    <row r="1150" spans="1:10">
      <c r="A1150" s="33" t="s">
        <v>84</v>
      </c>
      <c r="B1150" s="34">
        <v>291.036</v>
      </c>
      <c r="C1150" s="35">
        <v>5866.7</v>
      </c>
      <c r="D1150" s="33" t="s">
        <v>278</v>
      </c>
      <c r="E1150" s="34">
        <v>291.16500000000002</v>
      </c>
      <c r="F1150" s="36">
        <v>0.12900000000001899</v>
      </c>
      <c r="G1150" s="34">
        <v>0.12900000000001899</v>
      </c>
      <c r="H1150" s="35">
        <v>67.8</v>
      </c>
      <c r="I1150" s="37">
        <f t="shared" si="17"/>
        <v>1.1556752518451599E-2</v>
      </c>
      <c r="J1150" s="33"/>
    </row>
    <row r="1151" spans="1:10">
      <c r="A1151" s="33" t="s">
        <v>84</v>
      </c>
      <c r="B1151" s="34">
        <v>291.036</v>
      </c>
      <c r="C1151" s="35">
        <v>5866.7</v>
      </c>
      <c r="D1151" s="33" t="s">
        <v>239</v>
      </c>
      <c r="E1151" s="34">
        <v>291.16800000000001</v>
      </c>
      <c r="F1151" s="36">
        <v>0.132000000000005</v>
      </c>
      <c r="G1151" s="34">
        <v>0.132000000000005</v>
      </c>
      <c r="H1151" s="35">
        <v>102.6</v>
      </c>
      <c r="I1151" s="37">
        <f t="shared" si="17"/>
        <v>1.748853699694888E-2</v>
      </c>
      <c r="J1151" s="33"/>
    </row>
    <row r="1152" spans="1:10">
      <c r="A1152" s="33" t="s">
        <v>84</v>
      </c>
      <c r="B1152" s="34">
        <v>291.036</v>
      </c>
      <c r="C1152" s="35">
        <v>5866.7</v>
      </c>
      <c r="D1152" s="33" t="s">
        <v>273</v>
      </c>
      <c r="E1152" s="34">
        <v>291.17399999999998</v>
      </c>
      <c r="F1152" s="36">
        <v>0.137999999999977</v>
      </c>
      <c r="G1152" s="34">
        <v>0.137999999999977</v>
      </c>
      <c r="H1152" s="35">
        <v>3245.3</v>
      </c>
      <c r="I1152" s="37">
        <f t="shared" si="17"/>
        <v>0.55317299333526515</v>
      </c>
      <c r="J1152" s="33"/>
    </row>
    <row r="1153" spans="1:10">
      <c r="A1153" s="33" t="s">
        <v>84</v>
      </c>
      <c r="B1153" s="34">
        <v>291.036</v>
      </c>
      <c r="C1153" s="35">
        <v>5866.7</v>
      </c>
      <c r="D1153" s="33" t="s">
        <v>275</v>
      </c>
      <c r="E1153" s="34">
        <v>291.19099999999997</v>
      </c>
      <c r="F1153" s="36">
        <v>0.15499999999997299</v>
      </c>
      <c r="G1153" s="34">
        <v>0.15499999999997299</v>
      </c>
      <c r="H1153" s="35">
        <v>2856.9</v>
      </c>
      <c r="I1153" s="37">
        <f t="shared" si="17"/>
        <v>0.48696882404077252</v>
      </c>
      <c r="J1153" s="33"/>
    </row>
    <row r="1154" spans="1:10">
      <c r="A1154" s="33" t="s">
        <v>84</v>
      </c>
      <c r="B1154" s="34">
        <v>296.452</v>
      </c>
      <c r="C1154" s="35">
        <v>9392.1</v>
      </c>
      <c r="D1154" s="33" t="s">
        <v>85</v>
      </c>
      <c r="E1154" s="34">
        <v>296.33199999999999</v>
      </c>
      <c r="F1154" s="36">
        <v>0.12</v>
      </c>
      <c r="G1154" s="34">
        <v>0.12</v>
      </c>
      <c r="H1154" s="35">
        <v>274.2</v>
      </c>
      <c r="I1154" s="37">
        <f t="shared" ref="I1154:I1217" si="18">H1154/C1154</f>
        <v>2.9194748778228509E-2</v>
      </c>
      <c r="J1154" s="33" t="s">
        <v>116</v>
      </c>
    </row>
    <row r="1155" spans="1:10">
      <c r="A1155" s="33" t="s">
        <v>84</v>
      </c>
      <c r="B1155" s="34">
        <v>296.452</v>
      </c>
      <c r="C1155" s="35">
        <v>9392.1</v>
      </c>
      <c r="D1155" s="33" t="s">
        <v>268</v>
      </c>
      <c r="E1155" s="34">
        <v>296.34100000000001</v>
      </c>
      <c r="F1155" s="36">
        <v>0.11099999999999</v>
      </c>
      <c r="G1155" s="34">
        <v>0.11099999999999</v>
      </c>
      <c r="H1155" s="35">
        <v>112.5</v>
      </c>
      <c r="I1155" s="37">
        <f t="shared" si="18"/>
        <v>1.1978151851023732E-2</v>
      </c>
      <c r="J1155" s="33"/>
    </row>
    <row r="1156" spans="1:10">
      <c r="A1156" s="33" t="s">
        <v>84</v>
      </c>
      <c r="B1156" s="34">
        <v>296.452</v>
      </c>
      <c r="C1156" s="35">
        <v>9392.1</v>
      </c>
      <c r="D1156" s="33" t="s">
        <v>63</v>
      </c>
      <c r="E1156" s="34">
        <v>296.346</v>
      </c>
      <c r="F1156" s="36">
        <v>0.106</v>
      </c>
      <c r="G1156" s="34">
        <v>0.106</v>
      </c>
      <c r="H1156" s="35">
        <v>197.6</v>
      </c>
      <c r="I1156" s="37">
        <f t="shared" si="18"/>
        <v>2.1038958273442574E-2</v>
      </c>
      <c r="J1156" s="33" t="s">
        <v>116</v>
      </c>
    </row>
    <row r="1157" spans="1:10">
      <c r="A1157" s="33" t="s">
        <v>84</v>
      </c>
      <c r="B1157" s="34">
        <v>296.452</v>
      </c>
      <c r="C1157" s="35">
        <v>9392.1</v>
      </c>
      <c r="D1157" s="33" t="s">
        <v>239</v>
      </c>
      <c r="E1157" s="34">
        <v>296.34699999999998</v>
      </c>
      <c r="F1157" s="36">
        <v>0.105000000000018</v>
      </c>
      <c r="G1157" s="34">
        <v>0.105000000000018</v>
      </c>
      <c r="H1157" s="35">
        <v>24.6</v>
      </c>
      <c r="I1157" s="37">
        <f t="shared" si="18"/>
        <v>2.6192225380905231E-3</v>
      </c>
      <c r="J1157" s="33"/>
    </row>
    <row r="1158" spans="1:10">
      <c r="A1158" s="33" t="s">
        <v>84</v>
      </c>
      <c r="B1158" s="34">
        <v>296.452</v>
      </c>
      <c r="C1158" s="35">
        <v>9392.1</v>
      </c>
      <c r="D1158" s="33" t="s">
        <v>282</v>
      </c>
      <c r="E1158" s="34">
        <v>296.35399999999998</v>
      </c>
      <c r="F1158" s="36">
        <v>9.8000000000013202E-2</v>
      </c>
      <c r="G1158" s="34">
        <v>9.8000000000013202E-2</v>
      </c>
      <c r="H1158" s="35">
        <v>88.8</v>
      </c>
      <c r="I1158" s="37">
        <f t="shared" si="18"/>
        <v>9.4547545277413984E-3</v>
      </c>
      <c r="J1158" s="33"/>
    </row>
    <row r="1159" spans="1:10">
      <c r="A1159" s="33" t="s">
        <v>84</v>
      </c>
      <c r="B1159" s="34">
        <v>296.452</v>
      </c>
      <c r="C1159" s="35">
        <v>9392.1</v>
      </c>
      <c r="D1159" s="33" t="s">
        <v>27</v>
      </c>
      <c r="E1159" s="34">
        <v>296.358</v>
      </c>
      <c r="F1159" s="36">
        <v>9.3999999999994102E-2</v>
      </c>
      <c r="G1159" s="34">
        <v>9.3999999999994102E-2</v>
      </c>
      <c r="H1159" s="35">
        <v>97.2</v>
      </c>
      <c r="I1159" s="37">
        <f t="shared" si="18"/>
        <v>1.0349123199284506E-2</v>
      </c>
      <c r="J1159" s="33" t="s">
        <v>116</v>
      </c>
    </row>
    <row r="1160" spans="1:10">
      <c r="A1160" s="33" t="s">
        <v>84</v>
      </c>
      <c r="B1160" s="34">
        <v>296.452</v>
      </c>
      <c r="C1160" s="35">
        <v>9392.1</v>
      </c>
      <c r="D1160" s="33" t="s">
        <v>36</v>
      </c>
      <c r="E1160" s="34">
        <v>296.36</v>
      </c>
      <c r="F1160" s="36">
        <v>9.1999999999999998E-2</v>
      </c>
      <c r="G1160" s="34">
        <v>9.1999999999999998E-2</v>
      </c>
      <c r="H1160" s="35">
        <v>25</v>
      </c>
      <c r="I1160" s="37">
        <f t="shared" si="18"/>
        <v>2.6618115224497181E-3</v>
      </c>
      <c r="J1160" s="33" t="s">
        <v>116</v>
      </c>
    </row>
    <row r="1161" spans="1:10">
      <c r="A1161" s="33" t="s">
        <v>84</v>
      </c>
      <c r="B1161" s="34">
        <v>296.452</v>
      </c>
      <c r="C1161" s="35">
        <v>9392.1</v>
      </c>
      <c r="D1161" s="33" t="s">
        <v>271</v>
      </c>
      <c r="E1161" s="34">
        <v>296.36099999999999</v>
      </c>
      <c r="F1161" s="36">
        <v>9.1000000000008199E-2</v>
      </c>
      <c r="G1161" s="34">
        <v>9.1000000000008199E-2</v>
      </c>
      <c r="H1161" s="35">
        <v>99.3</v>
      </c>
      <c r="I1161" s="37">
        <f t="shared" si="18"/>
        <v>1.057271536717028E-2</v>
      </c>
      <c r="J1161" s="33"/>
    </row>
    <row r="1162" spans="1:10">
      <c r="A1162" s="33" t="s">
        <v>84</v>
      </c>
      <c r="B1162" s="34">
        <v>296.452</v>
      </c>
      <c r="C1162" s="35">
        <v>9392.1</v>
      </c>
      <c r="D1162" s="33" t="s">
        <v>268</v>
      </c>
      <c r="E1162" s="34">
        <v>296.37200000000001</v>
      </c>
      <c r="F1162" s="36">
        <v>7.9999999999984098E-2</v>
      </c>
      <c r="G1162" s="34">
        <v>7.9999999999984098E-2</v>
      </c>
      <c r="H1162" s="35">
        <v>5.5</v>
      </c>
      <c r="I1162" s="37">
        <f t="shared" si="18"/>
        <v>5.8559853493893798E-4</v>
      </c>
      <c r="J1162" s="33"/>
    </row>
    <row r="1163" spans="1:10">
      <c r="A1163" s="33" t="s">
        <v>84</v>
      </c>
      <c r="B1163" s="34">
        <v>296.452</v>
      </c>
      <c r="C1163" s="35">
        <v>9392.1</v>
      </c>
      <c r="D1163" s="33" t="s">
        <v>275</v>
      </c>
      <c r="E1163" s="34">
        <v>296.37799999999999</v>
      </c>
      <c r="F1163" s="36">
        <v>7.4000000000012306E-2</v>
      </c>
      <c r="G1163" s="34">
        <v>7.4000000000012306E-2</v>
      </c>
      <c r="H1163" s="35">
        <v>909.4</v>
      </c>
      <c r="I1163" s="37">
        <f t="shared" si="18"/>
        <v>9.6826055940630956E-2</v>
      </c>
      <c r="J1163" s="33"/>
    </row>
    <row r="1164" spans="1:10">
      <c r="A1164" s="33" t="s">
        <v>84</v>
      </c>
      <c r="B1164" s="34">
        <v>296.452</v>
      </c>
      <c r="C1164" s="35">
        <v>9392.1</v>
      </c>
      <c r="D1164" s="33" t="s">
        <v>278</v>
      </c>
      <c r="E1164" s="34">
        <v>296.38200000000001</v>
      </c>
      <c r="F1164" s="36">
        <v>6.9999999999993207E-2</v>
      </c>
      <c r="G1164" s="34">
        <v>6.9999999999993207E-2</v>
      </c>
      <c r="H1164" s="35">
        <v>10.199999999999999</v>
      </c>
      <c r="I1164" s="37">
        <f t="shared" si="18"/>
        <v>1.086019101159485E-3</v>
      </c>
      <c r="J1164" s="33"/>
    </row>
    <row r="1165" spans="1:10">
      <c r="A1165" s="33" t="s">
        <v>84</v>
      </c>
      <c r="B1165" s="34">
        <v>296.452</v>
      </c>
      <c r="C1165" s="35">
        <v>9392.1</v>
      </c>
      <c r="D1165" s="33" t="s">
        <v>84</v>
      </c>
      <c r="E1165" s="34">
        <v>296.39</v>
      </c>
      <c r="F1165" s="36">
        <v>6.2E-2</v>
      </c>
      <c r="G1165" s="34">
        <v>6.2E-2</v>
      </c>
      <c r="H1165" s="35">
        <v>302.2</v>
      </c>
      <c r="I1165" s="37">
        <f t="shared" si="18"/>
        <v>3.2175977683372194E-2</v>
      </c>
      <c r="J1165" s="33" t="s">
        <v>116</v>
      </c>
    </row>
    <row r="1166" spans="1:10">
      <c r="A1166" s="33" t="s">
        <v>84</v>
      </c>
      <c r="B1166" s="34">
        <v>296.452</v>
      </c>
      <c r="C1166" s="35">
        <v>9392.1</v>
      </c>
      <c r="D1166" s="33" t="s">
        <v>193</v>
      </c>
      <c r="E1166" s="34">
        <v>296.39100000000002</v>
      </c>
      <c r="F1166" s="36">
        <v>6.0999999999978599E-2</v>
      </c>
      <c r="G1166" s="34">
        <v>6.0999999999978599E-2</v>
      </c>
      <c r="H1166" s="35">
        <v>80</v>
      </c>
      <c r="I1166" s="37">
        <f t="shared" si="18"/>
        <v>8.5177968718390985E-3</v>
      </c>
      <c r="J1166" s="33"/>
    </row>
    <row r="1167" spans="1:10">
      <c r="A1167" s="33" t="s">
        <v>84</v>
      </c>
      <c r="B1167" s="34">
        <v>296.452</v>
      </c>
      <c r="C1167" s="35">
        <v>9392.1</v>
      </c>
      <c r="D1167" s="33" t="s">
        <v>271</v>
      </c>
      <c r="E1167" s="34">
        <v>296.39999999999998</v>
      </c>
      <c r="F1167" s="36">
        <v>5.2000000000020898E-2</v>
      </c>
      <c r="G1167" s="34">
        <v>5.2000000000020898E-2</v>
      </c>
      <c r="H1167" s="35">
        <v>251.9</v>
      </c>
      <c r="I1167" s="37">
        <f t="shared" si="18"/>
        <v>2.6820412900203362E-2</v>
      </c>
      <c r="J1167" s="33"/>
    </row>
    <row r="1168" spans="1:10">
      <c r="A1168" s="33" t="s">
        <v>84</v>
      </c>
      <c r="B1168" s="34">
        <v>296.452</v>
      </c>
      <c r="C1168" s="35">
        <v>9392.1</v>
      </c>
      <c r="D1168" s="33" t="s">
        <v>284</v>
      </c>
      <c r="E1168" s="34">
        <v>296.40600000000001</v>
      </c>
      <c r="F1168" s="36">
        <v>4.5999999999992297E-2</v>
      </c>
      <c r="G1168" s="34">
        <v>4.5999999999992297E-2</v>
      </c>
      <c r="H1168" s="35">
        <v>2.4</v>
      </c>
      <c r="I1168" s="37">
        <f t="shared" si="18"/>
        <v>2.5553390615517293E-4</v>
      </c>
      <c r="J1168" s="33"/>
    </row>
    <row r="1169" spans="1:10">
      <c r="A1169" s="33" t="s">
        <v>84</v>
      </c>
      <c r="B1169" s="34">
        <v>296.452</v>
      </c>
      <c r="C1169" s="35">
        <v>9392.1</v>
      </c>
      <c r="D1169" s="33" t="s">
        <v>97</v>
      </c>
      <c r="E1169" s="34">
        <v>296.41300000000001</v>
      </c>
      <c r="F1169" s="36">
        <v>3.8999999999987302E-2</v>
      </c>
      <c r="G1169" s="34">
        <v>3.8999999999987302E-2</v>
      </c>
      <c r="H1169" s="35">
        <v>42</v>
      </c>
      <c r="I1169" s="37">
        <f t="shared" si="18"/>
        <v>4.471843357715527E-3</v>
      </c>
      <c r="J1169" s="33"/>
    </row>
    <row r="1170" spans="1:10">
      <c r="A1170" s="33" t="s">
        <v>84</v>
      </c>
      <c r="B1170" s="34">
        <v>296.452</v>
      </c>
      <c r="C1170" s="35">
        <v>9392.1</v>
      </c>
      <c r="D1170" s="33" t="s">
        <v>277</v>
      </c>
      <c r="E1170" s="34">
        <v>296.42500000000001</v>
      </c>
      <c r="F1170" s="36">
        <v>2.6999999999986798E-2</v>
      </c>
      <c r="G1170" s="34">
        <v>2.6999999999986798E-2</v>
      </c>
      <c r="H1170" s="35">
        <v>180</v>
      </c>
      <c r="I1170" s="37">
        <f t="shared" si="18"/>
        <v>1.9165042961637971E-2</v>
      </c>
      <c r="J1170" s="33"/>
    </row>
    <row r="1171" spans="1:10">
      <c r="A1171" s="33" t="s">
        <v>84</v>
      </c>
      <c r="B1171" s="34">
        <v>296.452</v>
      </c>
      <c r="C1171" s="35">
        <v>9392.1</v>
      </c>
      <c r="D1171" s="33" t="s">
        <v>116</v>
      </c>
      <c r="E1171" s="34">
        <v>296.43599999999998</v>
      </c>
      <c r="F1171" s="36">
        <v>1.6E-2</v>
      </c>
      <c r="G1171" s="34">
        <v>1.6E-2</v>
      </c>
      <c r="H1171" s="35">
        <v>91</v>
      </c>
      <c r="I1171" s="37">
        <f t="shared" si="18"/>
        <v>9.6889939417169751E-3</v>
      </c>
      <c r="J1171" s="33" t="s">
        <v>116</v>
      </c>
    </row>
    <row r="1172" spans="1:10">
      <c r="A1172" s="33" t="s">
        <v>84</v>
      </c>
      <c r="B1172" s="34">
        <v>296.452</v>
      </c>
      <c r="C1172" s="35">
        <v>9392.1</v>
      </c>
      <c r="D1172" s="33" t="s">
        <v>274</v>
      </c>
      <c r="E1172" s="34">
        <v>296.452</v>
      </c>
      <c r="F1172" s="36">
        <v>0</v>
      </c>
      <c r="G1172" s="34">
        <v>0</v>
      </c>
      <c r="H1172" s="35">
        <v>69.400000000000006</v>
      </c>
      <c r="I1172" s="37">
        <f t="shared" si="18"/>
        <v>7.3891887863204182E-3</v>
      </c>
      <c r="J1172" s="33"/>
    </row>
    <row r="1173" spans="1:10">
      <c r="A1173" s="33" t="s">
        <v>84</v>
      </c>
      <c r="B1173" s="34">
        <v>296.452</v>
      </c>
      <c r="C1173" s="35">
        <v>9392.1</v>
      </c>
      <c r="D1173" s="33" t="s">
        <v>236</v>
      </c>
      <c r="E1173" s="34">
        <v>296.45600000000002</v>
      </c>
      <c r="F1173" s="36">
        <v>4.0000000000191003E-3</v>
      </c>
      <c r="G1173" s="34">
        <v>4.0000000000191003E-3</v>
      </c>
      <c r="H1173" s="35">
        <v>152.4</v>
      </c>
      <c r="I1173" s="37">
        <f t="shared" si="18"/>
        <v>1.6226403040853484E-2</v>
      </c>
      <c r="J1173" s="33"/>
    </row>
    <row r="1174" spans="1:10">
      <c r="A1174" s="33" t="s">
        <v>84</v>
      </c>
      <c r="B1174" s="34">
        <v>296.452</v>
      </c>
      <c r="C1174" s="35">
        <v>9392.1</v>
      </c>
      <c r="D1174" s="33" t="s">
        <v>97</v>
      </c>
      <c r="E1174" s="34">
        <v>296.46199999999999</v>
      </c>
      <c r="F1174" s="36">
        <v>9.9999999999909103E-3</v>
      </c>
      <c r="G1174" s="34">
        <v>9.9999999999909103E-3</v>
      </c>
      <c r="H1174" s="35">
        <v>43.9</v>
      </c>
      <c r="I1174" s="37">
        <f t="shared" si="18"/>
        <v>4.6741410334217052E-3</v>
      </c>
      <c r="J1174" s="33"/>
    </row>
    <row r="1175" spans="1:10">
      <c r="A1175" s="33" t="s">
        <v>84</v>
      </c>
      <c r="B1175" s="34">
        <v>296.452</v>
      </c>
      <c r="C1175" s="35">
        <v>9392.1</v>
      </c>
      <c r="D1175" s="33" t="s">
        <v>63</v>
      </c>
      <c r="E1175" s="34">
        <v>296.47500000000002</v>
      </c>
      <c r="F1175" s="36">
        <v>2.3E-2</v>
      </c>
      <c r="G1175" s="34">
        <v>2.3E-2</v>
      </c>
      <c r="H1175" s="35">
        <v>801.1</v>
      </c>
      <c r="I1175" s="37">
        <f t="shared" si="18"/>
        <v>8.5295088425378779E-2</v>
      </c>
      <c r="J1175" s="33" t="s">
        <v>116</v>
      </c>
    </row>
    <row r="1176" spans="1:10">
      <c r="A1176" s="33" t="s">
        <v>84</v>
      </c>
      <c r="B1176" s="34">
        <v>296.452</v>
      </c>
      <c r="C1176" s="35">
        <v>9392.1</v>
      </c>
      <c r="D1176" s="33" t="s">
        <v>25</v>
      </c>
      <c r="E1176" s="34">
        <v>296.48</v>
      </c>
      <c r="F1176" s="36">
        <v>2.8000000000019998E-2</v>
      </c>
      <c r="G1176" s="34">
        <v>2.8000000000019998E-2</v>
      </c>
      <c r="H1176" s="35">
        <v>122</v>
      </c>
      <c r="I1176" s="37">
        <f t="shared" si="18"/>
        <v>1.2989640229554626E-2</v>
      </c>
      <c r="J1176" s="33" t="s">
        <v>116</v>
      </c>
    </row>
    <row r="1177" spans="1:10">
      <c r="A1177" s="33" t="s">
        <v>84</v>
      </c>
      <c r="B1177" s="34">
        <v>296.452</v>
      </c>
      <c r="C1177" s="35">
        <v>9392.1</v>
      </c>
      <c r="D1177" s="33" t="s">
        <v>269</v>
      </c>
      <c r="E1177" s="34">
        <v>296.488</v>
      </c>
      <c r="F1177" s="36">
        <v>3.6000000000001399E-2</v>
      </c>
      <c r="G1177" s="34">
        <v>3.6000000000001399E-2</v>
      </c>
      <c r="H1177" s="35">
        <v>364.4</v>
      </c>
      <c r="I1177" s="37">
        <f t="shared" si="18"/>
        <v>3.8798564751227088E-2</v>
      </c>
      <c r="J1177" s="33"/>
    </row>
    <row r="1178" spans="1:10">
      <c r="A1178" s="33" t="s">
        <v>84</v>
      </c>
      <c r="B1178" s="34">
        <v>296.452</v>
      </c>
      <c r="C1178" s="35">
        <v>9392.1</v>
      </c>
      <c r="D1178" s="33" t="s">
        <v>271</v>
      </c>
      <c r="E1178" s="34">
        <v>296.49200000000002</v>
      </c>
      <c r="F1178" s="36">
        <v>4.0000000000020498E-2</v>
      </c>
      <c r="G1178" s="34">
        <v>4.0000000000020498E-2</v>
      </c>
      <c r="H1178" s="35">
        <v>571</v>
      </c>
      <c r="I1178" s="37">
        <f t="shared" si="18"/>
        <v>6.0795775172751566E-2</v>
      </c>
      <c r="J1178" s="33"/>
    </row>
    <row r="1179" spans="1:10">
      <c r="A1179" s="33" t="s">
        <v>84</v>
      </c>
      <c r="B1179" s="34">
        <v>296.452</v>
      </c>
      <c r="C1179" s="35">
        <v>9392.1</v>
      </c>
      <c r="D1179" s="33" t="s">
        <v>275</v>
      </c>
      <c r="E1179" s="34">
        <v>296.49299999999999</v>
      </c>
      <c r="F1179" s="36">
        <v>4.0999999999996803E-2</v>
      </c>
      <c r="G1179" s="34">
        <v>4.0999999999996803E-2</v>
      </c>
      <c r="H1179" s="35">
        <v>32.799999999999997</v>
      </c>
      <c r="I1179" s="37">
        <f t="shared" si="18"/>
        <v>3.49229671745403E-3</v>
      </c>
      <c r="J1179" s="33"/>
    </row>
    <row r="1180" spans="1:10">
      <c r="A1180" s="33" t="s">
        <v>84</v>
      </c>
      <c r="B1180" s="34">
        <v>296.452</v>
      </c>
      <c r="C1180" s="35">
        <v>9392.1</v>
      </c>
      <c r="D1180" s="33" t="s">
        <v>278</v>
      </c>
      <c r="E1180" s="34">
        <v>296.49599999999998</v>
      </c>
      <c r="F1180" s="36">
        <v>4.3999999999982699E-2</v>
      </c>
      <c r="G1180" s="34">
        <v>4.3999999999982699E-2</v>
      </c>
      <c r="H1180" s="35">
        <v>91</v>
      </c>
      <c r="I1180" s="37">
        <f t="shared" si="18"/>
        <v>9.6889939417169751E-3</v>
      </c>
      <c r="J1180" s="33"/>
    </row>
    <row r="1181" spans="1:10">
      <c r="A1181" s="33" t="s">
        <v>84</v>
      </c>
      <c r="B1181" s="34">
        <v>296.452</v>
      </c>
      <c r="C1181" s="35">
        <v>9392.1</v>
      </c>
      <c r="D1181" s="33" t="s">
        <v>97</v>
      </c>
      <c r="E1181" s="34">
        <v>296.50299999999999</v>
      </c>
      <c r="F1181" s="36">
        <v>5.0999999999987701E-2</v>
      </c>
      <c r="G1181" s="34">
        <v>5.0999999999987701E-2</v>
      </c>
      <c r="H1181" s="35">
        <v>85.8</v>
      </c>
      <c r="I1181" s="37">
        <f t="shared" si="18"/>
        <v>9.1353371450474327E-3</v>
      </c>
      <c r="J1181" s="33"/>
    </row>
    <row r="1182" spans="1:10">
      <c r="A1182" s="33" t="s">
        <v>84</v>
      </c>
      <c r="B1182" s="34">
        <v>296.452</v>
      </c>
      <c r="C1182" s="35">
        <v>9392.1</v>
      </c>
      <c r="D1182" s="33" t="s">
        <v>277</v>
      </c>
      <c r="E1182" s="34">
        <v>296.50299999999999</v>
      </c>
      <c r="F1182" s="36">
        <v>5.0999999999987701E-2</v>
      </c>
      <c r="G1182" s="34">
        <v>5.0999999999987701E-2</v>
      </c>
      <c r="H1182" s="35">
        <v>191.1</v>
      </c>
      <c r="I1182" s="37">
        <f t="shared" si="18"/>
        <v>2.0346887277605644E-2</v>
      </c>
      <c r="J1182" s="33"/>
    </row>
    <row r="1183" spans="1:10">
      <c r="A1183" s="33" t="s">
        <v>84</v>
      </c>
      <c r="B1183" s="34">
        <v>296.452</v>
      </c>
      <c r="C1183" s="35">
        <v>9392.1</v>
      </c>
      <c r="D1183" s="33" t="s">
        <v>279</v>
      </c>
      <c r="E1183" s="34">
        <v>296.51100000000002</v>
      </c>
      <c r="F1183" s="36">
        <v>5.90000000000259E-2</v>
      </c>
      <c r="G1183" s="34">
        <v>5.90000000000259E-2</v>
      </c>
      <c r="H1183" s="35">
        <v>33.200000000000003</v>
      </c>
      <c r="I1183" s="37">
        <f t="shared" si="18"/>
        <v>3.5348857018132262E-3</v>
      </c>
      <c r="J1183" s="33"/>
    </row>
    <row r="1184" spans="1:10">
      <c r="A1184" s="33" t="s">
        <v>84</v>
      </c>
      <c r="B1184" s="34">
        <v>296.452</v>
      </c>
      <c r="C1184" s="35">
        <v>9392.1</v>
      </c>
      <c r="D1184" s="33" t="s">
        <v>193</v>
      </c>
      <c r="E1184" s="34">
        <v>296.51499999999999</v>
      </c>
      <c r="F1184" s="36">
        <v>6.2999999999988204E-2</v>
      </c>
      <c r="G1184" s="34">
        <v>6.2999999999988204E-2</v>
      </c>
      <c r="H1184" s="35">
        <v>3921.9</v>
      </c>
      <c r="I1184" s="37">
        <f t="shared" si="18"/>
        <v>0.41757434439582203</v>
      </c>
      <c r="J1184" s="33"/>
    </row>
    <row r="1185" spans="1:10">
      <c r="A1185" s="33" t="s">
        <v>84</v>
      </c>
      <c r="B1185" s="34">
        <v>296.452</v>
      </c>
      <c r="C1185" s="35">
        <v>9392.1</v>
      </c>
      <c r="D1185" s="33" t="s">
        <v>268</v>
      </c>
      <c r="E1185" s="34">
        <v>296.517</v>
      </c>
      <c r="F1185" s="36">
        <v>6.4999999999997699E-2</v>
      </c>
      <c r="G1185" s="34">
        <v>6.4999999999997699E-2</v>
      </c>
      <c r="H1185" s="35">
        <v>145.5</v>
      </c>
      <c r="I1185" s="37">
        <f t="shared" si="18"/>
        <v>1.549174306065736E-2</v>
      </c>
      <c r="J1185" s="33"/>
    </row>
    <row r="1186" spans="1:10">
      <c r="A1186" s="33" t="s">
        <v>84</v>
      </c>
      <c r="B1186" s="34">
        <v>296.452</v>
      </c>
      <c r="C1186" s="35">
        <v>9392.1</v>
      </c>
      <c r="D1186" s="33" t="s">
        <v>239</v>
      </c>
      <c r="E1186" s="34">
        <v>296.51799999999997</v>
      </c>
      <c r="F1186" s="36">
        <v>6.5999999999974093E-2</v>
      </c>
      <c r="G1186" s="34">
        <v>6.5999999999974093E-2</v>
      </c>
      <c r="H1186" s="35">
        <v>1.3</v>
      </c>
      <c r="I1186" s="37">
        <f t="shared" si="18"/>
        <v>1.3841419916738536E-4</v>
      </c>
      <c r="J1186" s="33"/>
    </row>
    <row r="1187" spans="1:10">
      <c r="A1187" s="33" t="s">
        <v>84</v>
      </c>
      <c r="B1187" s="34">
        <v>296.452</v>
      </c>
      <c r="C1187" s="35">
        <v>9392.1</v>
      </c>
      <c r="D1187" s="33" t="s">
        <v>290</v>
      </c>
      <c r="E1187" s="34">
        <v>296.52</v>
      </c>
      <c r="F1187" s="36">
        <v>6.7999999999983601E-2</v>
      </c>
      <c r="G1187" s="34">
        <v>6.7999999999983601E-2</v>
      </c>
      <c r="H1187" s="35">
        <v>5.4</v>
      </c>
      <c r="I1187" s="37">
        <f t="shared" si="18"/>
        <v>5.7495128884913914E-4</v>
      </c>
      <c r="J1187" s="33"/>
    </row>
    <row r="1188" spans="1:10">
      <c r="A1188" s="33" t="s">
        <v>84</v>
      </c>
      <c r="B1188" s="34">
        <v>296.452</v>
      </c>
      <c r="C1188" s="35">
        <v>9392.1</v>
      </c>
      <c r="D1188" s="33" t="s">
        <v>84</v>
      </c>
      <c r="E1188" s="34">
        <v>296.52100000000002</v>
      </c>
      <c r="F1188" s="36">
        <v>6.9000000000000006E-2</v>
      </c>
      <c r="G1188" s="34">
        <v>6.9000000000000006E-2</v>
      </c>
      <c r="H1188" s="35">
        <v>252.5</v>
      </c>
      <c r="I1188" s="37">
        <f t="shared" si="18"/>
        <v>2.6884296376742153E-2</v>
      </c>
      <c r="J1188" s="33" t="s">
        <v>116</v>
      </c>
    </row>
    <row r="1189" spans="1:10">
      <c r="A1189" s="33" t="s">
        <v>84</v>
      </c>
      <c r="B1189" s="34">
        <v>296.452</v>
      </c>
      <c r="C1189" s="35">
        <v>9392.1</v>
      </c>
      <c r="D1189" s="33" t="s">
        <v>97</v>
      </c>
      <c r="E1189" s="34">
        <v>296.52499999999998</v>
      </c>
      <c r="F1189" s="36">
        <v>7.2999999999979095E-2</v>
      </c>
      <c r="G1189" s="34">
        <v>7.2999999999979095E-2</v>
      </c>
      <c r="H1189" s="35">
        <v>88.4</v>
      </c>
      <c r="I1189" s="37">
        <f t="shared" si="18"/>
        <v>9.4121655433822039E-3</v>
      </c>
      <c r="J1189" s="33"/>
    </row>
    <row r="1190" spans="1:10">
      <c r="A1190" s="33" t="s">
        <v>84</v>
      </c>
      <c r="B1190" s="34">
        <v>296.452</v>
      </c>
      <c r="C1190" s="35">
        <v>9392.1</v>
      </c>
      <c r="D1190" s="33" t="s">
        <v>25</v>
      </c>
      <c r="E1190" s="34">
        <v>296.52699999999999</v>
      </c>
      <c r="F1190" s="36">
        <v>7.4999999999988604E-2</v>
      </c>
      <c r="G1190" s="34">
        <v>7.4999999999988604E-2</v>
      </c>
      <c r="H1190" s="35">
        <v>112.8</v>
      </c>
      <c r="I1190" s="37">
        <f t="shared" si="18"/>
        <v>1.2010093589293129E-2</v>
      </c>
      <c r="J1190" s="33" t="s">
        <v>116</v>
      </c>
    </row>
    <row r="1191" spans="1:10">
      <c r="A1191" s="33" t="s">
        <v>84</v>
      </c>
      <c r="B1191" s="34">
        <v>296.452</v>
      </c>
      <c r="C1191" s="35">
        <v>9392.1</v>
      </c>
      <c r="D1191" s="33" t="s">
        <v>275</v>
      </c>
      <c r="E1191" s="34">
        <v>296.52800000000002</v>
      </c>
      <c r="F1191" s="36">
        <v>7.60000000000218E-2</v>
      </c>
      <c r="G1191" s="34">
        <v>7.60000000000218E-2</v>
      </c>
      <c r="H1191" s="35">
        <v>678.6</v>
      </c>
      <c r="I1191" s="37">
        <f t="shared" si="18"/>
        <v>7.2252211965375152E-2</v>
      </c>
      <c r="J1191" s="33"/>
    </row>
    <row r="1192" spans="1:10">
      <c r="A1192" s="33" t="s">
        <v>84</v>
      </c>
      <c r="B1192" s="34">
        <v>300.24099999999999</v>
      </c>
      <c r="C1192" s="35">
        <v>8824.5</v>
      </c>
      <c r="D1192" s="33" t="s">
        <v>279</v>
      </c>
      <c r="E1192" s="34">
        <v>300.113</v>
      </c>
      <c r="F1192" s="36">
        <v>0.12799999999998601</v>
      </c>
      <c r="G1192" s="34">
        <v>0.12799999999998601</v>
      </c>
      <c r="H1192" s="35">
        <v>24.6</v>
      </c>
      <c r="I1192" s="37">
        <f t="shared" si="18"/>
        <v>2.7876933537310899E-3</v>
      </c>
      <c r="J1192" s="33"/>
    </row>
    <row r="1193" spans="1:10">
      <c r="A1193" s="33" t="s">
        <v>84</v>
      </c>
      <c r="B1193" s="34">
        <v>300.24099999999999</v>
      </c>
      <c r="C1193" s="35">
        <v>8824.5</v>
      </c>
      <c r="D1193" s="33" t="s">
        <v>294</v>
      </c>
      <c r="E1193" s="34">
        <v>300.11700000000002</v>
      </c>
      <c r="F1193" s="36">
        <v>0.123999999999967</v>
      </c>
      <c r="G1193" s="34">
        <v>0.123999999999967</v>
      </c>
      <c r="H1193" s="35">
        <v>46</v>
      </c>
      <c r="I1193" s="37">
        <f t="shared" si="18"/>
        <v>5.2127599297410619E-3</v>
      </c>
      <c r="J1193" s="33"/>
    </row>
    <row r="1194" spans="1:10">
      <c r="A1194" s="33" t="s">
        <v>84</v>
      </c>
      <c r="B1194" s="34">
        <v>300.24099999999999</v>
      </c>
      <c r="C1194" s="35">
        <v>8824.5</v>
      </c>
      <c r="D1194" s="33" t="s">
        <v>278</v>
      </c>
      <c r="E1194" s="34">
        <v>300.12</v>
      </c>
      <c r="F1194" s="36">
        <v>0.120999999999981</v>
      </c>
      <c r="G1194" s="34">
        <v>0.120999999999981</v>
      </c>
      <c r="H1194" s="35">
        <v>4561</v>
      </c>
      <c r="I1194" s="37">
        <f t="shared" si="18"/>
        <v>0.51685647912063004</v>
      </c>
      <c r="J1194" s="33"/>
    </row>
    <row r="1195" spans="1:10">
      <c r="A1195" s="33" t="s">
        <v>84</v>
      </c>
      <c r="B1195" s="34">
        <v>300.24099999999999</v>
      </c>
      <c r="C1195" s="35">
        <v>8824.5</v>
      </c>
      <c r="D1195" s="33" t="s">
        <v>277</v>
      </c>
      <c r="E1195" s="34">
        <v>300.12099999999998</v>
      </c>
      <c r="F1195" s="36">
        <v>0.12000000000000501</v>
      </c>
      <c r="G1195" s="34">
        <v>0.12000000000000501</v>
      </c>
      <c r="H1195" s="35">
        <v>119.7</v>
      </c>
      <c r="I1195" s="37">
        <f t="shared" si="18"/>
        <v>1.3564507904130546E-2</v>
      </c>
      <c r="J1195" s="33"/>
    </row>
    <row r="1196" spans="1:10">
      <c r="A1196" s="33" t="s">
        <v>84</v>
      </c>
      <c r="B1196" s="34">
        <v>300.24099999999999</v>
      </c>
      <c r="C1196" s="35">
        <v>8824.5</v>
      </c>
      <c r="D1196" s="33" t="s">
        <v>271</v>
      </c>
      <c r="E1196" s="34">
        <v>300.12700000000001</v>
      </c>
      <c r="F1196" s="36">
        <v>0.113999999999976</v>
      </c>
      <c r="G1196" s="34">
        <v>0.113999999999976</v>
      </c>
      <c r="H1196" s="35">
        <v>1481</v>
      </c>
      <c r="I1196" s="37">
        <f t="shared" si="18"/>
        <v>0.16782820556405462</v>
      </c>
      <c r="J1196" s="33"/>
    </row>
    <row r="1197" spans="1:10">
      <c r="A1197" s="33" t="s">
        <v>84</v>
      </c>
      <c r="B1197" s="34">
        <v>300.24099999999999</v>
      </c>
      <c r="C1197" s="35">
        <v>8824.5</v>
      </c>
      <c r="D1197" s="33" t="s">
        <v>116</v>
      </c>
      <c r="E1197" s="34">
        <v>300.13200000000001</v>
      </c>
      <c r="F1197" s="36">
        <v>0.109</v>
      </c>
      <c r="G1197" s="34">
        <v>0.109</v>
      </c>
      <c r="H1197" s="35">
        <v>27.9</v>
      </c>
      <c r="I1197" s="37">
        <f t="shared" si="18"/>
        <v>3.1616522182559919E-3</v>
      </c>
      <c r="J1197" s="33" t="s">
        <v>116</v>
      </c>
    </row>
    <row r="1198" spans="1:10">
      <c r="A1198" s="33" t="s">
        <v>84</v>
      </c>
      <c r="B1198" s="34">
        <v>300.24099999999999</v>
      </c>
      <c r="C1198" s="35">
        <v>8824.5</v>
      </c>
      <c r="D1198" s="33" t="s">
        <v>275</v>
      </c>
      <c r="E1198" s="34">
        <v>300.14299999999997</v>
      </c>
      <c r="F1198" s="36">
        <v>9.8000000000013202E-2</v>
      </c>
      <c r="G1198" s="34">
        <v>9.8000000000013202E-2</v>
      </c>
      <c r="H1198" s="35">
        <v>28</v>
      </c>
      <c r="I1198" s="37">
        <f t="shared" si="18"/>
        <v>3.1729843050597767E-3</v>
      </c>
      <c r="J1198" s="33"/>
    </row>
    <row r="1199" spans="1:10">
      <c r="A1199" s="33" t="s">
        <v>84</v>
      </c>
      <c r="B1199" s="34">
        <v>300.24099999999999</v>
      </c>
      <c r="C1199" s="35">
        <v>8824.5</v>
      </c>
      <c r="D1199" s="33" t="s">
        <v>193</v>
      </c>
      <c r="E1199" s="34">
        <v>300.15499999999997</v>
      </c>
      <c r="F1199" s="36">
        <v>8.6000000000012705E-2</v>
      </c>
      <c r="G1199" s="34">
        <v>8.6000000000012705E-2</v>
      </c>
      <c r="H1199" s="35">
        <v>9.6999999999999993</v>
      </c>
      <c r="I1199" s="37">
        <f t="shared" si="18"/>
        <v>1.0992124199671368E-3</v>
      </c>
      <c r="J1199" s="33"/>
    </row>
    <row r="1200" spans="1:10">
      <c r="A1200" s="33" t="s">
        <v>84</v>
      </c>
      <c r="B1200" s="34">
        <v>300.24099999999999</v>
      </c>
      <c r="C1200" s="35">
        <v>8824.5</v>
      </c>
      <c r="D1200" s="33" t="s">
        <v>268</v>
      </c>
      <c r="E1200" s="34">
        <v>300.16399999999999</v>
      </c>
      <c r="F1200" s="36">
        <v>7.6999999999998195E-2</v>
      </c>
      <c r="G1200" s="34">
        <v>7.6999999999998195E-2</v>
      </c>
      <c r="H1200" s="35">
        <v>12.6</v>
      </c>
      <c r="I1200" s="37">
        <f t="shared" si="18"/>
        <v>1.4278429372768995E-3</v>
      </c>
      <c r="J1200" s="33"/>
    </row>
    <row r="1201" spans="1:10">
      <c r="A1201" s="33" t="s">
        <v>84</v>
      </c>
      <c r="B1201" s="34">
        <v>300.24099999999999</v>
      </c>
      <c r="C1201" s="35">
        <v>8824.5</v>
      </c>
      <c r="D1201" s="33" t="s">
        <v>278</v>
      </c>
      <c r="E1201" s="34">
        <v>300.17500000000001</v>
      </c>
      <c r="F1201" s="36">
        <v>6.5999999999974093E-2</v>
      </c>
      <c r="G1201" s="34">
        <v>6.5999999999974093E-2</v>
      </c>
      <c r="H1201" s="35">
        <v>375.3</v>
      </c>
      <c r="I1201" s="37">
        <f t="shared" si="18"/>
        <v>4.2529321774604792E-2</v>
      </c>
      <c r="J1201" s="33"/>
    </row>
    <row r="1202" spans="1:10">
      <c r="A1202" s="33" t="s">
        <v>84</v>
      </c>
      <c r="B1202" s="34">
        <v>300.24099999999999</v>
      </c>
      <c r="C1202" s="35">
        <v>8824.5</v>
      </c>
      <c r="D1202" s="33" t="s">
        <v>278</v>
      </c>
      <c r="E1202" s="34">
        <v>300.19</v>
      </c>
      <c r="F1202" s="36">
        <v>5.0999999999987701E-2</v>
      </c>
      <c r="G1202" s="34">
        <v>5.0999999999987701E-2</v>
      </c>
      <c r="H1202" s="35">
        <v>63.8</v>
      </c>
      <c r="I1202" s="37">
        <f t="shared" si="18"/>
        <v>7.229871380814777E-3</v>
      </c>
      <c r="J1202" s="33"/>
    </row>
    <row r="1203" spans="1:10">
      <c r="A1203" s="33" t="s">
        <v>84</v>
      </c>
      <c r="B1203" s="34">
        <v>300.24099999999999</v>
      </c>
      <c r="C1203" s="35">
        <v>8824.5</v>
      </c>
      <c r="D1203" s="33" t="s">
        <v>274</v>
      </c>
      <c r="E1203" s="34">
        <v>300.197</v>
      </c>
      <c r="F1203" s="36">
        <v>4.3999999999982699E-2</v>
      </c>
      <c r="G1203" s="34">
        <v>4.3999999999982699E-2</v>
      </c>
      <c r="H1203" s="35">
        <v>8.1</v>
      </c>
      <c r="I1203" s="37">
        <f t="shared" si="18"/>
        <v>9.1789903110657827E-4</v>
      </c>
      <c r="J1203" s="33"/>
    </row>
    <row r="1204" spans="1:10">
      <c r="A1204" s="33" t="s">
        <v>84</v>
      </c>
      <c r="B1204" s="34">
        <v>300.24099999999999</v>
      </c>
      <c r="C1204" s="35">
        <v>8824.5</v>
      </c>
      <c r="D1204" s="33" t="s">
        <v>25</v>
      </c>
      <c r="E1204" s="34">
        <v>300.214</v>
      </c>
      <c r="F1204" s="36">
        <v>2.6999999999986798E-2</v>
      </c>
      <c r="G1204" s="34">
        <v>2.6999999999986798E-2</v>
      </c>
      <c r="H1204" s="35">
        <v>205</v>
      </c>
      <c r="I1204" s="37">
        <f t="shared" si="18"/>
        <v>2.3230777947759081E-2</v>
      </c>
      <c r="J1204" s="33" t="s">
        <v>116</v>
      </c>
    </row>
    <row r="1205" spans="1:10">
      <c r="A1205" s="33" t="s">
        <v>84</v>
      </c>
      <c r="B1205" s="34">
        <v>300.24099999999999</v>
      </c>
      <c r="C1205" s="35">
        <v>8824.5</v>
      </c>
      <c r="D1205" s="33" t="s">
        <v>273</v>
      </c>
      <c r="E1205" s="34">
        <v>300.22000000000003</v>
      </c>
      <c r="F1205" s="36">
        <v>2.0999999999958201E-2</v>
      </c>
      <c r="G1205" s="34">
        <v>2.0999999999958201E-2</v>
      </c>
      <c r="H1205" s="35">
        <v>477.8</v>
      </c>
      <c r="I1205" s="37">
        <f t="shared" si="18"/>
        <v>5.4144710748484336E-2</v>
      </c>
      <c r="J1205" s="33"/>
    </row>
    <row r="1206" spans="1:10">
      <c r="A1206" s="33" t="s">
        <v>84</v>
      </c>
      <c r="B1206" s="34">
        <v>300.24099999999999</v>
      </c>
      <c r="C1206" s="35">
        <v>8824.5</v>
      </c>
      <c r="D1206" s="33" t="s">
        <v>275</v>
      </c>
      <c r="E1206" s="34">
        <v>300.221</v>
      </c>
      <c r="F1206" s="36">
        <v>1.99999999999818E-2</v>
      </c>
      <c r="G1206" s="34">
        <v>1.99999999999818E-2</v>
      </c>
      <c r="H1206" s="35">
        <v>13.6</v>
      </c>
      <c r="I1206" s="37">
        <f t="shared" si="18"/>
        <v>1.5411638053147486E-3</v>
      </c>
      <c r="J1206" s="33"/>
    </row>
    <row r="1207" spans="1:10">
      <c r="A1207" s="33" t="s">
        <v>84</v>
      </c>
      <c r="B1207" s="34">
        <v>300.24099999999999</v>
      </c>
      <c r="C1207" s="35">
        <v>8824.5</v>
      </c>
      <c r="D1207" s="33" t="s">
        <v>290</v>
      </c>
      <c r="E1207" s="34">
        <v>300.226</v>
      </c>
      <c r="F1207" s="36">
        <v>1.4999999999986399E-2</v>
      </c>
      <c r="G1207" s="34">
        <v>1.4999999999986399E-2</v>
      </c>
      <c r="H1207" s="35">
        <v>32.5</v>
      </c>
      <c r="I1207" s="37">
        <f t="shared" si="18"/>
        <v>3.6829282112300979E-3</v>
      </c>
      <c r="J1207" s="33"/>
    </row>
    <row r="1208" spans="1:10">
      <c r="A1208" s="33" t="s">
        <v>84</v>
      </c>
      <c r="B1208" s="34">
        <v>300.24099999999999</v>
      </c>
      <c r="C1208" s="35">
        <v>8824.5</v>
      </c>
      <c r="D1208" s="33" t="s">
        <v>294</v>
      </c>
      <c r="E1208" s="34">
        <v>300.226</v>
      </c>
      <c r="F1208" s="36">
        <v>1.4999999999986399E-2</v>
      </c>
      <c r="G1208" s="34">
        <v>1.4999999999986399E-2</v>
      </c>
      <c r="H1208" s="35">
        <v>106.3</v>
      </c>
      <c r="I1208" s="37">
        <f t="shared" si="18"/>
        <v>1.2046008272423367E-2</v>
      </c>
      <c r="J1208" s="33"/>
    </row>
    <row r="1209" spans="1:10">
      <c r="A1209" s="33" t="s">
        <v>84</v>
      </c>
      <c r="B1209" s="34">
        <v>300.24099999999999</v>
      </c>
      <c r="C1209" s="35">
        <v>8824.5</v>
      </c>
      <c r="D1209" s="33" t="s">
        <v>240</v>
      </c>
      <c r="E1209" s="34">
        <v>300.238</v>
      </c>
      <c r="F1209" s="36">
        <v>2.9999999999858998E-3</v>
      </c>
      <c r="G1209" s="34">
        <v>2.9999999999858998E-3</v>
      </c>
      <c r="H1209" s="35">
        <v>0.7</v>
      </c>
      <c r="I1209" s="37">
        <f t="shared" si="18"/>
        <v>7.932460762649441E-5</v>
      </c>
      <c r="J1209" s="33"/>
    </row>
    <row r="1210" spans="1:10">
      <c r="A1210" s="33" t="s">
        <v>84</v>
      </c>
      <c r="B1210" s="34">
        <v>300.24099999999999</v>
      </c>
      <c r="C1210" s="35">
        <v>8824.5</v>
      </c>
      <c r="D1210" s="33" t="s">
        <v>33</v>
      </c>
      <c r="E1210" s="34">
        <v>300.23899999999998</v>
      </c>
      <c r="F1210" s="36">
        <v>2.0000000000095501E-3</v>
      </c>
      <c r="G1210" s="34">
        <v>2.0000000000095501E-3</v>
      </c>
      <c r="H1210" s="35">
        <v>253.6</v>
      </c>
      <c r="I1210" s="37">
        <f t="shared" si="18"/>
        <v>2.8738172134398547E-2</v>
      </c>
      <c r="J1210" s="33" t="s">
        <v>116</v>
      </c>
    </row>
    <row r="1211" spans="1:10">
      <c r="A1211" s="33" t="s">
        <v>84</v>
      </c>
      <c r="B1211" s="34">
        <v>300.24099999999999</v>
      </c>
      <c r="C1211" s="35">
        <v>8824.5</v>
      </c>
      <c r="D1211" s="33" t="s">
        <v>271</v>
      </c>
      <c r="E1211" s="34">
        <v>300.24</v>
      </c>
      <c r="F1211" s="36">
        <v>9.9999999997635292E-4</v>
      </c>
      <c r="G1211" s="34">
        <v>9.9999999997635292E-4</v>
      </c>
      <c r="H1211" s="35">
        <v>1536</v>
      </c>
      <c r="I1211" s="37">
        <f t="shared" si="18"/>
        <v>0.17406085330613633</v>
      </c>
      <c r="J1211" s="33"/>
    </row>
    <row r="1212" spans="1:10">
      <c r="A1212" s="33" t="s">
        <v>84</v>
      </c>
      <c r="B1212" s="34">
        <v>300.24099999999999</v>
      </c>
      <c r="C1212" s="35">
        <v>8824.5</v>
      </c>
      <c r="D1212" s="33" t="s">
        <v>239</v>
      </c>
      <c r="E1212" s="34">
        <v>300.24299999999999</v>
      </c>
      <c r="F1212" s="36">
        <v>2.0000000000095501E-3</v>
      </c>
      <c r="G1212" s="34">
        <v>2.0000000000095501E-3</v>
      </c>
      <c r="H1212" s="35">
        <v>0.5</v>
      </c>
      <c r="I1212" s="37">
        <f t="shared" si="18"/>
        <v>5.6660434018924583E-5</v>
      </c>
      <c r="J1212" s="33"/>
    </row>
    <row r="1213" spans="1:10">
      <c r="A1213" s="33" t="s">
        <v>84</v>
      </c>
      <c r="B1213" s="34">
        <v>300.24099999999999</v>
      </c>
      <c r="C1213" s="35">
        <v>8824.5</v>
      </c>
      <c r="D1213" s="33" t="s">
        <v>165</v>
      </c>
      <c r="E1213" s="34">
        <v>300.24799999999999</v>
      </c>
      <c r="F1213" s="36">
        <v>7.0000000000049996E-3</v>
      </c>
      <c r="G1213" s="34">
        <v>7.0000000000049996E-3</v>
      </c>
      <c r="H1213" s="35">
        <v>4042.6</v>
      </c>
      <c r="I1213" s="37">
        <f t="shared" si="18"/>
        <v>0.45811094112980905</v>
      </c>
      <c r="J1213" s="33"/>
    </row>
    <row r="1214" spans="1:10">
      <c r="A1214" s="33" t="s">
        <v>84</v>
      </c>
      <c r="B1214" s="34">
        <v>300.24099999999999</v>
      </c>
      <c r="C1214" s="35">
        <v>8824.5</v>
      </c>
      <c r="D1214" s="33" t="s">
        <v>36</v>
      </c>
      <c r="E1214" s="34">
        <v>300.25599999999997</v>
      </c>
      <c r="F1214" s="36">
        <v>1.4999999999999999E-2</v>
      </c>
      <c r="G1214" s="34">
        <v>1.4999999999999999E-2</v>
      </c>
      <c r="H1214" s="35">
        <v>2166.6999999999998</v>
      </c>
      <c r="I1214" s="37">
        <f t="shared" si="18"/>
        <v>0.24553232477760778</v>
      </c>
      <c r="J1214" s="33" t="s">
        <v>116</v>
      </c>
    </row>
    <row r="1215" spans="1:10">
      <c r="A1215" s="33" t="s">
        <v>84</v>
      </c>
      <c r="B1215" s="34">
        <v>300.24099999999999</v>
      </c>
      <c r="C1215" s="35">
        <v>8824.5</v>
      </c>
      <c r="D1215" s="33" t="s">
        <v>240</v>
      </c>
      <c r="E1215" s="34">
        <v>300.25799999999998</v>
      </c>
      <c r="F1215" s="36">
        <v>1.69999999999959E-2</v>
      </c>
      <c r="G1215" s="34">
        <v>1.69999999999959E-2</v>
      </c>
      <c r="H1215" s="35">
        <v>1.8</v>
      </c>
      <c r="I1215" s="37">
        <f t="shared" si="18"/>
        <v>2.0397756246812851E-4</v>
      </c>
      <c r="J1215" s="33"/>
    </row>
    <row r="1216" spans="1:10">
      <c r="A1216" s="33" t="s">
        <v>84</v>
      </c>
      <c r="B1216" s="34">
        <v>300.24099999999999</v>
      </c>
      <c r="C1216" s="35">
        <v>8824.5</v>
      </c>
      <c r="D1216" s="33" t="s">
        <v>63</v>
      </c>
      <c r="E1216" s="34">
        <v>300.26100000000002</v>
      </c>
      <c r="F1216" s="36">
        <v>0.02</v>
      </c>
      <c r="G1216" s="34">
        <v>0.02</v>
      </c>
      <c r="H1216" s="35">
        <v>195.4</v>
      </c>
      <c r="I1216" s="37">
        <f t="shared" si="18"/>
        <v>2.214289761459573E-2</v>
      </c>
      <c r="J1216" s="33" t="s">
        <v>116</v>
      </c>
    </row>
    <row r="1217" spans="1:10">
      <c r="A1217" s="33" t="s">
        <v>84</v>
      </c>
      <c r="B1217" s="34">
        <v>300.24099999999999</v>
      </c>
      <c r="C1217" s="35">
        <v>8824.5</v>
      </c>
      <c r="D1217" s="33" t="s">
        <v>184</v>
      </c>
      <c r="E1217" s="34">
        <v>300.26400000000001</v>
      </c>
      <c r="F1217" s="36">
        <v>2.3000000000024601E-2</v>
      </c>
      <c r="G1217" s="34">
        <v>2.3000000000024601E-2</v>
      </c>
      <c r="H1217" s="35">
        <v>1.9</v>
      </c>
      <c r="I1217" s="37">
        <f t="shared" si="18"/>
        <v>2.1530964927191342E-4</v>
      </c>
      <c r="J1217" s="33"/>
    </row>
    <row r="1218" spans="1:10">
      <c r="A1218" s="33" t="s">
        <v>84</v>
      </c>
      <c r="B1218" s="34">
        <v>300.24099999999999</v>
      </c>
      <c r="C1218" s="35">
        <v>8824.5</v>
      </c>
      <c r="D1218" s="33" t="s">
        <v>84</v>
      </c>
      <c r="E1218" s="34">
        <v>300.26499999999999</v>
      </c>
      <c r="F1218" s="36">
        <v>2.4E-2</v>
      </c>
      <c r="G1218" s="34">
        <v>2.4E-2</v>
      </c>
      <c r="H1218" s="35">
        <v>0.4</v>
      </c>
      <c r="I1218" s="37">
        <f t="shared" ref="I1218:I1281" si="19">H1218/C1218</f>
        <v>4.5328347215139673E-5</v>
      </c>
      <c r="J1218" s="33" t="s">
        <v>116</v>
      </c>
    </row>
    <row r="1219" spans="1:10">
      <c r="A1219" s="33" t="s">
        <v>84</v>
      </c>
      <c r="B1219" s="34">
        <v>300.24099999999999</v>
      </c>
      <c r="C1219" s="35">
        <v>8824.5</v>
      </c>
      <c r="D1219" s="33" t="s">
        <v>25</v>
      </c>
      <c r="E1219" s="34">
        <v>300.274</v>
      </c>
      <c r="F1219" s="36">
        <v>3.3000000000015503E-2</v>
      </c>
      <c r="G1219" s="34">
        <v>3.3000000000015503E-2</v>
      </c>
      <c r="H1219" s="35">
        <v>285.2</v>
      </c>
      <c r="I1219" s="37">
        <f t="shared" si="19"/>
        <v>3.2319111564394584E-2</v>
      </c>
      <c r="J1219" s="33" t="s">
        <v>116</v>
      </c>
    </row>
    <row r="1220" spans="1:10">
      <c r="A1220" s="33" t="s">
        <v>84</v>
      </c>
      <c r="B1220" s="34">
        <v>300.24099999999999</v>
      </c>
      <c r="C1220" s="35">
        <v>8824.5</v>
      </c>
      <c r="D1220" s="33" t="s">
        <v>275</v>
      </c>
      <c r="E1220" s="34">
        <v>300.274</v>
      </c>
      <c r="F1220" s="36">
        <v>3.3000000000015503E-2</v>
      </c>
      <c r="G1220" s="34">
        <v>3.3000000000015503E-2</v>
      </c>
      <c r="H1220" s="35">
        <v>78</v>
      </c>
      <c r="I1220" s="37">
        <f t="shared" si="19"/>
        <v>8.8390277069522356E-3</v>
      </c>
      <c r="J1220" s="33"/>
    </row>
    <row r="1221" spans="1:10">
      <c r="A1221" s="33" t="s">
        <v>84</v>
      </c>
      <c r="B1221" s="34">
        <v>300.24099999999999</v>
      </c>
      <c r="C1221" s="35">
        <v>8824.5</v>
      </c>
      <c r="D1221" s="33" t="s">
        <v>274</v>
      </c>
      <c r="E1221" s="34">
        <v>300.28300000000002</v>
      </c>
      <c r="F1221" s="36">
        <v>4.2000000000029999E-2</v>
      </c>
      <c r="G1221" s="34">
        <v>4.2000000000029999E-2</v>
      </c>
      <c r="H1221" s="35">
        <v>47</v>
      </c>
      <c r="I1221" s="37">
        <f t="shared" si="19"/>
        <v>5.326080797778911E-3</v>
      </c>
      <c r="J1221" s="33"/>
    </row>
    <row r="1222" spans="1:10">
      <c r="A1222" s="33" t="s">
        <v>84</v>
      </c>
      <c r="B1222" s="34">
        <v>300.24099999999999</v>
      </c>
      <c r="C1222" s="35">
        <v>8824.5</v>
      </c>
      <c r="D1222" s="33" t="s">
        <v>239</v>
      </c>
      <c r="E1222" s="34">
        <v>300.29899999999998</v>
      </c>
      <c r="F1222" s="36">
        <v>5.7999999999992703E-2</v>
      </c>
      <c r="G1222" s="34">
        <v>5.7999999999992703E-2</v>
      </c>
      <c r="H1222" s="35">
        <v>0.6</v>
      </c>
      <c r="I1222" s="37">
        <f t="shared" si="19"/>
        <v>6.79925208227095E-5</v>
      </c>
      <c r="J1222" s="33"/>
    </row>
    <row r="1223" spans="1:10">
      <c r="A1223" s="33" t="s">
        <v>84</v>
      </c>
      <c r="B1223" s="34">
        <v>300.24099999999999</v>
      </c>
      <c r="C1223" s="35">
        <v>8824.5</v>
      </c>
      <c r="D1223" s="33" t="s">
        <v>193</v>
      </c>
      <c r="E1223" s="34">
        <v>300.29899999999998</v>
      </c>
      <c r="F1223" s="36">
        <v>5.7999999999992703E-2</v>
      </c>
      <c r="G1223" s="34">
        <v>5.7999999999992703E-2</v>
      </c>
      <c r="H1223" s="35">
        <v>129.69999999999999</v>
      </c>
      <c r="I1223" s="37">
        <f t="shared" si="19"/>
        <v>1.4697716584509036E-2</v>
      </c>
      <c r="J1223" s="33"/>
    </row>
    <row r="1224" spans="1:10">
      <c r="A1224" s="33" t="s">
        <v>84</v>
      </c>
      <c r="B1224" s="34">
        <v>300.24099999999999</v>
      </c>
      <c r="C1224" s="35">
        <v>8824.5</v>
      </c>
      <c r="D1224" s="33" t="s">
        <v>97</v>
      </c>
      <c r="E1224" s="34">
        <v>300.303</v>
      </c>
      <c r="F1224" s="36">
        <v>6.2000000000011803E-2</v>
      </c>
      <c r="G1224" s="34">
        <v>6.2000000000011803E-2</v>
      </c>
      <c r="H1224" s="35">
        <v>29.5</v>
      </c>
      <c r="I1224" s="37">
        <f t="shared" si="19"/>
        <v>3.3429656071165504E-3</v>
      </c>
      <c r="J1224" s="33"/>
    </row>
    <row r="1225" spans="1:10">
      <c r="A1225" s="33" t="s">
        <v>84</v>
      </c>
      <c r="B1225" s="34">
        <v>300.24099999999999</v>
      </c>
      <c r="C1225" s="35">
        <v>8824.5</v>
      </c>
      <c r="D1225" s="33" t="s">
        <v>277</v>
      </c>
      <c r="E1225" s="34">
        <v>300.30700000000002</v>
      </c>
      <c r="F1225" s="36">
        <v>6.6000000000030895E-2</v>
      </c>
      <c r="G1225" s="34">
        <v>6.6000000000030895E-2</v>
      </c>
      <c r="H1225" s="35">
        <v>194</v>
      </c>
      <c r="I1225" s="37">
        <f t="shared" si="19"/>
        <v>2.1984248399342737E-2</v>
      </c>
      <c r="J1225" s="33"/>
    </row>
    <row r="1226" spans="1:10">
      <c r="A1226" s="33" t="s">
        <v>84</v>
      </c>
      <c r="B1226" s="34">
        <v>300.24099999999999</v>
      </c>
      <c r="C1226" s="35">
        <v>8824.5</v>
      </c>
      <c r="D1226" s="33" t="s">
        <v>277</v>
      </c>
      <c r="E1226" s="34">
        <v>300.33199999999999</v>
      </c>
      <c r="F1226" s="36">
        <v>9.1000000000008199E-2</v>
      </c>
      <c r="G1226" s="34">
        <v>9.1000000000008199E-2</v>
      </c>
      <c r="H1226" s="35">
        <v>294.89999999999998</v>
      </c>
      <c r="I1226" s="37">
        <f t="shared" si="19"/>
        <v>3.3418323984361717E-2</v>
      </c>
      <c r="J1226" s="33"/>
    </row>
    <row r="1227" spans="1:10">
      <c r="A1227" s="33" t="s">
        <v>84</v>
      </c>
      <c r="B1227" s="34">
        <v>300.24099999999999</v>
      </c>
      <c r="C1227" s="35">
        <v>8824.5</v>
      </c>
      <c r="D1227" s="33" t="s">
        <v>278</v>
      </c>
      <c r="E1227" s="34">
        <v>300.346</v>
      </c>
      <c r="F1227" s="36">
        <v>0.105000000000018</v>
      </c>
      <c r="G1227" s="34">
        <v>0.105000000000018</v>
      </c>
      <c r="H1227" s="35">
        <v>1150.5</v>
      </c>
      <c r="I1227" s="37">
        <f t="shared" si="19"/>
        <v>0.13037565867754547</v>
      </c>
      <c r="J1227" s="33"/>
    </row>
    <row r="1228" spans="1:10">
      <c r="A1228" s="33" t="s">
        <v>84</v>
      </c>
      <c r="B1228" s="34">
        <v>323.05799999999999</v>
      </c>
      <c r="C1228" s="35">
        <v>17942.099999999999</v>
      </c>
      <c r="D1228" s="33" t="s">
        <v>239</v>
      </c>
      <c r="E1228" s="34">
        <v>322.92</v>
      </c>
      <c r="F1228" s="36">
        <v>0.137999999999977</v>
      </c>
      <c r="G1228" s="34">
        <v>0.137999999999977</v>
      </c>
      <c r="H1228" s="35">
        <v>11.7</v>
      </c>
      <c r="I1228" s="37">
        <f t="shared" si="19"/>
        <v>6.5209758055077166E-4</v>
      </c>
      <c r="J1228" s="33"/>
    </row>
    <row r="1229" spans="1:10">
      <c r="A1229" s="33" t="s">
        <v>84</v>
      </c>
      <c r="B1229" s="34">
        <v>323.05799999999999</v>
      </c>
      <c r="C1229" s="35">
        <v>17942.099999999999</v>
      </c>
      <c r="D1229" s="33" t="s">
        <v>237</v>
      </c>
      <c r="E1229" s="34">
        <v>322.92</v>
      </c>
      <c r="F1229" s="36">
        <v>0.137999999999977</v>
      </c>
      <c r="G1229" s="34">
        <v>0.137999999999977</v>
      </c>
      <c r="H1229" s="35">
        <v>11234.7</v>
      </c>
      <c r="I1229" s="37">
        <f t="shared" si="19"/>
        <v>0.62616416138579101</v>
      </c>
      <c r="J1229" s="33"/>
    </row>
    <row r="1230" spans="1:10">
      <c r="A1230" s="33" t="s">
        <v>84</v>
      </c>
      <c r="B1230" s="34">
        <v>323.05799999999999</v>
      </c>
      <c r="C1230" s="35">
        <v>17942.099999999999</v>
      </c>
      <c r="D1230" s="33" t="s">
        <v>193</v>
      </c>
      <c r="E1230" s="34">
        <v>322.92399999999998</v>
      </c>
      <c r="F1230" s="36">
        <v>0.134000000000015</v>
      </c>
      <c r="G1230" s="34">
        <v>0.134000000000015</v>
      </c>
      <c r="H1230" s="35">
        <v>54.4</v>
      </c>
      <c r="I1230" s="37">
        <f t="shared" si="19"/>
        <v>3.0319750753813658E-3</v>
      </c>
      <c r="J1230" s="33"/>
    </row>
    <row r="1231" spans="1:10">
      <c r="A1231" s="33" t="s">
        <v>84</v>
      </c>
      <c r="B1231" s="34">
        <v>323.05799999999999</v>
      </c>
      <c r="C1231" s="35">
        <v>17942.099999999999</v>
      </c>
      <c r="D1231" s="33" t="s">
        <v>290</v>
      </c>
      <c r="E1231" s="34">
        <v>322.92899999999997</v>
      </c>
      <c r="F1231" s="36">
        <v>0.12900000000001899</v>
      </c>
      <c r="G1231" s="34">
        <v>0.12900000000001899</v>
      </c>
      <c r="H1231" s="35">
        <v>46.3</v>
      </c>
      <c r="I1231" s="37">
        <f t="shared" si="19"/>
        <v>2.5805229042308313E-3</v>
      </c>
      <c r="J1231" s="33"/>
    </row>
    <row r="1232" spans="1:10">
      <c r="A1232" s="33" t="s">
        <v>84</v>
      </c>
      <c r="B1232" s="34">
        <v>323.05799999999999</v>
      </c>
      <c r="C1232" s="35">
        <v>17942.099999999999</v>
      </c>
      <c r="D1232" s="33" t="s">
        <v>25</v>
      </c>
      <c r="E1232" s="34">
        <v>322.93599999999998</v>
      </c>
      <c r="F1232" s="36">
        <v>0.122000000000014</v>
      </c>
      <c r="G1232" s="34">
        <v>0.122000000000014</v>
      </c>
      <c r="H1232" s="35">
        <v>612.5</v>
      </c>
      <c r="I1232" s="37">
        <f t="shared" si="19"/>
        <v>3.4137587016012619E-2</v>
      </c>
      <c r="J1232" s="33" t="s">
        <v>116</v>
      </c>
    </row>
    <row r="1233" spans="1:10">
      <c r="A1233" s="33" t="s">
        <v>84</v>
      </c>
      <c r="B1233" s="34">
        <v>323.05799999999999</v>
      </c>
      <c r="C1233" s="35">
        <v>17942.099999999999</v>
      </c>
      <c r="D1233" s="33" t="s">
        <v>33</v>
      </c>
      <c r="E1233" s="34">
        <v>322.93599999999998</v>
      </c>
      <c r="F1233" s="36">
        <v>0.122000000000014</v>
      </c>
      <c r="G1233" s="34">
        <v>0.122000000000014</v>
      </c>
      <c r="H1233" s="35">
        <v>345.7</v>
      </c>
      <c r="I1233" s="37">
        <f t="shared" si="19"/>
        <v>1.9267532786017245E-2</v>
      </c>
      <c r="J1233" s="33" t="s">
        <v>116</v>
      </c>
    </row>
    <row r="1234" spans="1:10">
      <c r="A1234" s="33" t="s">
        <v>84</v>
      </c>
      <c r="B1234" s="34">
        <v>323.05799999999999</v>
      </c>
      <c r="C1234" s="35">
        <v>17942.099999999999</v>
      </c>
      <c r="D1234" s="33" t="s">
        <v>277</v>
      </c>
      <c r="E1234" s="34">
        <v>322.95</v>
      </c>
      <c r="F1234" s="36">
        <v>0.108000000000004</v>
      </c>
      <c r="G1234" s="34">
        <v>0.108000000000004</v>
      </c>
      <c r="H1234" s="35">
        <v>423.8</v>
      </c>
      <c r="I1234" s="37">
        <f t="shared" si="19"/>
        <v>2.3620423473283508E-2</v>
      </c>
      <c r="J1234" s="33"/>
    </row>
    <row r="1235" spans="1:10">
      <c r="A1235" s="33" t="s">
        <v>84</v>
      </c>
      <c r="B1235" s="34">
        <v>323.05799999999999</v>
      </c>
      <c r="C1235" s="35">
        <v>17942.099999999999</v>
      </c>
      <c r="D1235" s="33" t="s">
        <v>273</v>
      </c>
      <c r="E1235" s="34">
        <v>322.95600000000002</v>
      </c>
      <c r="F1235" s="36">
        <v>0.101999999999975</v>
      </c>
      <c r="G1235" s="34">
        <v>0.101999999999975</v>
      </c>
      <c r="H1235" s="35">
        <v>974.2</v>
      </c>
      <c r="I1235" s="37">
        <f t="shared" si="19"/>
        <v>5.4296877177142037E-2</v>
      </c>
      <c r="J1235" s="33"/>
    </row>
    <row r="1236" spans="1:10">
      <c r="A1236" s="33" t="s">
        <v>84</v>
      </c>
      <c r="B1236" s="34">
        <v>323.05799999999999</v>
      </c>
      <c r="C1236" s="35">
        <v>17942.099999999999</v>
      </c>
      <c r="D1236" s="33" t="s">
        <v>300</v>
      </c>
      <c r="E1236" s="34">
        <v>322.96100000000001</v>
      </c>
      <c r="F1236" s="36">
        <v>9.6999999999980005E-2</v>
      </c>
      <c r="G1236" s="34">
        <v>9.6999999999980005E-2</v>
      </c>
      <c r="H1236" s="35">
        <v>0.1</v>
      </c>
      <c r="I1236" s="37">
        <f t="shared" si="19"/>
        <v>5.5734835944510405E-6</v>
      </c>
      <c r="J1236" s="33"/>
    </row>
    <row r="1237" spans="1:10">
      <c r="A1237" s="33" t="s">
        <v>84</v>
      </c>
      <c r="B1237" s="34">
        <v>323.05799999999999</v>
      </c>
      <c r="C1237" s="35">
        <v>17942.099999999999</v>
      </c>
      <c r="D1237" s="33" t="s">
        <v>298</v>
      </c>
      <c r="E1237" s="34">
        <v>322.97500000000002</v>
      </c>
      <c r="F1237" s="36">
        <v>8.2999999999970001E-2</v>
      </c>
      <c r="G1237" s="34">
        <v>8.2999999999970001E-2</v>
      </c>
      <c r="H1237" s="35">
        <v>39.4</v>
      </c>
      <c r="I1237" s="37">
        <f t="shared" si="19"/>
        <v>2.1959525362137099E-3</v>
      </c>
      <c r="J1237" s="33"/>
    </row>
    <row r="1238" spans="1:10">
      <c r="A1238" s="33" t="s">
        <v>84</v>
      </c>
      <c r="B1238" s="34">
        <v>323.05799999999999</v>
      </c>
      <c r="C1238" s="35">
        <v>17942.099999999999</v>
      </c>
      <c r="D1238" s="33" t="s">
        <v>193</v>
      </c>
      <c r="E1238" s="34">
        <v>322.988</v>
      </c>
      <c r="F1238" s="36">
        <v>6.9999999999993207E-2</v>
      </c>
      <c r="G1238" s="34">
        <v>6.9999999999993207E-2</v>
      </c>
      <c r="H1238" s="35">
        <v>129.69999999999999</v>
      </c>
      <c r="I1238" s="37">
        <f t="shared" si="19"/>
        <v>7.2288082220029982E-3</v>
      </c>
      <c r="J1238" s="33"/>
    </row>
    <row r="1239" spans="1:10">
      <c r="A1239" s="33" t="s">
        <v>84</v>
      </c>
      <c r="B1239" s="34">
        <v>323.05799999999999</v>
      </c>
      <c r="C1239" s="35">
        <v>17942.099999999999</v>
      </c>
      <c r="D1239" s="33" t="s">
        <v>33</v>
      </c>
      <c r="E1239" s="34">
        <v>322.99400000000003</v>
      </c>
      <c r="F1239" s="36">
        <v>6.3999999999964502E-2</v>
      </c>
      <c r="G1239" s="34">
        <v>6.3999999999964502E-2</v>
      </c>
      <c r="H1239" s="35">
        <v>216.7</v>
      </c>
      <c r="I1239" s="37">
        <f t="shared" si="19"/>
        <v>1.2077738949175404E-2</v>
      </c>
      <c r="J1239" s="33" t="s">
        <v>116</v>
      </c>
    </row>
    <row r="1240" spans="1:10">
      <c r="A1240" s="33" t="s">
        <v>84</v>
      </c>
      <c r="B1240" s="34">
        <v>323.05799999999999</v>
      </c>
      <c r="C1240" s="35">
        <v>17942.099999999999</v>
      </c>
      <c r="D1240" s="33" t="s">
        <v>201</v>
      </c>
      <c r="E1240" s="34">
        <v>323.00299999999999</v>
      </c>
      <c r="F1240" s="36">
        <v>5.50000000000068E-2</v>
      </c>
      <c r="G1240" s="34">
        <v>5.50000000000068E-2</v>
      </c>
      <c r="H1240" s="35">
        <v>610.1</v>
      </c>
      <c r="I1240" s="37">
        <f t="shared" si="19"/>
        <v>3.4003823409745795E-2</v>
      </c>
      <c r="J1240" s="33"/>
    </row>
    <row r="1241" spans="1:10">
      <c r="A1241" s="33" t="s">
        <v>84</v>
      </c>
      <c r="B1241" s="34">
        <v>323.05799999999999</v>
      </c>
      <c r="C1241" s="35">
        <v>17942.099999999999</v>
      </c>
      <c r="D1241" s="33" t="s">
        <v>269</v>
      </c>
      <c r="E1241" s="34">
        <v>323.00599999999997</v>
      </c>
      <c r="F1241" s="36">
        <v>5.2000000000020898E-2</v>
      </c>
      <c r="G1241" s="34">
        <v>5.2000000000020898E-2</v>
      </c>
      <c r="H1241" s="35">
        <v>16.600000000000001</v>
      </c>
      <c r="I1241" s="37">
        <f t="shared" si="19"/>
        <v>9.2519827667887275E-4</v>
      </c>
      <c r="J1241" s="33"/>
    </row>
    <row r="1242" spans="1:10">
      <c r="A1242" s="33" t="s">
        <v>84</v>
      </c>
      <c r="B1242" s="34">
        <v>323.05799999999999</v>
      </c>
      <c r="C1242" s="35">
        <v>17942.099999999999</v>
      </c>
      <c r="D1242" s="33" t="s">
        <v>25</v>
      </c>
      <c r="E1242" s="34">
        <v>323.00799999999998</v>
      </c>
      <c r="F1242" s="36">
        <v>5.0000000000011403E-2</v>
      </c>
      <c r="G1242" s="34">
        <v>5.0000000000011403E-2</v>
      </c>
      <c r="H1242" s="35">
        <v>140.9</v>
      </c>
      <c r="I1242" s="37">
        <f t="shared" si="19"/>
        <v>7.8530383845815156E-3</v>
      </c>
      <c r="J1242" s="33" t="s">
        <v>116</v>
      </c>
    </row>
    <row r="1243" spans="1:10">
      <c r="A1243" s="33" t="s">
        <v>84</v>
      </c>
      <c r="B1243" s="34">
        <v>323.05799999999999</v>
      </c>
      <c r="C1243" s="35">
        <v>17942.099999999999</v>
      </c>
      <c r="D1243" s="33" t="s">
        <v>97</v>
      </c>
      <c r="E1243" s="34">
        <v>323.01600000000002</v>
      </c>
      <c r="F1243" s="36">
        <v>4.1999999999973198E-2</v>
      </c>
      <c r="G1243" s="34">
        <v>4.1999999999973198E-2</v>
      </c>
      <c r="H1243" s="35">
        <v>5.8</v>
      </c>
      <c r="I1243" s="37">
        <f t="shared" si="19"/>
        <v>3.2326204847816034E-4</v>
      </c>
      <c r="J1243" s="33"/>
    </row>
    <row r="1244" spans="1:10">
      <c r="A1244" s="33" t="s">
        <v>84</v>
      </c>
      <c r="B1244" s="34">
        <v>323.05799999999999</v>
      </c>
      <c r="C1244" s="35">
        <v>17942.099999999999</v>
      </c>
      <c r="D1244" s="33" t="s">
        <v>240</v>
      </c>
      <c r="E1244" s="34">
        <v>323.02300000000002</v>
      </c>
      <c r="F1244" s="36">
        <v>3.4999999999968202E-2</v>
      </c>
      <c r="G1244" s="34">
        <v>3.4999999999968202E-2</v>
      </c>
      <c r="H1244" s="35">
        <v>3</v>
      </c>
      <c r="I1244" s="37">
        <f t="shared" si="19"/>
        <v>1.672045078335312E-4</v>
      </c>
      <c r="J1244" s="33"/>
    </row>
    <row r="1245" spans="1:10">
      <c r="A1245" s="33" t="s">
        <v>84</v>
      </c>
      <c r="B1245" s="34">
        <v>323.05799999999999</v>
      </c>
      <c r="C1245" s="35">
        <v>17942.099999999999</v>
      </c>
      <c r="D1245" s="33" t="s">
        <v>273</v>
      </c>
      <c r="E1245" s="34">
        <v>323.024</v>
      </c>
      <c r="F1245" s="36">
        <v>3.3999999999991801E-2</v>
      </c>
      <c r="G1245" s="34">
        <v>3.3999999999991801E-2</v>
      </c>
      <c r="H1245" s="35">
        <v>146.1</v>
      </c>
      <c r="I1245" s="37">
        <f t="shared" si="19"/>
        <v>8.14285953149297E-3</v>
      </c>
      <c r="J1245" s="33"/>
    </row>
    <row r="1246" spans="1:10">
      <c r="A1246" s="33" t="s">
        <v>84</v>
      </c>
      <c r="B1246" s="34">
        <v>323.05799999999999</v>
      </c>
      <c r="C1246" s="35">
        <v>17942.099999999999</v>
      </c>
      <c r="D1246" s="33" t="s">
        <v>294</v>
      </c>
      <c r="E1246" s="34">
        <v>323.02800000000002</v>
      </c>
      <c r="F1246" s="36">
        <v>2.9999999999972701E-2</v>
      </c>
      <c r="G1246" s="34">
        <v>2.9999999999972701E-2</v>
      </c>
      <c r="H1246" s="35">
        <v>12.1</v>
      </c>
      <c r="I1246" s="37">
        <f t="shared" si="19"/>
        <v>6.743915149285759E-4</v>
      </c>
      <c r="J1246" s="33"/>
    </row>
    <row r="1247" spans="1:10">
      <c r="A1247" s="33" t="s">
        <v>84</v>
      </c>
      <c r="B1247" s="34">
        <v>323.05799999999999</v>
      </c>
      <c r="C1247" s="35">
        <v>17942.099999999999</v>
      </c>
      <c r="D1247" s="33" t="s">
        <v>270</v>
      </c>
      <c r="E1247" s="34">
        <v>323.05500000000001</v>
      </c>
      <c r="F1247" s="36">
        <v>2.9999999999858998E-3</v>
      </c>
      <c r="G1247" s="34">
        <v>2.9999999999858998E-3</v>
      </c>
      <c r="H1247" s="35">
        <v>2180</v>
      </c>
      <c r="I1247" s="37">
        <f t="shared" si="19"/>
        <v>0.12150194235903268</v>
      </c>
      <c r="J1247" s="33"/>
    </row>
    <row r="1248" spans="1:10">
      <c r="A1248" s="33" t="s">
        <v>84</v>
      </c>
      <c r="B1248" s="34">
        <v>323.05799999999999</v>
      </c>
      <c r="C1248" s="35">
        <v>17942.099999999999</v>
      </c>
      <c r="D1248" s="33" t="s">
        <v>276</v>
      </c>
      <c r="E1248" s="34">
        <v>323.06400000000002</v>
      </c>
      <c r="F1248" s="36">
        <v>6.00000000002865E-3</v>
      </c>
      <c r="G1248" s="34">
        <v>6.00000000002865E-3</v>
      </c>
      <c r="H1248" s="35">
        <v>149</v>
      </c>
      <c r="I1248" s="37">
        <f t="shared" si="19"/>
        <v>8.3044905557320501E-3</v>
      </c>
      <c r="J1248" s="33"/>
    </row>
    <row r="1249" spans="1:10">
      <c r="A1249" s="33" t="s">
        <v>84</v>
      </c>
      <c r="B1249" s="34">
        <v>323.05799999999999</v>
      </c>
      <c r="C1249" s="35">
        <v>17942.099999999999</v>
      </c>
      <c r="D1249" s="33" t="s">
        <v>240</v>
      </c>
      <c r="E1249" s="34">
        <v>323.07100000000003</v>
      </c>
      <c r="F1249" s="36">
        <v>1.30000000000337E-2</v>
      </c>
      <c r="G1249" s="34">
        <v>1.30000000000337E-2</v>
      </c>
      <c r="H1249" s="35">
        <v>122.3</v>
      </c>
      <c r="I1249" s="37">
        <f t="shared" si="19"/>
        <v>6.8163704360136223E-3</v>
      </c>
      <c r="J1249" s="33"/>
    </row>
    <row r="1250" spans="1:10">
      <c r="A1250" s="33" t="s">
        <v>84</v>
      </c>
      <c r="B1250" s="34">
        <v>323.05799999999999</v>
      </c>
      <c r="C1250" s="35">
        <v>17942.099999999999</v>
      </c>
      <c r="D1250" s="33" t="s">
        <v>290</v>
      </c>
      <c r="E1250" s="34">
        <v>323.07600000000002</v>
      </c>
      <c r="F1250" s="36">
        <v>1.80000000000291E-2</v>
      </c>
      <c r="G1250" s="34">
        <v>1.80000000000291E-2</v>
      </c>
      <c r="H1250" s="35">
        <v>11.3</v>
      </c>
      <c r="I1250" s="37">
        <f t="shared" si="19"/>
        <v>6.2980364617296763E-4</v>
      </c>
      <c r="J1250" s="33"/>
    </row>
    <row r="1251" spans="1:10">
      <c r="A1251" s="33" t="s">
        <v>84</v>
      </c>
      <c r="B1251" s="34">
        <v>323.05799999999999</v>
      </c>
      <c r="C1251" s="35">
        <v>17942.099999999999</v>
      </c>
      <c r="D1251" s="33" t="s">
        <v>275</v>
      </c>
      <c r="E1251" s="34">
        <v>323.07799999999997</v>
      </c>
      <c r="F1251" s="36">
        <v>1.99999999999818E-2</v>
      </c>
      <c r="G1251" s="34">
        <v>1.99999999999818E-2</v>
      </c>
      <c r="H1251" s="35">
        <v>3.3</v>
      </c>
      <c r="I1251" s="37">
        <f t="shared" si="19"/>
        <v>1.8392495861688433E-4</v>
      </c>
      <c r="J1251" s="33"/>
    </row>
    <row r="1252" spans="1:10">
      <c r="A1252" s="33" t="s">
        <v>84</v>
      </c>
      <c r="B1252" s="34">
        <v>323.05799999999999</v>
      </c>
      <c r="C1252" s="35">
        <v>17942.099999999999</v>
      </c>
      <c r="D1252" s="33" t="s">
        <v>193</v>
      </c>
      <c r="E1252" s="34">
        <v>323.08600000000001</v>
      </c>
      <c r="F1252" s="36">
        <v>2.8000000000019998E-2</v>
      </c>
      <c r="G1252" s="34">
        <v>2.8000000000019998E-2</v>
      </c>
      <c r="H1252" s="35">
        <v>16.399999999999999</v>
      </c>
      <c r="I1252" s="37">
        <f t="shared" si="19"/>
        <v>9.1405130948997047E-4</v>
      </c>
      <c r="J1252" s="33"/>
    </row>
    <row r="1253" spans="1:10">
      <c r="A1253" s="33" t="s">
        <v>84</v>
      </c>
      <c r="B1253" s="34">
        <v>323.05799999999999</v>
      </c>
      <c r="C1253" s="35">
        <v>17942.099999999999</v>
      </c>
      <c r="D1253" s="33" t="s">
        <v>271</v>
      </c>
      <c r="E1253" s="34">
        <v>323.08699999999999</v>
      </c>
      <c r="F1253" s="36">
        <v>2.89999999999964E-2</v>
      </c>
      <c r="G1253" s="34">
        <v>2.89999999999964E-2</v>
      </c>
      <c r="H1253" s="35">
        <v>466.2</v>
      </c>
      <c r="I1253" s="37">
        <f t="shared" si="19"/>
        <v>2.598358051733075E-2</v>
      </c>
      <c r="J1253" s="33"/>
    </row>
    <row r="1254" spans="1:10">
      <c r="A1254" s="33" t="s">
        <v>84</v>
      </c>
      <c r="B1254" s="34">
        <v>323.05799999999999</v>
      </c>
      <c r="C1254" s="35">
        <v>17942.099999999999</v>
      </c>
      <c r="D1254" s="33" t="s">
        <v>97</v>
      </c>
      <c r="E1254" s="34">
        <v>323.096</v>
      </c>
      <c r="F1254" s="36">
        <v>3.80000000000109E-2</v>
      </c>
      <c r="G1254" s="34">
        <v>3.80000000000109E-2</v>
      </c>
      <c r="H1254" s="35">
        <v>13.8</v>
      </c>
      <c r="I1254" s="37">
        <f t="shared" si="19"/>
        <v>7.6914073603424362E-4</v>
      </c>
      <c r="J1254" s="33"/>
    </row>
    <row r="1255" spans="1:10">
      <c r="A1255" s="33" t="s">
        <v>84</v>
      </c>
      <c r="B1255" s="34">
        <v>323.05799999999999</v>
      </c>
      <c r="C1255" s="35">
        <v>17942.099999999999</v>
      </c>
      <c r="D1255" s="33" t="s">
        <v>201</v>
      </c>
      <c r="E1255" s="34">
        <v>323.10599999999999</v>
      </c>
      <c r="F1255" s="36">
        <v>4.8000000000001798E-2</v>
      </c>
      <c r="G1255" s="34">
        <v>4.8000000000001798E-2</v>
      </c>
      <c r="H1255" s="35">
        <v>501.7</v>
      </c>
      <c r="I1255" s="37">
        <f t="shared" si="19"/>
        <v>2.7962167193360869E-2</v>
      </c>
      <c r="J1255" s="33"/>
    </row>
    <row r="1256" spans="1:10">
      <c r="A1256" s="33" t="s">
        <v>84</v>
      </c>
      <c r="B1256" s="34">
        <v>323.05799999999999</v>
      </c>
      <c r="C1256" s="35">
        <v>17942.099999999999</v>
      </c>
      <c r="D1256" s="33" t="s">
        <v>116</v>
      </c>
      <c r="E1256" s="34">
        <v>323.11099999999999</v>
      </c>
      <c r="F1256" s="36">
        <v>5.2999999999999999E-2</v>
      </c>
      <c r="G1256" s="34">
        <v>5.2999999999999999E-2</v>
      </c>
      <c r="H1256" s="35">
        <v>23.4</v>
      </c>
      <c r="I1256" s="37">
        <f t="shared" si="19"/>
        <v>1.3041951611015433E-3</v>
      </c>
      <c r="J1256" s="33" t="s">
        <v>116</v>
      </c>
    </row>
    <row r="1257" spans="1:10">
      <c r="A1257" s="33" t="s">
        <v>84</v>
      </c>
      <c r="B1257" s="34">
        <v>323.05799999999999</v>
      </c>
      <c r="C1257" s="35">
        <v>17942.099999999999</v>
      </c>
      <c r="D1257" s="33" t="s">
        <v>25</v>
      </c>
      <c r="E1257" s="34">
        <v>323.12400000000002</v>
      </c>
      <c r="F1257" s="36">
        <v>6.6000000000030895E-2</v>
      </c>
      <c r="G1257" s="34">
        <v>6.6000000000030895E-2</v>
      </c>
      <c r="H1257" s="35">
        <v>951</v>
      </c>
      <c r="I1257" s="37">
        <f t="shared" si="19"/>
        <v>5.300382898322939E-2</v>
      </c>
      <c r="J1257" s="33" t="s">
        <v>116</v>
      </c>
    </row>
    <row r="1258" spans="1:10">
      <c r="A1258" s="33" t="s">
        <v>84</v>
      </c>
      <c r="B1258" s="34">
        <v>323.05799999999999</v>
      </c>
      <c r="C1258" s="35">
        <v>17942.099999999999</v>
      </c>
      <c r="D1258" s="33" t="s">
        <v>237</v>
      </c>
      <c r="E1258" s="34">
        <v>323.13200000000001</v>
      </c>
      <c r="F1258" s="36">
        <v>7.4000000000012306E-2</v>
      </c>
      <c r="G1258" s="34">
        <v>7.4000000000012306E-2</v>
      </c>
      <c r="H1258" s="35">
        <v>940.6</v>
      </c>
      <c r="I1258" s="37">
        <f t="shared" si="19"/>
        <v>5.2424186689406488E-2</v>
      </c>
      <c r="J1258" s="33"/>
    </row>
    <row r="1259" spans="1:10">
      <c r="A1259" s="33" t="s">
        <v>84</v>
      </c>
      <c r="B1259" s="34">
        <v>323.05799999999999</v>
      </c>
      <c r="C1259" s="35">
        <v>17942.099999999999</v>
      </c>
      <c r="D1259" s="33" t="s">
        <v>270</v>
      </c>
      <c r="E1259" s="34">
        <v>323.15199999999999</v>
      </c>
      <c r="F1259" s="36">
        <v>9.3999999999994102E-2</v>
      </c>
      <c r="G1259" s="34">
        <v>9.3999999999994102E-2</v>
      </c>
      <c r="H1259" s="35">
        <v>873.7</v>
      </c>
      <c r="I1259" s="37">
        <f t="shared" si="19"/>
        <v>4.8695526164718742E-2</v>
      </c>
      <c r="J1259" s="33"/>
    </row>
    <row r="1260" spans="1:10">
      <c r="A1260" s="33" t="s">
        <v>84</v>
      </c>
      <c r="B1260" s="34">
        <v>323.05799999999999</v>
      </c>
      <c r="C1260" s="35">
        <v>17942.099999999999</v>
      </c>
      <c r="D1260" s="33" t="s">
        <v>236</v>
      </c>
      <c r="E1260" s="34">
        <v>323.16899999999998</v>
      </c>
      <c r="F1260" s="36">
        <v>0.11099999999999</v>
      </c>
      <c r="G1260" s="34">
        <v>0.11099999999999</v>
      </c>
      <c r="H1260" s="35">
        <v>6751</v>
      </c>
      <c r="I1260" s="37">
        <f t="shared" si="19"/>
        <v>0.37626587746138973</v>
      </c>
      <c r="J1260" s="33"/>
    </row>
    <row r="1261" spans="1:10">
      <c r="A1261" s="33" t="s">
        <v>84</v>
      </c>
      <c r="B1261" s="34">
        <v>323.05799999999999</v>
      </c>
      <c r="C1261" s="35">
        <v>17942.099999999999</v>
      </c>
      <c r="D1261" s="33" t="s">
        <v>304</v>
      </c>
      <c r="E1261" s="34">
        <v>323.17899999999997</v>
      </c>
      <c r="F1261" s="36">
        <v>0.120999999999981</v>
      </c>
      <c r="G1261" s="34">
        <v>0.120999999999981</v>
      </c>
      <c r="H1261" s="35">
        <v>5.2</v>
      </c>
      <c r="I1261" s="37">
        <f t="shared" si="19"/>
        <v>2.8982114691145409E-4</v>
      </c>
      <c r="J1261" s="33"/>
    </row>
    <row r="1262" spans="1:10">
      <c r="A1262" s="33" t="s">
        <v>84</v>
      </c>
      <c r="B1262" s="34">
        <v>323.05799999999999</v>
      </c>
      <c r="C1262" s="35">
        <v>17942.099999999999</v>
      </c>
      <c r="D1262" s="33" t="s">
        <v>270</v>
      </c>
      <c r="E1262" s="34">
        <v>323.19400000000002</v>
      </c>
      <c r="F1262" s="36">
        <v>0.13600000000002399</v>
      </c>
      <c r="G1262" s="34">
        <v>0.13600000000002399</v>
      </c>
      <c r="H1262" s="35">
        <v>436.7</v>
      </c>
      <c r="I1262" s="37">
        <f t="shared" si="19"/>
        <v>2.4339402856967691E-2</v>
      </c>
      <c r="J1262" s="33"/>
    </row>
    <row r="1263" spans="1:10">
      <c r="A1263" s="33" t="s">
        <v>84</v>
      </c>
      <c r="B1263" s="34">
        <v>323.05799999999999</v>
      </c>
      <c r="C1263" s="35">
        <v>17942.099999999999</v>
      </c>
      <c r="D1263" s="33" t="s">
        <v>278</v>
      </c>
      <c r="E1263" s="34">
        <v>323.19499999999999</v>
      </c>
      <c r="F1263" s="36">
        <v>0.13700000000000101</v>
      </c>
      <c r="G1263" s="34">
        <v>0.13700000000000101</v>
      </c>
      <c r="H1263" s="35">
        <v>239.3</v>
      </c>
      <c r="I1263" s="37">
        <f t="shared" si="19"/>
        <v>1.3337346241521339E-2</v>
      </c>
      <c r="J1263" s="33"/>
    </row>
    <row r="1264" spans="1:10">
      <c r="A1264" s="33" t="s">
        <v>84</v>
      </c>
      <c r="B1264" s="34">
        <v>323.05799999999999</v>
      </c>
      <c r="C1264" s="35">
        <v>17942.099999999999</v>
      </c>
      <c r="D1264" s="33" t="s">
        <v>290</v>
      </c>
      <c r="E1264" s="34">
        <v>323.2</v>
      </c>
      <c r="F1264" s="36">
        <v>0.14199999999999599</v>
      </c>
      <c r="G1264" s="34">
        <v>0.14199999999999599</v>
      </c>
      <c r="H1264" s="35">
        <v>25.2</v>
      </c>
      <c r="I1264" s="37">
        <f t="shared" si="19"/>
        <v>1.404517865801662E-3</v>
      </c>
      <c r="J1264" s="33"/>
    </row>
    <row r="1265" spans="1:10">
      <c r="A1265" s="33" t="s">
        <v>84</v>
      </c>
      <c r="B1265" s="34">
        <v>323.05799999999999</v>
      </c>
      <c r="C1265" s="35">
        <v>17942.099999999999</v>
      </c>
      <c r="D1265" s="33" t="s">
        <v>84</v>
      </c>
      <c r="E1265" s="34">
        <v>323.20299999999997</v>
      </c>
      <c r="F1265" s="36">
        <v>0.14499999999999999</v>
      </c>
      <c r="G1265" s="34">
        <v>0.14499999999999999</v>
      </c>
      <c r="H1265" s="35">
        <v>992.1</v>
      </c>
      <c r="I1265" s="37">
        <f t="shared" si="19"/>
        <v>5.529453074054877E-2</v>
      </c>
      <c r="J1265" s="33" t="s">
        <v>116</v>
      </c>
    </row>
    <row r="1266" spans="1:10">
      <c r="A1266" s="33" t="s">
        <v>84</v>
      </c>
      <c r="B1266" s="34">
        <v>323.05799999999999</v>
      </c>
      <c r="C1266" s="35">
        <v>17942.099999999999</v>
      </c>
      <c r="D1266" s="33" t="s">
        <v>284</v>
      </c>
      <c r="E1266" s="34">
        <v>323.20499999999998</v>
      </c>
      <c r="F1266" s="36">
        <v>0.146999999999991</v>
      </c>
      <c r="G1266" s="34">
        <v>0.146999999999991</v>
      </c>
      <c r="H1266" s="35">
        <v>7</v>
      </c>
      <c r="I1266" s="37">
        <f t="shared" si="19"/>
        <v>3.9014385161157279E-4</v>
      </c>
      <c r="J1266" s="33"/>
    </row>
    <row r="1267" spans="1:10">
      <c r="A1267" s="33" t="s">
        <v>84</v>
      </c>
      <c r="B1267" s="34">
        <v>326.47800000000001</v>
      </c>
      <c r="C1267" s="35">
        <v>32274.1</v>
      </c>
      <c r="D1267" s="33" t="s">
        <v>278</v>
      </c>
      <c r="E1267" s="34">
        <v>326.33199999999999</v>
      </c>
      <c r="F1267" s="36">
        <v>0.14600000000001501</v>
      </c>
      <c r="G1267" s="34">
        <v>0.14600000000001501</v>
      </c>
      <c r="H1267" s="35">
        <v>383</v>
      </c>
      <c r="I1267" s="37">
        <f t="shared" si="19"/>
        <v>1.1867100864160426E-2</v>
      </c>
      <c r="J1267" s="33"/>
    </row>
    <row r="1268" spans="1:10">
      <c r="A1268" s="33" t="s">
        <v>84</v>
      </c>
      <c r="B1268" s="34">
        <v>326.47800000000001</v>
      </c>
      <c r="C1268" s="35">
        <v>32274.1</v>
      </c>
      <c r="D1268" s="33" t="s">
        <v>133</v>
      </c>
      <c r="E1268" s="34">
        <v>326.334</v>
      </c>
      <c r="F1268" s="36">
        <v>0.14400000000000601</v>
      </c>
      <c r="G1268" s="34">
        <v>0.14400000000000601</v>
      </c>
      <c r="H1268" s="35">
        <v>27.5</v>
      </c>
      <c r="I1268" s="37">
        <f t="shared" si="19"/>
        <v>8.5207643280525258E-4</v>
      </c>
      <c r="J1268" s="33"/>
    </row>
    <row r="1269" spans="1:10">
      <c r="A1269" s="33" t="s">
        <v>84</v>
      </c>
      <c r="B1269" s="34">
        <v>326.47800000000001</v>
      </c>
      <c r="C1269" s="35">
        <v>32274.1</v>
      </c>
      <c r="D1269" s="33" t="s">
        <v>273</v>
      </c>
      <c r="E1269" s="34">
        <v>326.33600000000001</v>
      </c>
      <c r="F1269" s="36">
        <v>0.14199999999999599</v>
      </c>
      <c r="G1269" s="34">
        <v>0.14199999999999599</v>
      </c>
      <c r="H1269" s="35">
        <v>1583.3</v>
      </c>
      <c r="I1269" s="37">
        <f t="shared" si="19"/>
        <v>4.9057913311292958E-2</v>
      </c>
      <c r="J1269" s="33"/>
    </row>
    <row r="1270" spans="1:10">
      <c r="A1270" s="33" t="s">
        <v>84</v>
      </c>
      <c r="B1270" s="34">
        <v>326.47800000000001</v>
      </c>
      <c r="C1270" s="35">
        <v>32274.1</v>
      </c>
      <c r="D1270" s="33" t="s">
        <v>97</v>
      </c>
      <c r="E1270" s="34">
        <v>326.33699999999999</v>
      </c>
      <c r="F1270" s="36">
        <v>0.14100000000002</v>
      </c>
      <c r="G1270" s="34">
        <v>0.14100000000002</v>
      </c>
      <c r="H1270" s="35">
        <v>0.9</v>
      </c>
      <c r="I1270" s="37">
        <f t="shared" si="19"/>
        <v>2.7886137800899174E-5</v>
      </c>
      <c r="J1270" s="33"/>
    </row>
    <row r="1271" spans="1:10">
      <c r="A1271" s="33" t="s">
        <v>84</v>
      </c>
      <c r="B1271" s="34">
        <v>326.47800000000001</v>
      </c>
      <c r="C1271" s="35">
        <v>32274.1</v>
      </c>
      <c r="D1271" s="33" t="s">
        <v>25</v>
      </c>
      <c r="E1271" s="34">
        <v>326.34500000000003</v>
      </c>
      <c r="F1271" s="36">
        <v>0.13299999999998099</v>
      </c>
      <c r="G1271" s="34">
        <v>0.13299999999998099</v>
      </c>
      <c r="H1271" s="35">
        <v>453.6</v>
      </c>
      <c r="I1271" s="37">
        <f t="shared" si="19"/>
        <v>1.4054613451653184E-2</v>
      </c>
      <c r="J1271" s="33" t="s">
        <v>116</v>
      </c>
    </row>
    <row r="1272" spans="1:10">
      <c r="A1272" s="33" t="s">
        <v>84</v>
      </c>
      <c r="B1272" s="34">
        <v>326.47800000000001</v>
      </c>
      <c r="C1272" s="35">
        <v>32274.1</v>
      </c>
      <c r="D1272" s="33" t="s">
        <v>237</v>
      </c>
      <c r="E1272" s="34">
        <v>326.36799999999999</v>
      </c>
      <c r="F1272" s="36">
        <v>0.110000000000014</v>
      </c>
      <c r="G1272" s="34">
        <v>0.110000000000014</v>
      </c>
      <c r="H1272" s="35">
        <v>715.6</v>
      </c>
      <c r="I1272" s="37">
        <f t="shared" si="19"/>
        <v>2.21725780114705E-2</v>
      </c>
      <c r="J1272" s="33"/>
    </row>
    <row r="1273" spans="1:10">
      <c r="A1273" s="33" t="s">
        <v>84</v>
      </c>
      <c r="B1273" s="34">
        <v>326.47800000000001</v>
      </c>
      <c r="C1273" s="35">
        <v>32274.1</v>
      </c>
      <c r="D1273" s="33" t="s">
        <v>275</v>
      </c>
      <c r="E1273" s="34">
        <v>326.38299999999998</v>
      </c>
      <c r="F1273" s="36">
        <v>9.5000000000027299E-2</v>
      </c>
      <c r="G1273" s="34">
        <v>9.5000000000027299E-2</v>
      </c>
      <c r="H1273" s="35">
        <v>13.1</v>
      </c>
      <c r="I1273" s="37">
        <f t="shared" si="19"/>
        <v>4.0589822799086574E-4</v>
      </c>
      <c r="J1273" s="33"/>
    </row>
    <row r="1274" spans="1:10">
      <c r="A1274" s="33" t="s">
        <v>84</v>
      </c>
      <c r="B1274" s="34">
        <v>326.47800000000001</v>
      </c>
      <c r="C1274" s="35">
        <v>32274.1</v>
      </c>
      <c r="D1274" s="33" t="s">
        <v>201</v>
      </c>
      <c r="E1274" s="34">
        <v>326.387</v>
      </c>
      <c r="F1274" s="36">
        <v>9.1000000000008199E-2</v>
      </c>
      <c r="G1274" s="34">
        <v>9.1000000000008199E-2</v>
      </c>
      <c r="H1274" s="35">
        <v>1166</v>
      </c>
      <c r="I1274" s="37">
        <f t="shared" si="19"/>
        <v>3.6128040750942711E-2</v>
      </c>
      <c r="J1274" s="33"/>
    </row>
    <row r="1275" spans="1:10">
      <c r="A1275" s="33" t="s">
        <v>84</v>
      </c>
      <c r="B1275" s="34">
        <v>326.47800000000001</v>
      </c>
      <c r="C1275" s="35">
        <v>32274.1</v>
      </c>
      <c r="D1275" s="33" t="s">
        <v>25</v>
      </c>
      <c r="E1275" s="34">
        <v>326.38799999999998</v>
      </c>
      <c r="F1275" s="36">
        <v>9.0000000000031805E-2</v>
      </c>
      <c r="G1275" s="34">
        <v>9.0000000000031805E-2</v>
      </c>
      <c r="H1275" s="35">
        <v>512.29999999999995</v>
      </c>
      <c r="I1275" s="37">
        <f t="shared" si="19"/>
        <v>1.587340932822294E-2</v>
      </c>
      <c r="J1275" s="33" t="s">
        <v>116</v>
      </c>
    </row>
    <row r="1276" spans="1:10">
      <c r="A1276" s="33" t="s">
        <v>84</v>
      </c>
      <c r="B1276" s="34">
        <v>326.47800000000001</v>
      </c>
      <c r="C1276" s="35">
        <v>32274.1</v>
      </c>
      <c r="D1276" s="33" t="s">
        <v>271</v>
      </c>
      <c r="E1276" s="34">
        <v>326.41199999999998</v>
      </c>
      <c r="F1276" s="36">
        <v>6.6000000000030895E-2</v>
      </c>
      <c r="G1276" s="34">
        <v>6.6000000000030895E-2</v>
      </c>
      <c r="H1276" s="35">
        <v>205.1</v>
      </c>
      <c r="I1276" s="37">
        <f t="shared" si="19"/>
        <v>6.3549409588493557E-3</v>
      </c>
      <c r="J1276" s="33"/>
    </row>
    <row r="1277" spans="1:10">
      <c r="A1277" s="33" t="s">
        <v>84</v>
      </c>
      <c r="B1277" s="34">
        <v>326.47800000000001</v>
      </c>
      <c r="C1277" s="35">
        <v>32274.1</v>
      </c>
      <c r="D1277" s="33" t="s">
        <v>239</v>
      </c>
      <c r="E1277" s="34">
        <v>326.42700000000002</v>
      </c>
      <c r="F1277" s="36">
        <v>5.0999999999987701E-2</v>
      </c>
      <c r="G1277" s="34">
        <v>5.0999999999987701E-2</v>
      </c>
      <c r="H1277" s="35">
        <v>86.7</v>
      </c>
      <c r="I1277" s="37">
        <f t="shared" si="19"/>
        <v>2.6863646081532874E-3</v>
      </c>
      <c r="J1277" s="33"/>
    </row>
    <row r="1278" spans="1:10">
      <c r="A1278" s="33" t="s">
        <v>84</v>
      </c>
      <c r="B1278" s="34">
        <v>326.47800000000001</v>
      </c>
      <c r="C1278" s="35">
        <v>32274.1</v>
      </c>
      <c r="D1278" s="33" t="s">
        <v>282</v>
      </c>
      <c r="E1278" s="34">
        <v>326.43</v>
      </c>
      <c r="F1278" s="36">
        <v>4.8000000000001798E-2</v>
      </c>
      <c r="G1278" s="34">
        <v>4.8000000000001798E-2</v>
      </c>
      <c r="H1278" s="35">
        <v>48</v>
      </c>
      <c r="I1278" s="37">
        <f t="shared" si="19"/>
        <v>1.4872606827146227E-3</v>
      </c>
      <c r="J1278" s="33"/>
    </row>
    <row r="1279" spans="1:10">
      <c r="A1279" s="33" t="s">
        <v>84</v>
      </c>
      <c r="B1279" s="34">
        <v>326.47800000000001</v>
      </c>
      <c r="C1279" s="35">
        <v>32274.1</v>
      </c>
      <c r="D1279" s="33" t="s">
        <v>165</v>
      </c>
      <c r="E1279" s="34">
        <v>326.43599999999998</v>
      </c>
      <c r="F1279" s="36">
        <v>4.2000000000029999E-2</v>
      </c>
      <c r="G1279" s="34">
        <v>4.2000000000029999E-2</v>
      </c>
      <c r="H1279" s="35">
        <v>2.6</v>
      </c>
      <c r="I1279" s="37">
        <f t="shared" si="19"/>
        <v>8.0559953647042057E-5</v>
      </c>
      <c r="J1279" s="33"/>
    </row>
    <row r="1280" spans="1:10">
      <c r="A1280" s="33" t="s">
        <v>84</v>
      </c>
      <c r="B1280" s="34">
        <v>326.47800000000001</v>
      </c>
      <c r="C1280" s="35">
        <v>32274.1</v>
      </c>
      <c r="D1280" s="33" t="s">
        <v>275</v>
      </c>
      <c r="E1280" s="34">
        <v>326.44</v>
      </c>
      <c r="F1280" s="36">
        <v>3.80000000000109E-2</v>
      </c>
      <c r="G1280" s="34">
        <v>3.80000000000109E-2</v>
      </c>
      <c r="H1280" s="35">
        <v>102.2</v>
      </c>
      <c r="I1280" s="37">
        <f t="shared" si="19"/>
        <v>3.1666258702798839E-3</v>
      </c>
      <c r="J1280" s="33"/>
    </row>
    <row r="1281" spans="1:10">
      <c r="A1281" s="33" t="s">
        <v>84</v>
      </c>
      <c r="B1281" s="34">
        <v>326.47800000000001</v>
      </c>
      <c r="C1281" s="35">
        <v>32274.1</v>
      </c>
      <c r="D1281" s="33" t="s">
        <v>271</v>
      </c>
      <c r="E1281" s="34">
        <v>326.44299999999998</v>
      </c>
      <c r="F1281" s="36">
        <v>3.5000000000024997E-2</v>
      </c>
      <c r="G1281" s="34">
        <v>3.5000000000024997E-2</v>
      </c>
      <c r="H1281" s="35">
        <v>326.89999999999998</v>
      </c>
      <c r="I1281" s="37">
        <f t="shared" si="19"/>
        <v>1.0128864941237711E-2</v>
      </c>
      <c r="J1281" s="33"/>
    </row>
    <row r="1282" spans="1:10">
      <c r="A1282" s="33" t="s">
        <v>84</v>
      </c>
      <c r="B1282" s="34">
        <v>326.47800000000001</v>
      </c>
      <c r="C1282" s="35">
        <v>32274.1</v>
      </c>
      <c r="D1282" s="33" t="s">
        <v>97</v>
      </c>
      <c r="E1282" s="34">
        <v>326.45100000000002</v>
      </c>
      <c r="F1282" s="36">
        <v>2.6999999999986798E-2</v>
      </c>
      <c r="G1282" s="34">
        <v>2.6999999999986798E-2</v>
      </c>
      <c r="H1282" s="35">
        <v>3.2</v>
      </c>
      <c r="I1282" s="37">
        <f t="shared" ref="I1282:I1345" si="20">H1282/C1282</f>
        <v>9.9150712180974849E-5</v>
      </c>
      <c r="J1282" s="33"/>
    </row>
    <row r="1283" spans="1:10">
      <c r="A1283" s="33" t="s">
        <v>84</v>
      </c>
      <c r="B1283" s="34">
        <v>326.47800000000001</v>
      </c>
      <c r="C1283" s="35">
        <v>32274.1</v>
      </c>
      <c r="D1283" s="33" t="s">
        <v>273</v>
      </c>
      <c r="E1283" s="34">
        <v>326.45999999999998</v>
      </c>
      <c r="F1283" s="36">
        <v>1.80000000000291E-2</v>
      </c>
      <c r="G1283" s="34">
        <v>1.80000000000291E-2</v>
      </c>
      <c r="H1283" s="35">
        <v>59.7</v>
      </c>
      <c r="I1283" s="37">
        <f t="shared" si="20"/>
        <v>1.8497804741263121E-3</v>
      </c>
      <c r="J1283" s="33"/>
    </row>
    <row r="1284" spans="1:10">
      <c r="A1284" s="33" t="s">
        <v>84</v>
      </c>
      <c r="B1284" s="34">
        <v>326.47800000000001</v>
      </c>
      <c r="C1284" s="35">
        <v>32274.1</v>
      </c>
      <c r="D1284" s="33" t="s">
        <v>97</v>
      </c>
      <c r="E1284" s="34">
        <v>326.47000000000003</v>
      </c>
      <c r="F1284" s="36">
        <v>7.9999999999813606E-3</v>
      </c>
      <c r="G1284" s="34">
        <v>7.9999999999813606E-3</v>
      </c>
      <c r="H1284" s="35">
        <v>1.3</v>
      </c>
      <c r="I1284" s="37">
        <f t="shared" si="20"/>
        <v>4.0279976823521029E-5</v>
      </c>
      <c r="J1284" s="33"/>
    </row>
    <row r="1285" spans="1:10">
      <c r="A1285" s="33" t="s">
        <v>84</v>
      </c>
      <c r="B1285" s="34">
        <v>326.47800000000001</v>
      </c>
      <c r="C1285" s="35">
        <v>32274.1</v>
      </c>
      <c r="D1285" s="33" t="s">
        <v>240</v>
      </c>
      <c r="E1285" s="34">
        <v>326.471</v>
      </c>
      <c r="F1285" s="36">
        <v>7.0000000000049996E-3</v>
      </c>
      <c r="G1285" s="34">
        <v>7.0000000000049996E-3</v>
      </c>
      <c r="H1285" s="35">
        <v>103.2</v>
      </c>
      <c r="I1285" s="37">
        <f t="shared" si="20"/>
        <v>3.1976104678364389E-3</v>
      </c>
      <c r="J1285" s="33"/>
    </row>
    <row r="1286" spans="1:10">
      <c r="A1286" s="33" t="s">
        <v>84</v>
      </c>
      <c r="B1286" s="34">
        <v>326.47800000000001</v>
      </c>
      <c r="C1286" s="35">
        <v>32274.1</v>
      </c>
      <c r="D1286" s="33" t="s">
        <v>236</v>
      </c>
      <c r="E1286" s="34">
        <v>326.48099999999999</v>
      </c>
      <c r="F1286" s="36">
        <v>2.9999999999858998E-3</v>
      </c>
      <c r="G1286" s="34">
        <v>2.9999999999858998E-3</v>
      </c>
      <c r="H1286" s="35">
        <v>616</v>
      </c>
      <c r="I1286" s="37">
        <f t="shared" si="20"/>
        <v>1.9086512094837658E-2</v>
      </c>
      <c r="J1286" s="33"/>
    </row>
    <row r="1287" spans="1:10">
      <c r="A1287" s="33" t="s">
        <v>84</v>
      </c>
      <c r="B1287" s="34">
        <v>326.47800000000001</v>
      </c>
      <c r="C1287" s="35">
        <v>32274.1</v>
      </c>
      <c r="D1287" s="33" t="s">
        <v>54</v>
      </c>
      <c r="E1287" s="34">
        <v>326.48399999999998</v>
      </c>
      <c r="F1287" s="36">
        <v>5.99999999997181E-3</v>
      </c>
      <c r="G1287" s="34">
        <v>5.99999999997181E-3</v>
      </c>
      <c r="H1287" s="35">
        <v>19.399999999999999</v>
      </c>
      <c r="I1287" s="37">
        <f t="shared" si="20"/>
        <v>6.0110119259715994E-4</v>
      </c>
      <c r="J1287" s="33"/>
    </row>
    <row r="1288" spans="1:10">
      <c r="A1288" s="33" t="s">
        <v>84</v>
      </c>
      <c r="B1288" s="34">
        <v>326.47800000000001</v>
      </c>
      <c r="C1288" s="35">
        <v>32274.1</v>
      </c>
      <c r="D1288" s="33" t="s">
        <v>201</v>
      </c>
      <c r="E1288" s="34">
        <v>326.49</v>
      </c>
      <c r="F1288" s="36">
        <v>1.20000000000005E-2</v>
      </c>
      <c r="G1288" s="34">
        <v>1.20000000000005E-2</v>
      </c>
      <c r="H1288" s="35">
        <v>817.6</v>
      </c>
      <c r="I1288" s="37">
        <f t="shared" si="20"/>
        <v>2.5333006962239071E-2</v>
      </c>
      <c r="J1288" s="33"/>
    </row>
    <row r="1289" spans="1:10">
      <c r="A1289" s="33" t="s">
        <v>84</v>
      </c>
      <c r="B1289" s="34">
        <v>326.47800000000001</v>
      </c>
      <c r="C1289" s="35">
        <v>32274.1</v>
      </c>
      <c r="D1289" s="33" t="s">
        <v>270</v>
      </c>
      <c r="E1289" s="34">
        <v>326.49400000000003</v>
      </c>
      <c r="F1289" s="36">
        <v>1.6000000000019599E-2</v>
      </c>
      <c r="G1289" s="34">
        <v>1.6000000000019599E-2</v>
      </c>
      <c r="H1289" s="35">
        <v>1151.0999999999999</v>
      </c>
      <c r="I1289" s="37">
        <f t="shared" si="20"/>
        <v>3.5666370247350039E-2</v>
      </c>
      <c r="J1289" s="33"/>
    </row>
    <row r="1290" spans="1:10">
      <c r="A1290" s="33" t="s">
        <v>84</v>
      </c>
      <c r="B1290" s="34">
        <v>326.47800000000001</v>
      </c>
      <c r="C1290" s="35">
        <v>32274.1</v>
      </c>
      <c r="D1290" s="33" t="s">
        <v>97</v>
      </c>
      <c r="E1290" s="34">
        <v>326.505</v>
      </c>
      <c r="F1290" s="36">
        <v>2.6999999999986798E-2</v>
      </c>
      <c r="G1290" s="34">
        <v>2.6999999999986798E-2</v>
      </c>
      <c r="H1290" s="35">
        <v>44</v>
      </c>
      <c r="I1290" s="37">
        <f t="shared" si="20"/>
        <v>1.3633222924884041E-3</v>
      </c>
      <c r="J1290" s="33"/>
    </row>
    <row r="1291" spans="1:10">
      <c r="A1291" s="33" t="s">
        <v>84</v>
      </c>
      <c r="B1291" s="34">
        <v>326.47800000000001</v>
      </c>
      <c r="C1291" s="35">
        <v>32274.1</v>
      </c>
      <c r="D1291" s="33" t="s">
        <v>276</v>
      </c>
      <c r="E1291" s="34">
        <v>326.51</v>
      </c>
      <c r="F1291" s="36">
        <v>3.19999999999823E-2</v>
      </c>
      <c r="G1291" s="34">
        <v>3.19999999999823E-2</v>
      </c>
      <c r="H1291" s="35">
        <v>44</v>
      </c>
      <c r="I1291" s="37">
        <f t="shared" si="20"/>
        <v>1.3633222924884041E-3</v>
      </c>
      <c r="J1291" s="33"/>
    </row>
    <row r="1292" spans="1:10">
      <c r="A1292" s="33" t="s">
        <v>84</v>
      </c>
      <c r="B1292" s="34">
        <v>326.47800000000001</v>
      </c>
      <c r="C1292" s="35">
        <v>32274.1</v>
      </c>
      <c r="D1292" s="33" t="s">
        <v>27</v>
      </c>
      <c r="E1292" s="34">
        <v>326.512</v>
      </c>
      <c r="F1292" s="36">
        <v>3.3999999999991801E-2</v>
      </c>
      <c r="G1292" s="34">
        <v>3.3999999999991801E-2</v>
      </c>
      <c r="H1292" s="35">
        <v>703.7</v>
      </c>
      <c r="I1292" s="37">
        <f t="shared" si="20"/>
        <v>2.1803861300547501E-2</v>
      </c>
      <c r="J1292" s="33" t="s">
        <v>116</v>
      </c>
    </row>
    <row r="1293" spans="1:10">
      <c r="A1293" s="33" t="s">
        <v>84</v>
      </c>
      <c r="B1293" s="34">
        <v>326.47800000000001</v>
      </c>
      <c r="C1293" s="35">
        <v>32274.1</v>
      </c>
      <c r="D1293" s="33" t="s">
        <v>275</v>
      </c>
      <c r="E1293" s="34">
        <v>326.51400000000001</v>
      </c>
      <c r="F1293" s="36">
        <v>3.6000000000001399E-2</v>
      </c>
      <c r="G1293" s="34">
        <v>3.6000000000001399E-2</v>
      </c>
      <c r="H1293" s="35">
        <v>25.8</v>
      </c>
      <c r="I1293" s="37">
        <f t="shared" si="20"/>
        <v>7.9940261695910972E-4</v>
      </c>
      <c r="J1293" s="33"/>
    </row>
    <row r="1294" spans="1:10">
      <c r="A1294" s="33" t="s">
        <v>84</v>
      </c>
      <c r="B1294" s="34">
        <v>326.47800000000001</v>
      </c>
      <c r="C1294" s="35">
        <v>32274.1</v>
      </c>
      <c r="D1294" s="33" t="s">
        <v>269</v>
      </c>
      <c r="E1294" s="34">
        <v>326.52699999999999</v>
      </c>
      <c r="F1294" s="36">
        <v>4.89999999999782E-2</v>
      </c>
      <c r="G1294" s="34">
        <v>4.89999999999782E-2</v>
      </c>
      <c r="H1294" s="35">
        <v>28.1</v>
      </c>
      <c r="I1294" s="37">
        <f t="shared" si="20"/>
        <v>8.7066719133918537E-4</v>
      </c>
      <c r="J1294" s="33"/>
    </row>
    <row r="1295" spans="1:10">
      <c r="A1295" s="33" t="s">
        <v>84</v>
      </c>
      <c r="B1295" s="34">
        <v>326.47800000000001</v>
      </c>
      <c r="C1295" s="35">
        <v>32274.1</v>
      </c>
      <c r="D1295" s="33" t="s">
        <v>239</v>
      </c>
      <c r="E1295" s="34">
        <v>326.53399999999999</v>
      </c>
      <c r="F1295" s="36">
        <v>5.5999999999983202E-2</v>
      </c>
      <c r="G1295" s="34">
        <v>5.5999999999983202E-2</v>
      </c>
      <c r="H1295" s="35">
        <v>1.3</v>
      </c>
      <c r="I1295" s="37">
        <f t="shared" si="20"/>
        <v>4.0279976823521029E-5</v>
      </c>
      <c r="J1295" s="33"/>
    </row>
    <row r="1296" spans="1:10">
      <c r="A1296" s="33" t="s">
        <v>84</v>
      </c>
      <c r="B1296" s="34">
        <v>326.47800000000001</v>
      </c>
      <c r="C1296" s="35">
        <v>32274.1</v>
      </c>
      <c r="D1296" s="33" t="s">
        <v>54</v>
      </c>
      <c r="E1296" s="34">
        <v>326.53500000000003</v>
      </c>
      <c r="F1296" s="36">
        <v>5.7000000000016399E-2</v>
      </c>
      <c r="G1296" s="34">
        <v>5.7000000000016399E-2</v>
      </c>
      <c r="H1296" s="35">
        <v>9</v>
      </c>
      <c r="I1296" s="37">
        <f t="shared" si="20"/>
        <v>2.7886137800899177E-4</v>
      </c>
      <c r="J1296" s="33"/>
    </row>
    <row r="1297" spans="1:10">
      <c r="A1297" s="33" t="s">
        <v>84</v>
      </c>
      <c r="B1297" s="34">
        <v>326.47800000000001</v>
      </c>
      <c r="C1297" s="35">
        <v>32274.1</v>
      </c>
      <c r="D1297" s="33" t="s">
        <v>27</v>
      </c>
      <c r="E1297" s="34">
        <v>326.53699999999998</v>
      </c>
      <c r="F1297" s="36">
        <v>5.8999999999969098E-2</v>
      </c>
      <c r="G1297" s="34">
        <v>5.8999999999969098E-2</v>
      </c>
      <c r="H1297" s="35">
        <v>267.2</v>
      </c>
      <c r="I1297" s="37">
        <f t="shared" si="20"/>
        <v>8.279084467111399E-3</v>
      </c>
      <c r="J1297" s="33" t="s">
        <v>116</v>
      </c>
    </row>
    <row r="1298" spans="1:10">
      <c r="A1298" s="33" t="s">
        <v>84</v>
      </c>
      <c r="B1298" s="34">
        <v>326.47800000000001</v>
      </c>
      <c r="C1298" s="35">
        <v>32274.1</v>
      </c>
      <c r="D1298" s="33" t="s">
        <v>25</v>
      </c>
      <c r="E1298" s="34">
        <v>326.54199999999997</v>
      </c>
      <c r="F1298" s="36">
        <v>6.3999999999964502E-2</v>
      </c>
      <c r="G1298" s="34">
        <v>6.3999999999964502E-2</v>
      </c>
      <c r="H1298" s="35">
        <v>245.7</v>
      </c>
      <c r="I1298" s="37">
        <f t="shared" si="20"/>
        <v>7.6129156196454743E-3</v>
      </c>
      <c r="J1298" s="33" t="s">
        <v>116</v>
      </c>
    </row>
    <row r="1299" spans="1:10">
      <c r="A1299" s="33" t="s">
        <v>84</v>
      </c>
      <c r="B1299" s="34">
        <v>326.47800000000001</v>
      </c>
      <c r="C1299" s="35">
        <v>32274.1</v>
      </c>
      <c r="D1299" s="33" t="s">
        <v>193</v>
      </c>
      <c r="E1299" s="34">
        <v>326.55099999999999</v>
      </c>
      <c r="F1299" s="36">
        <v>7.2999999999979095E-2</v>
      </c>
      <c r="G1299" s="34">
        <v>7.2999999999979095E-2</v>
      </c>
      <c r="H1299" s="35">
        <v>188.1</v>
      </c>
      <c r="I1299" s="37">
        <f t="shared" si="20"/>
        <v>5.8282028003879272E-3</v>
      </c>
      <c r="J1299" s="33"/>
    </row>
    <row r="1300" spans="1:10">
      <c r="A1300" s="33" t="s">
        <v>84</v>
      </c>
      <c r="B1300" s="34">
        <v>326.47800000000001</v>
      </c>
      <c r="C1300" s="35">
        <v>32274.1</v>
      </c>
      <c r="D1300" s="33" t="s">
        <v>271</v>
      </c>
      <c r="E1300" s="34">
        <v>326.55799999999999</v>
      </c>
      <c r="F1300" s="36">
        <v>7.9999999999984098E-2</v>
      </c>
      <c r="G1300" s="34">
        <v>7.9999999999984098E-2</v>
      </c>
      <c r="H1300" s="35">
        <v>359.6</v>
      </c>
      <c r="I1300" s="37">
        <f t="shared" si="20"/>
        <v>1.1142061281337049E-2</v>
      </c>
      <c r="J1300" s="33"/>
    </row>
    <row r="1301" spans="1:10">
      <c r="A1301" s="33" t="s">
        <v>84</v>
      </c>
      <c r="B1301" s="34">
        <v>326.47800000000001</v>
      </c>
      <c r="C1301" s="35">
        <v>32274.1</v>
      </c>
      <c r="D1301" s="33" t="s">
        <v>97</v>
      </c>
      <c r="E1301" s="34">
        <v>326.56200000000001</v>
      </c>
      <c r="F1301" s="36">
        <v>8.4000000000003197E-2</v>
      </c>
      <c r="G1301" s="34">
        <v>8.4000000000003197E-2</v>
      </c>
      <c r="H1301" s="35">
        <v>36.1</v>
      </c>
      <c r="I1301" s="37">
        <f t="shared" si="20"/>
        <v>1.1185439717916225E-3</v>
      </c>
      <c r="J1301" s="33"/>
    </row>
    <row r="1302" spans="1:10">
      <c r="A1302" s="33" t="s">
        <v>84</v>
      </c>
      <c r="B1302" s="34">
        <v>326.47800000000001</v>
      </c>
      <c r="C1302" s="35">
        <v>32274.1</v>
      </c>
      <c r="D1302" s="33" t="s">
        <v>133</v>
      </c>
      <c r="E1302" s="34">
        <v>326.56700000000001</v>
      </c>
      <c r="F1302" s="36">
        <v>8.8999999999998594E-2</v>
      </c>
      <c r="G1302" s="34">
        <v>8.8999999999998594E-2</v>
      </c>
      <c r="H1302" s="35">
        <v>12257.9</v>
      </c>
      <c r="I1302" s="37">
        <f t="shared" si="20"/>
        <v>0.37980609838849111</v>
      </c>
      <c r="J1302" s="33"/>
    </row>
    <row r="1303" spans="1:10">
      <c r="A1303" s="33" t="s">
        <v>84</v>
      </c>
      <c r="B1303" s="34">
        <v>326.47800000000001</v>
      </c>
      <c r="C1303" s="35">
        <v>32274.1</v>
      </c>
      <c r="D1303" s="33" t="s">
        <v>277</v>
      </c>
      <c r="E1303" s="34">
        <v>326.57900000000001</v>
      </c>
      <c r="F1303" s="36">
        <v>0.10099999999999899</v>
      </c>
      <c r="G1303" s="34">
        <v>0.10099999999999899</v>
      </c>
      <c r="H1303" s="35">
        <v>438.3</v>
      </c>
      <c r="I1303" s="37">
        <f t="shared" si="20"/>
        <v>1.3580549109037898E-2</v>
      </c>
      <c r="J1303" s="33"/>
    </row>
    <row r="1304" spans="1:10">
      <c r="A1304" s="33" t="s">
        <v>84</v>
      </c>
      <c r="B1304" s="34">
        <v>326.47800000000001</v>
      </c>
      <c r="C1304" s="35">
        <v>32274.1</v>
      </c>
      <c r="D1304" s="33" t="s">
        <v>278</v>
      </c>
      <c r="E1304" s="34">
        <v>326.58800000000002</v>
      </c>
      <c r="F1304" s="36">
        <v>0.110000000000014</v>
      </c>
      <c r="G1304" s="34">
        <v>0.110000000000014</v>
      </c>
      <c r="H1304" s="35">
        <v>898.6</v>
      </c>
      <c r="I1304" s="37">
        <f t="shared" si="20"/>
        <v>2.7842759364319999E-2</v>
      </c>
      <c r="J1304" s="33"/>
    </row>
    <row r="1305" spans="1:10">
      <c r="A1305" s="33" t="s">
        <v>84</v>
      </c>
      <c r="B1305" s="34">
        <v>326.47800000000001</v>
      </c>
      <c r="C1305" s="35">
        <v>32274.1</v>
      </c>
      <c r="D1305" s="33" t="s">
        <v>273</v>
      </c>
      <c r="E1305" s="34">
        <v>326.59699999999998</v>
      </c>
      <c r="F1305" s="36">
        <v>0.118999999999971</v>
      </c>
      <c r="G1305" s="34">
        <v>0.118999999999971</v>
      </c>
      <c r="H1305" s="35">
        <v>17.8</v>
      </c>
      <c r="I1305" s="37">
        <f t="shared" si="20"/>
        <v>5.5152583650667261E-4</v>
      </c>
      <c r="J1305" s="33"/>
    </row>
    <row r="1306" spans="1:10">
      <c r="A1306" s="33" t="s">
        <v>84</v>
      </c>
      <c r="B1306" s="34">
        <v>337.27499999999998</v>
      </c>
      <c r="C1306" s="35">
        <v>3921.8</v>
      </c>
      <c r="D1306" s="33" t="s">
        <v>237</v>
      </c>
      <c r="E1306" s="34">
        <v>337.14499999999998</v>
      </c>
      <c r="F1306" s="36">
        <v>0.12999999999999601</v>
      </c>
      <c r="G1306" s="34">
        <v>0.12999999999999601</v>
      </c>
      <c r="H1306" s="35">
        <v>1635.8</v>
      </c>
      <c r="I1306" s="37">
        <f t="shared" si="20"/>
        <v>0.41710439084094036</v>
      </c>
      <c r="J1306" s="33"/>
    </row>
    <row r="1307" spans="1:10">
      <c r="A1307" s="33" t="s">
        <v>84</v>
      </c>
      <c r="B1307" s="34">
        <v>337.27499999999998</v>
      </c>
      <c r="C1307" s="35">
        <v>3921.8</v>
      </c>
      <c r="D1307" s="33" t="s">
        <v>201</v>
      </c>
      <c r="E1307" s="34">
        <v>337.15</v>
      </c>
      <c r="F1307" s="36">
        <v>0.125</v>
      </c>
      <c r="G1307" s="34">
        <v>0.125</v>
      </c>
      <c r="H1307" s="35">
        <v>893.1</v>
      </c>
      <c r="I1307" s="37">
        <f t="shared" si="20"/>
        <v>0.22772706410321791</v>
      </c>
      <c r="J1307" s="33"/>
    </row>
    <row r="1308" spans="1:10">
      <c r="A1308" s="33" t="s">
        <v>84</v>
      </c>
      <c r="B1308" s="34">
        <v>337.27499999999998</v>
      </c>
      <c r="C1308" s="35">
        <v>3921.8</v>
      </c>
      <c r="D1308" s="33" t="s">
        <v>193</v>
      </c>
      <c r="E1308" s="34">
        <v>337.15300000000002</v>
      </c>
      <c r="F1308" s="36">
        <v>0.121999999999957</v>
      </c>
      <c r="G1308" s="34">
        <v>0.121999999999957</v>
      </c>
      <c r="H1308" s="35">
        <v>95.8</v>
      </c>
      <c r="I1308" s="37">
        <f t="shared" si="20"/>
        <v>2.442755877403233E-2</v>
      </c>
      <c r="J1308" s="33"/>
    </row>
    <row r="1309" spans="1:10">
      <c r="A1309" s="33" t="s">
        <v>84</v>
      </c>
      <c r="B1309" s="34">
        <v>337.27499999999998</v>
      </c>
      <c r="C1309" s="35">
        <v>3921.8</v>
      </c>
      <c r="D1309" s="33" t="s">
        <v>33</v>
      </c>
      <c r="E1309" s="34">
        <v>337.16899999999998</v>
      </c>
      <c r="F1309" s="36">
        <v>0.105999999999995</v>
      </c>
      <c r="G1309" s="34">
        <v>0.105999999999995</v>
      </c>
      <c r="H1309" s="35">
        <v>607.70000000000005</v>
      </c>
      <c r="I1309" s="37">
        <f t="shared" si="20"/>
        <v>0.15495435769289612</v>
      </c>
      <c r="J1309" s="33" t="s">
        <v>116</v>
      </c>
    </row>
    <row r="1310" spans="1:10">
      <c r="A1310" s="33" t="s">
        <v>84</v>
      </c>
      <c r="B1310" s="34">
        <v>337.27499999999998</v>
      </c>
      <c r="C1310" s="35">
        <v>3921.8</v>
      </c>
      <c r="D1310" s="33" t="s">
        <v>275</v>
      </c>
      <c r="E1310" s="34">
        <v>337.17</v>
      </c>
      <c r="F1310" s="36">
        <v>0.104999999999961</v>
      </c>
      <c r="G1310" s="34">
        <v>0.104999999999961</v>
      </c>
      <c r="H1310" s="35">
        <v>49.2</v>
      </c>
      <c r="I1310" s="37">
        <f t="shared" si="20"/>
        <v>1.2545259829670049E-2</v>
      </c>
      <c r="J1310" s="33"/>
    </row>
    <row r="1311" spans="1:10">
      <c r="A1311" s="33" t="s">
        <v>84</v>
      </c>
      <c r="B1311" s="34">
        <v>337.27499999999998</v>
      </c>
      <c r="C1311" s="35">
        <v>3921.8</v>
      </c>
      <c r="D1311" s="33" t="s">
        <v>271</v>
      </c>
      <c r="E1311" s="34">
        <v>337.18</v>
      </c>
      <c r="F1311" s="36">
        <v>9.49999999999704E-2</v>
      </c>
      <c r="G1311" s="34">
        <v>9.49999999999704E-2</v>
      </c>
      <c r="H1311" s="35">
        <v>642.5</v>
      </c>
      <c r="I1311" s="37">
        <f t="shared" si="20"/>
        <v>0.16382783415778468</v>
      </c>
      <c r="J1311" s="33"/>
    </row>
    <row r="1312" spans="1:10">
      <c r="A1312" s="33" t="s">
        <v>84</v>
      </c>
      <c r="B1312" s="34">
        <v>337.27499999999998</v>
      </c>
      <c r="C1312" s="35">
        <v>3921.8</v>
      </c>
      <c r="D1312" s="33" t="s">
        <v>268</v>
      </c>
      <c r="E1312" s="34">
        <v>337.18599999999998</v>
      </c>
      <c r="F1312" s="36">
        <v>8.8999999999998594E-2</v>
      </c>
      <c r="G1312" s="34">
        <v>8.8999999999998594E-2</v>
      </c>
      <c r="H1312" s="35">
        <v>16.600000000000001</v>
      </c>
      <c r="I1312" s="37">
        <f t="shared" si="20"/>
        <v>4.2327502677342041E-3</v>
      </c>
      <c r="J1312" s="33"/>
    </row>
    <row r="1313" spans="1:10">
      <c r="A1313" s="33" t="s">
        <v>84</v>
      </c>
      <c r="B1313" s="34">
        <v>337.27499999999998</v>
      </c>
      <c r="C1313" s="35">
        <v>3921.8</v>
      </c>
      <c r="D1313" s="33" t="s">
        <v>165</v>
      </c>
      <c r="E1313" s="34">
        <v>337.19799999999998</v>
      </c>
      <c r="F1313" s="36">
        <v>7.6999999999998195E-2</v>
      </c>
      <c r="G1313" s="34">
        <v>7.6999999999998195E-2</v>
      </c>
      <c r="H1313" s="35">
        <v>177.5</v>
      </c>
      <c r="I1313" s="37">
        <f t="shared" si="20"/>
        <v>4.5259829670049462E-2</v>
      </c>
      <c r="J1313" s="33"/>
    </row>
    <row r="1314" spans="1:10">
      <c r="A1314" s="33" t="s">
        <v>84</v>
      </c>
      <c r="B1314" s="34">
        <v>337.27499999999998</v>
      </c>
      <c r="C1314" s="35">
        <v>3921.8</v>
      </c>
      <c r="D1314" s="33" t="s">
        <v>277</v>
      </c>
      <c r="E1314" s="34">
        <v>337.2</v>
      </c>
      <c r="F1314" s="36">
        <v>7.4999999999988604E-2</v>
      </c>
      <c r="G1314" s="34">
        <v>7.4999999999988604E-2</v>
      </c>
      <c r="H1314" s="35">
        <v>100.3</v>
      </c>
      <c r="I1314" s="37">
        <f t="shared" si="20"/>
        <v>2.5574991075526542E-2</v>
      </c>
      <c r="J1314" s="33"/>
    </row>
    <row r="1315" spans="1:10">
      <c r="A1315" s="33" t="s">
        <v>84</v>
      </c>
      <c r="B1315" s="34">
        <v>337.27499999999998</v>
      </c>
      <c r="C1315" s="35">
        <v>3921.8</v>
      </c>
      <c r="D1315" s="33" t="s">
        <v>284</v>
      </c>
      <c r="E1315" s="34">
        <v>337.20800000000003</v>
      </c>
      <c r="F1315" s="36">
        <v>6.6999999999950405E-2</v>
      </c>
      <c r="G1315" s="34">
        <v>6.6999999999950405E-2</v>
      </c>
      <c r="H1315" s="35">
        <v>0.6</v>
      </c>
      <c r="I1315" s="37">
        <f t="shared" si="20"/>
        <v>1.5299097353256157E-4</v>
      </c>
      <c r="J1315" s="33"/>
    </row>
    <row r="1316" spans="1:10">
      <c r="A1316" s="33" t="s">
        <v>84</v>
      </c>
      <c r="B1316" s="34">
        <v>337.27499999999998</v>
      </c>
      <c r="C1316" s="35">
        <v>3921.8</v>
      </c>
      <c r="D1316" s="33" t="s">
        <v>239</v>
      </c>
      <c r="E1316" s="34">
        <v>337.21100000000001</v>
      </c>
      <c r="F1316" s="36">
        <v>6.3999999999964502E-2</v>
      </c>
      <c r="G1316" s="34">
        <v>6.3999999999964502E-2</v>
      </c>
      <c r="H1316" s="35">
        <v>13.5</v>
      </c>
      <c r="I1316" s="37">
        <f t="shared" si="20"/>
        <v>3.4422969044826356E-3</v>
      </c>
      <c r="J1316" s="33"/>
    </row>
    <row r="1317" spans="1:10">
      <c r="A1317" s="33" t="s">
        <v>84</v>
      </c>
      <c r="B1317" s="34">
        <v>337.27499999999998</v>
      </c>
      <c r="C1317" s="35">
        <v>3921.8</v>
      </c>
      <c r="D1317" s="33" t="s">
        <v>184</v>
      </c>
      <c r="E1317" s="34">
        <v>337.21499999999997</v>
      </c>
      <c r="F1317" s="36">
        <v>6.0000000000002301E-2</v>
      </c>
      <c r="G1317" s="34">
        <v>6.0000000000002301E-2</v>
      </c>
      <c r="H1317" s="35">
        <v>92180</v>
      </c>
      <c r="I1317" s="37">
        <f t="shared" si="20"/>
        <v>23.504513233719209</v>
      </c>
      <c r="J1317" s="33"/>
    </row>
    <row r="1318" spans="1:10">
      <c r="A1318" s="33" t="s">
        <v>84</v>
      </c>
      <c r="B1318" s="34">
        <v>337.27499999999998</v>
      </c>
      <c r="C1318" s="35">
        <v>3921.8</v>
      </c>
      <c r="D1318" s="33" t="s">
        <v>269</v>
      </c>
      <c r="E1318" s="34">
        <v>337.22</v>
      </c>
      <c r="F1318" s="36">
        <v>5.4999999999949999E-2</v>
      </c>
      <c r="G1318" s="34">
        <v>5.4999999999949999E-2</v>
      </c>
      <c r="H1318" s="35">
        <v>1.9</v>
      </c>
      <c r="I1318" s="37">
        <f t="shared" si="20"/>
        <v>4.8447141618644494E-4</v>
      </c>
      <c r="J1318" s="33"/>
    </row>
    <row r="1319" spans="1:10">
      <c r="A1319" s="33" t="s">
        <v>84</v>
      </c>
      <c r="B1319" s="34">
        <v>337.27499999999998</v>
      </c>
      <c r="C1319" s="35">
        <v>3921.8</v>
      </c>
      <c r="D1319" s="33" t="s">
        <v>274</v>
      </c>
      <c r="E1319" s="34">
        <v>337.22</v>
      </c>
      <c r="F1319" s="36">
        <v>5.4999999999949999E-2</v>
      </c>
      <c r="G1319" s="34">
        <v>5.4999999999949999E-2</v>
      </c>
      <c r="H1319" s="35">
        <v>5.3</v>
      </c>
      <c r="I1319" s="37">
        <f t="shared" si="20"/>
        <v>1.3514202662042939E-3</v>
      </c>
      <c r="J1319" s="33"/>
    </row>
    <row r="1320" spans="1:10">
      <c r="A1320" s="33" t="s">
        <v>84</v>
      </c>
      <c r="B1320" s="34">
        <v>337.27499999999998</v>
      </c>
      <c r="C1320" s="35">
        <v>3921.8</v>
      </c>
      <c r="D1320" s="33" t="s">
        <v>237</v>
      </c>
      <c r="E1320" s="34">
        <v>337.221</v>
      </c>
      <c r="F1320" s="36">
        <v>5.3999999999973597E-2</v>
      </c>
      <c r="G1320" s="34">
        <v>5.3999999999973597E-2</v>
      </c>
      <c r="H1320" s="35">
        <v>1276.0999999999999</v>
      </c>
      <c r="I1320" s="37">
        <f t="shared" si="20"/>
        <v>0.32538630220816966</v>
      </c>
      <c r="J1320" s="33"/>
    </row>
    <row r="1321" spans="1:10">
      <c r="A1321" s="33" t="s">
        <v>84</v>
      </c>
      <c r="B1321" s="34">
        <v>337.27499999999998</v>
      </c>
      <c r="C1321" s="35">
        <v>3921.8</v>
      </c>
      <c r="D1321" s="33" t="s">
        <v>282</v>
      </c>
      <c r="E1321" s="34">
        <v>337.22500000000002</v>
      </c>
      <c r="F1321" s="36">
        <v>4.9999999999954498E-2</v>
      </c>
      <c r="G1321" s="34">
        <v>4.9999999999954498E-2</v>
      </c>
      <c r="H1321" s="35">
        <v>196.1</v>
      </c>
      <c r="I1321" s="37">
        <f t="shared" si="20"/>
        <v>5.0002549849558875E-2</v>
      </c>
      <c r="J1321" s="33"/>
    </row>
    <row r="1322" spans="1:10">
      <c r="A1322" s="33" t="s">
        <v>84</v>
      </c>
      <c r="B1322" s="34">
        <v>337.27499999999998</v>
      </c>
      <c r="C1322" s="35">
        <v>3921.8</v>
      </c>
      <c r="D1322" s="33" t="s">
        <v>201</v>
      </c>
      <c r="E1322" s="34">
        <v>337.23599999999999</v>
      </c>
      <c r="F1322" s="36">
        <v>3.8999999999987302E-2</v>
      </c>
      <c r="G1322" s="34">
        <v>3.8999999999987302E-2</v>
      </c>
      <c r="H1322" s="35">
        <v>1583.8</v>
      </c>
      <c r="I1322" s="37">
        <f t="shared" si="20"/>
        <v>0.40384517313478502</v>
      </c>
      <c r="J1322" s="33"/>
    </row>
    <row r="1323" spans="1:10">
      <c r="A1323" s="33" t="s">
        <v>84</v>
      </c>
      <c r="B1323" s="34">
        <v>337.27499999999998</v>
      </c>
      <c r="C1323" s="35">
        <v>3921.8</v>
      </c>
      <c r="D1323" s="33" t="s">
        <v>273</v>
      </c>
      <c r="E1323" s="34">
        <v>337.25700000000001</v>
      </c>
      <c r="F1323" s="36">
        <v>1.7999999999972299E-2</v>
      </c>
      <c r="G1323" s="34">
        <v>1.7999999999972299E-2</v>
      </c>
      <c r="H1323" s="35">
        <v>436.4</v>
      </c>
      <c r="I1323" s="37">
        <f t="shared" si="20"/>
        <v>0.11127543474934978</v>
      </c>
      <c r="J1323" s="33"/>
    </row>
    <row r="1324" spans="1:10">
      <c r="A1324" s="33" t="s">
        <v>84</v>
      </c>
      <c r="B1324" s="34">
        <v>337.27499999999998</v>
      </c>
      <c r="C1324" s="35">
        <v>3921.8</v>
      </c>
      <c r="D1324" s="33" t="s">
        <v>271</v>
      </c>
      <c r="E1324" s="34">
        <v>337.27</v>
      </c>
      <c r="F1324" s="36">
        <v>4.9999999999954499E-3</v>
      </c>
      <c r="G1324" s="34">
        <v>4.9999999999954499E-3</v>
      </c>
      <c r="H1324" s="35">
        <v>103.5</v>
      </c>
      <c r="I1324" s="37">
        <f t="shared" si="20"/>
        <v>2.6390942934366873E-2</v>
      </c>
      <c r="J1324" s="33"/>
    </row>
    <row r="1325" spans="1:10">
      <c r="A1325" s="33" t="s">
        <v>84</v>
      </c>
      <c r="B1325" s="34">
        <v>337.27499999999998</v>
      </c>
      <c r="C1325" s="35">
        <v>3921.8</v>
      </c>
      <c r="D1325" s="33" t="s">
        <v>201</v>
      </c>
      <c r="E1325" s="34">
        <v>337.27199999999999</v>
      </c>
      <c r="F1325" s="36">
        <v>2.9999999999858998E-3</v>
      </c>
      <c r="G1325" s="34">
        <v>2.9999999999858998E-3</v>
      </c>
      <c r="H1325" s="35">
        <v>1102.8</v>
      </c>
      <c r="I1325" s="37">
        <f t="shared" si="20"/>
        <v>0.28119740935284815</v>
      </c>
      <c r="J1325" s="33"/>
    </row>
    <row r="1326" spans="1:10">
      <c r="A1326" s="33" t="s">
        <v>84</v>
      </c>
      <c r="B1326" s="34">
        <v>337.27499999999998</v>
      </c>
      <c r="C1326" s="35">
        <v>3921.8</v>
      </c>
      <c r="D1326" s="33" t="s">
        <v>33</v>
      </c>
      <c r="E1326" s="34">
        <v>337.27800000000002</v>
      </c>
      <c r="F1326" s="36">
        <v>3.0000000000427502E-3</v>
      </c>
      <c r="G1326" s="34">
        <v>3.0000000000427502E-3</v>
      </c>
      <c r="H1326" s="35">
        <v>191.7</v>
      </c>
      <c r="I1326" s="37">
        <f t="shared" si="20"/>
        <v>4.8880616043653416E-2</v>
      </c>
      <c r="J1326" s="33" t="s">
        <v>116</v>
      </c>
    </row>
    <row r="1327" spans="1:10">
      <c r="A1327" s="33" t="s">
        <v>84</v>
      </c>
      <c r="B1327" s="34">
        <v>337.27499999999998</v>
      </c>
      <c r="C1327" s="35">
        <v>3921.8</v>
      </c>
      <c r="D1327" s="33" t="s">
        <v>237</v>
      </c>
      <c r="E1327" s="34">
        <v>337.28</v>
      </c>
      <c r="F1327" s="36">
        <v>4.9999999999954499E-3</v>
      </c>
      <c r="G1327" s="34">
        <v>4.9999999999954499E-3</v>
      </c>
      <c r="H1327" s="35">
        <v>76833.3</v>
      </c>
      <c r="I1327" s="37">
        <f t="shared" si="20"/>
        <v>19.591335611198939</v>
      </c>
      <c r="J1327" s="33"/>
    </row>
    <row r="1328" spans="1:10">
      <c r="A1328" s="33" t="s">
        <v>84</v>
      </c>
      <c r="B1328" s="34">
        <v>337.27499999999998</v>
      </c>
      <c r="C1328" s="35">
        <v>3921.8</v>
      </c>
      <c r="D1328" s="33" t="s">
        <v>285</v>
      </c>
      <c r="E1328" s="34">
        <v>337.3</v>
      </c>
      <c r="F1328" s="36">
        <v>2.5000000000034099E-2</v>
      </c>
      <c r="G1328" s="34">
        <v>2.5000000000034099E-2</v>
      </c>
      <c r="H1328" s="35">
        <v>722</v>
      </c>
      <c r="I1328" s="37">
        <f t="shared" si="20"/>
        <v>0.18409913815084908</v>
      </c>
      <c r="J1328" s="33"/>
    </row>
    <row r="1329" spans="1:10">
      <c r="A1329" s="33" t="s">
        <v>84</v>
      </c>
      <c r="B1329" s="34">
        <v>337.27499999999998</v>
      </c>
      <c r="C1329" s="35">
        <v>3921.8</v>
      </c>
      <c r="D1329" s="33" t="s">
        <v>275</v>
      </c>
      <c r="E1329" s="34">
        <v>337.31200000000001</v>
      </c>
      <c r="F1329" s="36">
        <v>3.7000000000034602E-2</v>
      </c>
      <c r="G1329" s="34">
        <v>3.7000000000034602E-2</v>
      </c>
      <c r="H1329" s="35">
        <v>21.7</v>
      </c>
      <c r="I1329" s="37">
        <f t="shared" si="20"/>
        <v>5.5331735427609765E-3</v>
      </c>
      <c r="J1329" s="33"/>
    </row>
    <row r="1330" spans="1:10">
      <c r="A1330" s="33" t="s">
        <v>84</v>
      </c>
      <c r="B1330" s="34">
        <v>337.27499999999998</v>
      </c>
      <c r="C1330" s="35">
        <v>3921.8</v>
      </c>
      <c r="D1330" s="33" t="s">
        <v>54</v>
      </c>
      <c r="E1330" s="34">
        <v>337.322</v>
      </c>
      <c r="F1330" s="36">
        <v>4.7000000000025501E-2</v>
      </c>
      <c r="G1330" s="34">
        <v>4.7000000000025501E-2</v>
      </c>
      <c r="H1330" s="35">
        <v>12.7</v>
      </c>
      <c r="I1330" s="37">
        <f t="shared" si="20"/>
        <v>3.2383089397725533E-3</v>
      </c>
      <c r="J1330" s="33"/>
    </row>
    <row r="1331" spans="1:10">
      <c r="A1331" s="33" t="s">
        <v>84</v>
      </c>
      <c r="B1331" s="34">
        <v>337.27499999999998</v>
      </c>
      <c r="C1331" s="35">
        <v>3921.8</v>
      </c>
      <c r="D1331" s="33" t="s">
        <v>236</v>
      </c>
      <c r="E1331" s="34">
        <v>337.34399999999999</v>
      </c>
      <c r="F1331" s="36">
        <v>6.9000000000016798E-2</v>
      </c>
      <c r="G1331" s="34">
        <v>6.9000000000016798E-2</v>
      </c>
      <c r="H1331" s="35">
        <v>1646.6</v>
      </c>
      <c r="I1331" s="37">
        <f t="shared" si="20"/>
        <v>0.41985822836452646</v>
      </c>
      <c r="J1331" s="33"/>
    </row>
    <row r="1332" spans="1:10">
      <c r="A1332" s="33" t="s">
        <v>84</v>
      </c>
      <c r="B1332" s="34">
        <v>337.27499999999998</v>
      </c>
      <c r="C1332" s="35">
        <v>3921.8</v>
      </c>
      <c r="D1332" s="33" t="s">
        <v>25</v>
      </c>
      <c r="E1332" s="34">
        <v>337.34500000000003</v>
      </c>
      <c r="F1332" s="36">
        <v>7.0000000000049994E-2</v>
      </c>
      <c r="G1332" s="34">
        <v>7.0000000000049994E-2</v>
      </c>
      <c r="H1332" s="35">
        <v>333.1</v>
      </c>
      <c r="I1332" s="37">
        <f t="shared" si="20"/>
        <v>8.4935488806160434E-2</v>
      </c>
      <c r="J1332" s="33" t="s">
        <v>116</v>
      </c>
    </row>
    <row r="1333" spans="1:10">
      <c r="A1333" s="33" t="s">
        <v>84</v>
      </c>
      <c r="B1333" s="34">
        <v>337.27499999999998</v>
      </c>
      <c r="C1333" s="35">
        <v>3921.8</v>
      </c>
      <c r="D1333" s="33" t="s">
        <v>287</v>
      </c>
      <c r="E1333" s="34">
        <v>337.34800000000001</v>
      </c>
      <c r="F1333" s="36">
        <v>7.3000000000035897E-2</v>
      </c>
      <c r="G1333" s="34">
        <v>7.3000000000035897E-2</v>
      </c>
      <c r="H1333" s="35">
        <v>1682</v>
      </c>
      <c r="I1333" s="37">
        <f t="shared" si="20"/>
        <v>0.42888469580294758</v>
      </c>
      <c r="J1333" s="33"/>
    </row>
    <row r="1334" spans="1:10">
      <c r="A1334" s="33" t="s">
        <v>84</v>
      </c>
      <c r="B1334" s="34">
        <v>337.27499999999998</v>
      </c>
      <c r="C1334" s="35">
        <v>3921.8</v>
      </c>
      <c r="D1334" s="33" t="s">
        <v>184</v>
      </c>
      <c r="E1334" s="34">
        <v>337.35199999999998</v>
      </c>
      <c r="F1334" s="36">
        <v>7.6999999999998195E-2</v>
      </c>
      <c r="G1334" s="34">
        <v>7.6999999999998195E-2</v>
      </c>
      <c r="H1334" s="35">
        <v>226.5</v>
      </c>
      <c r="I1334" s="37">
        <f t="shared" si="20"/>
        <v>5.7754092508541993E-2</v>
      </c>
      <c r="J1334" s="33"/>
    </row>
    <row r="1335" spans="1:10">
      <c r="A1335" s="33" t="s">
        <v>84</v>
      </c>
      <c r="B1335" s="34">
        <v>337.27499999999998</v>
      </c>
      <c r="C1335" s="35">
        <v>3921.8</v>
      </c>
      <c r="D1335" s="33" t="s">
        <v>25</v>
      </c>
      <c r="E1335" s="34">
        <v>337.37299999999999</v>
      </c>
      <c r="F1335" s="36">
        <v>9.8000000000013202E-2</v>
      </c>
      <c r="G1335" s="34">
        <v>9.8000000000013202E-2</v>
      </c>
      <c r="H1335" s="35">
        <v>415.5</v>
      </c>
      <c r="I1335" s="37">
        <f t="shared" si="20"/>
        <v>0.10594624917129888</v>
      </c>
      <c r="J1335" s="33" t="s">
        <v>116</v>
      </c>
    </row>
    <row r="1336" spans="1:10">
      <c r="A1336" s="33" t="s">
        <v>84</v>
      </c>
      <c r="B1336" s="34">
        <v>337.27499999999998</v>
      </c>
      <c r="C1336" s="35">
        <v>3921.8</v>
      </c>
      <c r="D1336" s="33" t="s">
        <v>274</v>
      </c>
      <c r="E1336" s="34">
        <v>337.37599999999998</v>
      </c>
      <c r="F1336" s="36">
        <v>0.10099999999999899</v>
      </c>
      <c r="G1336" s="34">
        <v>0.10099999999999899</v>
      </c>
      <c r="H1336" s="35">
        <v>31.9</v>
      </c>
      <c r="I1336" s="37">
        <f t="shared" si="20"/>
        <v>8.1340200928145239E-3</v>
      </c>
      <c r="J1336" s="33"/>
    </row>
    <row r="1337" spans="1:10">
      <c r="A1337" s="33" t="s">
        <v>84</v>
      </c>
      <c r="B1337" s="34">
        <v>337.27499999999998</v>
      </c>
      <c r="C1337" s="35">
        <v>3921.8</v>
      </c>
      <c r="D1337" s="33" t="s">
        <v>54</v>
      </c>
      <c r="E1337" s="34">
        <v>337.39699999999999</v>
      </c>
      <c r="F1337" s="36">
        <v>0.122000000000014</v>
      </c>
      <c r="G1337" s="34">
        <v>0.122000000000014</v>
      </c>
      <c r="H1337" s="35">
        <v>1.9</v>
      </c>
      <c r="I1337" s="37">
        <f t="shared" si="20"/>
        <v>4.8447141618644494E-4</v>
      </c>
      <c r="J1337" s="33"/>
    </row>
    <row r="1338" spans="1:10">
      <c r="A1338" s="33" t="s">
        <v>84</v>
      </c>
      <c r="B1338" s="34">
        <v>337.27499999999998</v>
      </c>
      <c r="C1338" s="35">
        <v>3921.8</v>
      </c>
      <c r="D1338" s="33" t="s">
        <v>277</v>
      </c>
      <c r="E1338" s="34">
        <v>337.41</v>
      </c>
      <c r="F1338" s="36">
        <v>0.135000000000048</v>
      </c>
      <c r="G1338" s="34">
        <v>0.135000000000048</v>
      </c>
      <c r="H1338" s="35">
        <v>63.6</v>
      </c>
      <c r="I1338" s="37">
        <f t="shared" si="20"/>
        <v>1.6217043194451528E-2</v>
      </c>
      <c r="J1338" s="33"/>
    </row>
    <row r="1339" spans="1:10">
      <c r="A1339" s="33" t="s">
        <v>84</v>
      </c>
      <c r="B1339" s="34">
        <v>337.27499999999998</v>
      </c>
      <c r="C1339" s="35">
        <v>3921.8</v>
      </c>
      <c r="D1339" s="33" t="s">
        <v>25</v>
      </c>
      <c r="E1339" s="34">
        <v>337.416</v>
      </c>
      <c r="F1339" s="36">
        <v>0.14100000000002</v>
      </c>
      <c r="G1339" s="34">
        <v>0.14100000000002</v>
      </c>
      <c r="H1339" s="35">
        <v>83.8</v>
      </c>
      <c r="I1339" s="37">
        <f t="shared" si="20"/>
        <v>2.1367739303381098E-2</v>
      </c>
      <c r="J1339" s="33" t="s">
        <v>116</v>
      </c>
    </row>
    <row r="1340" spans="1:10">
      <c r="A1340" s="33" t="s">
        <v>84</v>
      </c>
      <c r="B1340" s="34">
        <v>337.27499999999998</v>
      </c>
      <c r="C1340" s="35">
        <v>3921.8</v>
      </c>
      <c r="D1340" s="33" t="s">
        <v>165</v>
      </c>
      <c r="E1340" s="34">
        <v>337.42099999999999</v>
      </c>
      <c r="F1340" s="36">
        <v>0.14600000000001501</v>
      </c>
      <c r="G1340" s="34">
        <v>0.14600000000001501</v>
      </c>
      <c r="H1340" s="35">
        <v>78</v>
      </c>
      <c r="I1340" s="37">
        <f t="shared" si="20"/>
        <v>1.9888826559233005E-2</v>
      </c>
      <c r="J1340" s="33"/>
    </row>
    <row r="1341" spans="1:10">
      <c r="A1341" s="33" t="s">
        <v>84</v>
      </c>
      <c r="B1341" s="34">
        <v>337.27499999999998</v>
      </c>
      <c r="C1341" s="35">
        <v>3921.8</v>
      </c>
      <c r="D1341" s="33" t="s">
        <v>273</v>
      </c>
      <c r="E1341" s="34">
        <v>337.42500000000001</v>
      </c>
      <c r="F1341" s="36">
        <v>0.150000000000034</v>
      </c>
      <c r="G1341" s="34">
        <v>0.150000000000034</v>
      </c>
      <c r="H1341" s="35">
        <v>331.9</v>
      </c>
      <c r="I1341" s="37">
        <f t="shared" si="20"/>
        <v>8.4629506859095302E-2</v>
      </c>
      <c r="J1341" s="33"/>
    </row>
    <row r="1342" spans="1:10">
      <c r="A1342" s="33" t="s">
        <v>84</v>
      </c>
      <c r="B1342" s="34">
        <v>337.27499999999998</v>
      </c>
      <c r="C1342" s="35">
        <v>3921.8</v>
      </c>
      <c r="D1342" s="33" t="s">
        <v>54</v>
      </c>
      <c r="E1342" s="34">
        <v>337.42899999999997</v>
      </c>
      <c r="F1342" s="36">
        <v>0.153999999999996</v>
      </c>
      <c r="G1342" s="34">
        <v>0.153999999999996</v>
      </c>
      <c r="H1342" s="35">
        <v>16.899999999999999</v>
      </c>
      <c r="I1342" s="37">
        <f t="shared" si="20"/>
        <v>4.3092457545004835E-3</v>
      </c>
      <c r="J1342" s="33"/>
    </row>
    <row r="1343" spans="1:10">
      <c r="A1343" s="33" t="s">
        <v>84</v>
      </c>
      <c r="B1343" s="34">
        <v>337.27499999999998</v>
      </c>
      <c r="C1343" s="35">
        <v>3921.8</v>
      </c>
      <c r="D1343" s="33" t="s">
        <v>33</v>
      </c>
      <c r="E1343" s="34">
        <v>337.42899999999997</v>
      </c>
      <c r="F1343" s="36">
        <v>0.153999999999996</v>
      </c>
      <c r="G1343" s="34">
        <v>0.153999999999996</v>
      </c>
      <c r="H1343" s="35">
        <v>170.4</v>
      </c>
      <c r="I1343" s="37">
        <f t="shared" si="20"/>
        <v>4.3449436483247485E-2</v>
      </c>
      <c r="J1343" s="33" t="s">
        <v>116</v>
      </c>
    </row>
    <row r="1344" spans="1:10">
      <c r="A1344" s="33" t="s">
        <v>84</v>
      </c>
      <c r="B1344" s="34">
        <v>349.91</v>
      </c>
      <c r="C1344" s="35">
        <v>44755.6</v>
      </c>
      <c r="D1344" s="33" t="s">
        <v>193</v>
      </c>
      <c r="E1344" s="34">
        <v>349.78399999999999</v>
      </c>
      <c r="F1344" s="36">
        <v>0.126000000000033</v>
      </c>
      <c r="G1344" s="34">
        <v>0.126000000000033</v>
      </c>
      <c r="H1344" s="35">
        <v>108.6</v>
      </c>
      <c r="I1344" s="37">
        <f t="shared" si="20"/>
        <v>2.4265119895610829E-3</v>
      </c>
      <c r="J1344" s="33"/>
    </row>
    <row r="1345" spans="1:10">
      <c r="A1345" s="33" t="s">
        <v>84</v>
      </c>
      <c r="B1345" s="34">
        <v>349.91</v>
      </c>
      <c r="C1345" s="35">
        <v>44755.6</v>
      </c>
      <c r="D1345" s="33" t="s">
        <v>97</v>
      </c>
      <c r="E1345" s="34">
        <v>349.78800000000001</v>
      </c>
      <c r="F1345" s="36">
        <v>0.122000000000014</v>
      </c>
      <c r="G1345" s="34">
        <v>0.122000000000014</v>
      </c>
      <c r="H1345" s="35">
        <v>150.80000000000001</v>
      </c>
      <c r="I1345" s="37">
        <f t="shared" si="20"/>
        <v>3.3694107553021301E-3</v>
      </c>
      <c r="J1345" s="33"/>
    </row>
    <row r="1346" spans="1:10">
      <c r="A1346" s="33" t="s">
        <v>84</v>
      </c>
      <c r="B1346" s="34">
        <v>349.91</v>
      </c>
      <c r="C1346" s="35">
        <v>44755.6</v>
      </c>
      <c r="D1346" s="33" t="s">
        <v>236</v>
      </c>
      <c r="E1346" s="34">
        <v>349.79</v>
      </c>
      <c r="F1346" s="36">
        <v>0.12000000000000501</v>
      </c>
      <c r="G1346" s="34">
        <v>0.12000000000000501</v>
      </c>
      <c r="H1346" s="35">
        <v>366.2</v>
      </c>
      <c r="I1346" s="37">
        <f t="shared" ref="I1346:I1409" si="21">H1346/C1346</f>
        <v>8.1822163036580891E-3</v>
      </c>
      <c r="J1346" s="33"/>
    </row>
    <row r="1347" spans="1:10">
      <c r="A1347" s="33" t="s">
        <v>84</v>
      </c>
      <c r="B1347" s="34">
        <v>349.91</v>
      </c>
      <c r="C1347" s="35">
        <v>44755.6</v>
      </c>
      <c r="D1347" s="33" t="s">
        <v>271</v>
      </c>
      <c r="E1347" s="34">
        <v>349.80099999999999</v>
      </c>
      <c r="F1347" s="36">
        <v>0.109000000000037</v>
      </c>
      <c r="G1347" s="34">
        <v>0.109000000000037</v>
      </c>
      <c r="H1347" s="35">
        <v>496.7</v>
      </c>
      <c r="I1347" s="37">
        <f t="shared" si="21"/>
        <v>1.109805253420801E-2</v>
      </c>
      <c r="J1347" s="33"/>
    </row>
    <row r="1348" spans="1:10">
      <c r="A1348" s="33" t="s">
        <v>84</v>
      </c>
      <c r="B1348" s="34">
        <v>349.91</v>
      </c>
      <c r="C1348" s="35">
        <v>44755.6</v>
      </c>
      <c r="D1348" s="33" t="s">
        <v>275</v>
      </c>
      <c r="E1348" s="34">
        <v>349.80399999999997</v>
      </c>
      <c r="F1348" s="36">
        <v>0.106000000000051</v>
      </c>
      <c r="G1348" s="34">
        <v>0.106000000000051</v>
      </c>
      <c r="H1348" s="35">
        <v>6.1</v>
      </c>
      <c r="I1348" s="37">
        <f t="shared" si="21"/>
        <v>1.3629579315214185E-4</v>
      </c>
      <c r="J1348" s="33"/>
    </row>
    <row r="1349" spans="1:10">
      <c r="A1349" s="33" t="s">
        <v>84</v>
      </c>
      <c r="B1349" s="34">
        <v>349.91</v>
      </c>
      <c r="C1349" s="35">
        <v>44755.6</v>
      </c>
      <c r="D1349" s="33" t="s">
        <v>36</v>
      </c>
      <c r="E1349" s="34">
        <v>349.81700000000001</v>
      </c>
      <c r="F1349" s="36">
        <v>9.2999999999999999E-2</v>
      </c>
      <c r="G1349" s="34">
        <v>9.2999999999999999E-2</v>
      </c>
      <c r="H1349" s="35">
        <v>21.5</v>
      </c>
      <c r="I1349" s="37">
        <f t="shared" si="21"/>
        <v>4.803868119296803E-4</v>
      </c>
      <c r="J1349" s="33" t="s">
        <v>116</v>
      </c>
    </row>
    <row r="1350" spans="1:10">
      <c r="A1350" s="33" t="s">
        <v>84</v>
      </c>
      <c r="B1350" s="34">
        <v>349.91</v>
      </c>
      <c r="C1350" s="35">
        <v>44755.6</v>
      </c>
      <c r="D1350" s="33" t="s">
        <v>291</v>
      </c>
      <c r="E1350" s="34">
        <v>349.846</v>
      </c>
      <c r="F1350" s="36">
        <v>6.4000000000021401E-2</v>
      </c>
      <c r="G1350" s="34">
        <v>6.4000000000021401E-2</v>
      </c>
      <c r="H1350" s="35">
        <v>0.2</v>
      </c>
      <c r="I1350" s="37">
        <f t="shared" si="21"/>
        <v>4.4687145295784216E-6</v>
      </c>
      <c r="J1350" s="33"/>
    </row>
    <row r="1351" spans="1:10">
      <c r="A1351" s="33" t="s">
        <v>84</v>
      </c>
      <c r="B1351" s="34">
        <v>349.91</v>
      </c>
      <c r="C1351" s="35">
        <v>44755.6</v>
      </c>
      <c r="D1351" s="33" t="s">
        <v>54</v>
      </c>
      <c r="E1351" s="34">
        <v>349.84800000000001</v>
      </c>
      <c r="F1351" s="36">
        <v>6.2000000000011803E-2</v>
      </c>
      <c r="G1351" s="34">
        <v>6.2000000000011803E-2</v>
      </c>
      <c r="H1351" s="35">
        <v>0.5</v>
      </c>
      <c r="I1351" s="37">
        <f t="shared" si="21"/>
        <v>1.1171786323946054E-5</v>
      </c>
      <c r="J1351" s="33"/>
    </row>
    <row r="1352" spans="1:10">
      <c r="A1352" s="33" t="s">
        <v>84</v>
      </c>
      <c r="B1352" s="34">
        <v>349.91</v>
      </c>
      <c r="C1352" s="35">
        <v>44755.6</v>
      </c>
      <c r="D1352" s="33" t="s">
        <v>284</v>
      </c>
      <c r="E1352" s="34">
        <v>349.85399999999998</v>
      </c>
      <c r="F1352" s="36">
        <v>5.6000000000039997E-2</v>
      </c>
      <c r="G1352" s="34">
        <v>5.6000000000039997E-2</v>
      </c>
      <c r="H1352" s="35">
        <v>1.3</v>
      </c>
      <c r="I1352" s="37">
        <f t="shared" si="21"/>
        <v>2.9046644442259742E-5</v>
      </c>
      <c r="J1352" s="33"/>
    </row>
    <row r="1353" spans="1:10">
      <c r="A1353" s="33" t="s">
        <v>84</v>
      </c>
      <c r="B1353" s="34">
        <v>349.91</v>
      </c>
      <c r="C1353" s="35">
        <v>44755.6</v>
      </c>
      <c r="D1353" s="33" t="s">
        <v>273</v>
      </c>
      <c r="E1353" s="34">
        <v>349.86500000000001</v>
      </c>
      <c r="F1353" s="36">
        <v>4.5000000000015902E-2</v>
      </c>
      <c r="G1353" s="34">
        <v>4.5000000000015902E-2</v>
      </c>
      <c r="H1353" s="35">
        <v>148.1</v>
      </c>
      <c r="I1353" s="37">
        <f t="shared" si="21"/>
        <v>3.3090831091528209E-3</v>
      </c>
      <c r="J1353" s="33"/>
    </row>
    <row r="1354" spans="1:10">
      <c r="A1354" s="33" t="s">
        <v>84</v>
      </c>
      <c r="B1354" s="34">
        <v>349.91</v>
      </c>
      <c r="C1354" s="35">
        <v>44755.6</v>
      </c>
      <c r="D1354" s="33" t="s">
        <v>25</v>
      </c>
      <c r="E1354" s="34">
        <v>349.86799999999999</v>
      </c>
      <c r="F1354" s="36">
        <v>4.2000000000029999E-2</v>
      </c>
      <c r="G1354" s="34">
        <v>4.2000000000029999E-2</v>
      </c>
      <c r="H1354" s="35">
        <v>157.1</v>
      </c>
      <c r="I1354" s="37">
        <f t="shared" si="21"/>
        <v>3.5101752629838499E-3</v>
      </c>
      <c r="J1354" s="33" t="s">
        <v>116</v>
      </c>
    </row>
    <row r="1355" spans="1:10">
      <c r="A1355" s="33" t="s">
        <v>84</v>
      </c>
      <c r="B1355" s="34">
        <v>349.91</v>
      </c>
      <c r="C1355" s="35">
        <v>44755.6</v>
      </c>
      <c r="D1355" s="33" t="s">
        <v>33</v>
      </c>
      <c r="E1355" s="34">
        <v>349.87099999999998</v>
      </c>
      <c r="F1355" s="36">
        <v>3.9000000000044097E-2</v>
      </c>
      <c r="G1355" s="34">
        <v>3.9000000000044097E-2</v>
      </c>
      <c r="H1355" s="35">
        <v>2929.6</v>
      </c>
      <c r="I1355" s="37">
        <f t="shared" si="21"/>
        <v>6.5457730429264713E-2</v>
      </c>
      <c r="J1355" s="33" t="s">
        <v>116</v>
      </c>
    </row>
    <row r="1356" spans="1:10">
      <c r="A1356" s="33" t="s">
        <v>84</v>
      </c>
      <c r="B1356" s="34">
        <v>349.91</v>
      </c>
      <c r="C1356" s="35">
        <v>44755.6</v>
      </c>
      <c r="D1356" s="33" t="s">
        <v>282</v>
      </c>
      <c r="E1356" s="34">
        <v>349.87299999999999</v>
      </c>
      <c r="F1356" s="36">
        <v>3.7000000000034602E-2</v>
      </c>
      <c r="G1356" s="34">
        <v>3.7000000000034602E-2</v>
      </c>
      <c r="H1356" s="35">
        <v>402.6</v>
      </c>
      <c r="I1356" s="37">
        <f t="shared" si="21"/>
        <v>8.9955223480413637E-3</v>
      </c>
      <c r="J1356" s="33"/>
    </row>
    <row r="1357" spans="1:10">
      <c r="A1357" s="33" t="s">
        <v>84</v>
      </c>
      <c r="B1357" s="34">
        <v>349.91</v>
      </c>
      <c r="C1357" s="35">
        <v>44755.6</v>
      </c>
      <c r="D1357" s="33" t="s">
        <v>184</v>
      </c>
      <c r="E1357" s="34">
        <v>349.89</v>
      </c>
      <c r="F1357" s="36">
        <v>2.0000000000038699E-2</v>
      </c>
      <c r="G1357" s="34">
        <v>2.0000000000038699E-2</v>
      </c>
      <c r="H1357" s="35">
        <v>52.9</v>
      </c>
      <c r="I1357" s="37">
        <f t="shared" si="21"/>
        <v>1.1819749930734925E-3</v>
      </c>
      <c r="J1357" s="33"/>
    </row>
    <row r="1358" spans="1:10">
      <c r="A1358" s="33" t="s">
        <v>84</v>
      </c>
      <c r="B1358" s="34">
        <v>349.91</v>
      </c>
      <c r="C1358" s="35">
        <v>44755.6</v>
      </c>
      <c r="D1358" s="33" t="s">
        <v>33</v>
      </c>
      <c r="E1358" s="34">
        <v>349.89400000000001</v>
      </c>
      <c r="F1358" s="36">
        <v>1.6000000000019599E-2</v>
      </c>
      <c r="G1358" s="34">
        <v>1.6000000000019599E-2</v>
      </c>
      <c r="H1358" s="35">
        <v>829.1</v>
      </c>
      <c r="I1358" s="37">
        <f t="shared" si="21"/>
        <v>1.8525056082367347E-2</v>
      </c>
      <c r="J1358" s="33" t="s">
        <v>116</v>
      </c>
    </row>
    <row r="1359" spans="1:10">
      <c r="A1359" s="33" t="s">
        <v>84</v>
      </c>
      <c r="B1359" s="34">
        <v>349.91</v>
      </c>
      <c r="C1359" s="35">
        <v>44755.6</v>
      </c>
      <c r="D1359" s="33" t="s">
        <v>268</v>
      </c>
      <c r="E1359" s="34">
        <v>349.89400000000001</v>
      </c>
      <c r="F1359" s="36">
        <v>1.6000000000019599E-2</v>
      </c>
      <c r="G1359" s="34">
        <v>1.6000000000019599E-2</v>
      </c>
      <c r="H1359" s="35">
        <v>5696.8</v>
      </c>
      <c r="I1359" s="37">
        <f t="shared" si="21"/>
        <v>0.12728686466051176</v>
      </c>
      <c r="J1359" s="33"/>
    </row>
    <row r="1360" spans="1:10">
      <c r="A1360" s="33" t="s">
        <v>84</v>
      </c>
      <c r="B1360" s="34">
        <v>349.91</v>
      </c>
      <c r="C1360" s="35">
        <v>44755.6</v>
      </c>
      <c r="D1360" s="33" t="s">
        <v>94</v>
      </c>
      <c r="E1360" s="34">
        <v>349.89600000000002</v>
      </c>
      <c r="F1360" s="36">
        <v>1.4E-2</v>
      </c>
      <c r="G1360" s="34">
        <v>1.4E-2</v>
      </c>
      <c r="H1360" s="35">
        <v>423.3</v>
      </c>
      <c r="I1360" s="37">
        <f t="shared" si="21"/>
        <v>9.4580343018527292E-3</v>
      </c>
      <c r="J1360" s="33" t="s">
        <v>116</v>
      </c>
    </row>
    <row r="1361" spans="1:10">
      <c r="A1361" s="33" t="s">
        <v>84</v>
      </c>
      <c r="B1361" s="34">
        <v>349.91</v>
      </c>
      <c r="C1361" s="35">
        <v>44755.6</v>
      </c>
      <c r="D1361" s="33" t="s">
        <v>269</v>
      </c>
      <c r="E1361" s="34">
        <v>349.899</v>
      </c>
      <c r="F1361" s="36">
        <v>1.10000000000241E-2</v>
      </c>
      <c r="G1361" s="34">
        <v>1.10000000000241E-2</v>
      </c>
      <c r="H1361" s="35">
        <v>11.9</v>
      </c>
      <c r="I1361" s="37">
        <f t="shared" si="21"/>
        <v>2.658885145099161E-4</v>
      </c>
      <c r="J1361" s="33"/>
    </row>
    <row r="1362" spans="1:10">
      <c r="A1362" s="33" t="s">
        <v>84</v>
      </c>
      <c r="B1362" s="34">
        <v>349.91</v>
      </c>
      <c r="C1362" s="35">
        <v>44755.6</v>
      </c>
      <c r="D1362" s="33" t="s">
        <v>275</v>
      </c>
      <c r="E1362" s="34">
        <v>349.90699999999998</v>
      </c>
      <c r="F1362" s="36">
        <v>3.0000000000427502E-3</v>
      </c>
      <c r="G1362" s="34">
        <v>3.0000000000427502E-3</v>
      </c>
      <c r="H1362" s="35">
        <v>40</v>
      </c>
      <c r="I1362" s="37">
        <f t="shared" si="21"/>
        <v>8.9374290591568437E-4</v>
      </c>
      <c r="J1362" s="33"/>
    </row>
    <row r="1363" spans="1:10">
      <c r="A1363" s="33" t="s">
        <v>84</v>
      </c>
      <c r="B1363" s="34">
        <v>349.91</v>
      </c>
      <c r="C1363" s="35">
        <v>44755.6</v>
      </c>
      <c r="D1363" s="33" t="s">
        <v>165</v>
      </c>
      <c r="E1363" s="34">
        <v>349.92500000000001</v>
      </c>
      <c r="F1363" s="36">
        <v>1.4999999999986399E-2</v>
      </c>
      <c r="G1363" s="34">
        <v>1.4999999999986399E-2</v>
      </c>
      <c r="H1363" s="35">
        <v>1.8</v>
      </c>
      <c r="I1363" s="37">
        <f t="shared" si="21"/>
        <v>4.0218430766205794E-5</v>
      </c>
      <c r="J1363" s="33"/>
    </row>
    <row r="1364" spans="1:10">
      <c r="A1364" s="33" t="s">
        <v>84</v>
      </c>
      <c r="B1364" s="34">
        <v>349.91</v>
      </c>
      <c r="C1364" s="35">
        <v>44755.6</v>
      </c>
      <c r="D1364" s="33" t="s">
        <v>277</v>
      </c>
      <c r="E1364" s="34">
        <v>349.93200000000002</v>
      </c>
      <c r="F1364" s="36">
        <v>2.1999999999991401E-2</v>
      </c>
      <c r="G1364" s="34">
        <v>2.1999999999991401E-2</v>
      </c>
      <c r="H1364" s="35">
        <v>232.3</v>
      </c>
      <c r="I1364" s="37">
        <f t="shared" si="21"/>
        <v>5.1904119261053372E-3</v>
      </c>
      <c r="J1364" s="33"/>
    </row>
    <row r="1365" spans="1:10">
      <c r="A1365" s="33" t="s">
        <v>84</v>
      </c>
      <c r="B1365" s="34">
        <v>349.91</v>
      </c>
      <c r="C1365" s="35">
        <v>44755.6</v>
      </c>
      <c r="D1365" s="33" t="s">
        <v>236</v>
      </c>
      <c r="E1365" s="34">
        <v>349.95600000000002</v>
      </c>
      <c r="F1365" s="36">
        <v>4.5999999999992297E-2</v>
      </c>
      <c r="G1365" s="34">
        <v>4.5999999999992297E-2</v>
      </c>
      <c r="H1365" s="35">
        <v>2311.1999999999998</v>
      </c>
      <c r="I1365" s="37">
        <f t="shared" si="21"/>
        <v>5.1640465103808236E-2</v>
      </c>
      <c r="J1365" s="33"/>
    </row>
    <row r="1366" spans="1:10">
      <c r="A1366" s="33" t="s">
        <v>84</v>
      </c>
      <c r="B1366" s="34">
        <v>349.91</v>
      </c>
      <c r="C1366" s="35">
        <v>44755.6</v>
      </c>
      <c r="D1366" s="33" t="s">
        <v>54</v>
      </c>
      <c r="E1366" s="34">
        <v>349.97199999999998</v>
      </c>
      <c r="F1366" s="36">
        <v>6.1999999999955001E-2</v>
      </c>
      <c r="G1366" s="34">
        <v>6.1999999999955001E-2</v>
      </c>
      <c r="H1366" s="35">
        <v>0.4</v>
      </c>
      <c r="I1366" s="37">
        <f t="shared" si="21"/>
        <v>8.9374290591568432E-6</v>
      </c>
      <c r="J1366" s="33"/>
    </row>
    <row r="1367" spans="1:10">
      <c r="A1367" s="33" t="s">
        <v>84</v>
      </c>
      <c r="B1367" s="34">
        <v>349.91</v>
      </c>
      <c r="C1367" s="35">
        <v>44755.6</v>
      </c>
      <c r="D1367" s="33" t="s">
        <v>278</v>
      </c>
      <c r="E1367" s="34">
        <v>349.98200000000003</v>
      </c>
      <c r="F1367" s="36">
        <v>7.2000000000002701E-2</v>
      </c>
      <c r="G1367" s="34">
        <v>7.2000000000002701E-2</v>
      </c>
      <c r="H1367" s="35">
        <v>97.6</v>
      </c>
      <c r="I1367" s="37">
        <f t="shared" si="21"/>
        <v>2.1807326904342695E-3</v>
      </c>
      <c r="J1367" s="33"/>
    </row>
    <row r="1368" spans="1:10">
      <c r="A1368" s="33" t="s">
        <v>84</v>
      </c>
      <c r="B1368" s="34">
        <v>349.91</v>
      </c>
      <c r="C1368" s="35">
        <v>44755.6</v>
      </c>
      <c r="D1368" s="33" t="s">
        <v>270</v>
      </c>
      <c r="E1368" s="34">
        <v>349.983</v>
      </c>
      <c r="F1368" s="36">
        <v>7.2999999999979095E-2</v>
      </c>
      <c r="G1368" s="34">
        <v>7.2999999999979095E-2</v>
      </c>
      <c r="H1368" s="35">
        <v>927.4</v>
      </c>
      <c r="I1368" s="37">
        <f t="shared" si="21"/>
        <v>2.072142927365514E-2</v>
      </c>
      <c r="J1368" s="33"/>
    </row>
    <row r="1369" spans="1:10">
      <c r="A1369" s="33" t="s">
        <v>84</v>
      </c>
      <c r="B1369" s="34">
        <v>349.91</v>
      </c>
      <c r="C1369" s="35">
        <v>44755.6</v>
      </c>
      <c r="D1369" s="33" t="s">
        <v>33</v>
      </c>
      <c r="E1369" s="34">
        <v>349.98599999999999</v>
      </c>
      <c r="F1369" s="36">
        <v>7.5999999999964998E-2</v>
      </c>
      <c r="G1369" s="34">
        <v>7.5999999999964998E-2</v>
      </c>
      <c r="H1369" s="35">
        <v>601.5</v>
      </c>
      <c r="I1369" s="37">
        <f t="shared" si="21"/>
        <v>1.3439658947707102E-2</v>
      </c>
      <c r="J1369" s="33" t="s">
        <v>116</v>
      </c>
    </row>
    <row r="1370" spans="1:10">
      <c r="A1370" s="33" t="s">
        <v>84</v>
      </c>
      <c r="B1370" s="34">
        <v>349.91</v>
      </c>
      <c r="C1370" s="35">
        <v>44755.6</v>
      </c>
      <c r="D1370" s="33" t="s">
        <v>292</v>
      </c>
      <c r="E1370" s="34">
        <v>349.995</v>
      </c>
      <c r="F1370" s="36">
        <v>8.4999999999979495E-2</v>
      </c>
      <c r="G1370" s="34">
        <v>8.4999999999979495E-2</v>
      </c>
      <c r="H1370" s="35">
        <v>1.4</v>
      </c>
      <c r="I1370" s="37">
        <f t="shared" si="21"/>
        <v>3.1281001707048952E-5</v>
      </c>
      <c r="J1370" s="33"/>
    </row>
    <row r="1371" spans="1:10">
      <c r="A1371" s="33" t="s">
        <v>84</v>
      </c>
      <c r="B1371" s="34">
        <v>349.91</v>
      </c>
      <c r="C1371" s="35">
        <v>44755.6</v>
      </c>
      <c r="D1371" s="33" t="s">
        <v>275</v>
      </c>
      <c r="E1371" s="34">
        <v>349.99799999999999</v>
      </c>
      <c r="F1371" s="36">
        <v>8.7999999999965398E-2</v>
      </c>
      <c r="G1371" s="34">
        <v>8.7999999999965398E-2</v>
      </c>
      <c r="H1371" s="35">
        <v>31.9</v>
      </c>
      <c r="I1371" s="37">
        <f t="shared" si="21"/>
        <v>7.1275996746775823E-4</v>
      </c>
      <c r="J1371" s="33"/>
    </row>
    <row r="1372" spans="1:10">
      <c r="A1372" s="33" t="s">
        <v>84</v>
      </c>
      <c r="B1372" s="34">
        <v>349.91</v>
      </c>
      <c r="C1372" s="35">
        <v>44755.6</v>
      </c>
      <c r="D1372" s="33" t="s">
        <v>25</v>
      </c>
      <c r="E1372" s="34">
        <v>349.99900000000002</v>
      </c>
      <c r="F1372" s="36">
        <v>8.8999999999998594E-2</v>
      </c>
      <c r="G1372" s="34">
        <v>8.8999999999998594E-2</v>
      </c>
      <c r="H1372" s="35">
        <v>214.6</v>
      </c>
      <c r="I1372" s="37">
        <f t="shared" si="21"/>
        <v>4.7949306902376459E-3</v>
      </c>
      <c r="J1372" s="33" t="s">
        <v>116</v>
      </c>
    </row>
    <row r="1373" spans="1:10">
      <c r="A1373" s="33" t="s">
        <v>84</v>
      </c>
      <c r="B1373" s="34">
        <v>349.91</v>
      </c>
      <c r="C1373" s="35">
        <v>44755.6</v>
      </c>
      <c r="D1373" s="33" t="s">
        <v>271</v>
      </c>
      <c r="E1373" s="34">
        <v>349.99900000000002</v>
      </c>
      <c r="F1373" s="36">
        <v>8.8999999999998594E-2</v>
      </c>
      <c r="G1373" s="34">
        <v>8.8999999999998594E-2</v>
      </c>
      <c r="H1373" s="35">
        <v>727.5</v>
      </c>
      <c r="I1373" s="37">
        <f t="shared" si="21"/>
        <v>1.6254949101341509E-2</v>
      </c>
      <c r="J1373" s="33"/>
    </row>
    <row r="1374" spans="1:10">
      <c r="A1374" s="33" t="s">
        <v>84</v>
      </c>
      <c r="B1374" s="34">
        <v>349.91</v>
      </c>
      <c r="C1374" s="35">
        <v>44755.6</v>
      </c>
      <c r="D1374" s="33" t="s">
        <v>236</v>
      </c>
      <c r="E1374" s="34">
        <v>350.01499999999999</v>
      </c>
      <c r="F1374" s="36">
        <v>0.104999999999961</v>
      </c>
      <c r="G1374" s="34">
        <v>0.104999999999961</v>
      </c>
      <c r="H1374" s="35">
        <v>424.4</v>
      </c>
      <c r="I1374" s="37">
        <f t="shared" si="21"/>
        <v>9.4826122317654103E-3</v>
      </c>
      <c r="J1374" s="33"/>
    </row>
    <row r="1375" spans="1:10">
      <c r="A1375" s="33" t="s">
        <v>84</v>
      </c>
      <c r="B1375" s="34">
        <v>349.91</v>
      </c>
      <c r="C1375" s="35">
        <v>44755.6</v>
      </c>
      <c r="D1375" s="33" t="s">
        <v>201</v>
      </c>
      <c r="E1375" s="34">
        <v>350.02800000000002</v>
      </c>
      <c r="F1375" s="36">
        <v>0.117999999999995</v>
      </c>
      <c r="G1375" s="34">
        <v>0.117999999999995</v>
      </c>
      <c r="H1375" s="35">
        <v>726.9</v>
      </c>
      <c r="I1375" s="37">
        <f t="shared" si="21"/>
        <v>1.6241542957752774E-2</v>
      </c>
      <c r="J1375" s="33"/>
    </row>
    <row r="1376" spans="1:10">
      <c r="A1376" s="33" t="s">
        <v>84</v>
      </c>
      <c r="B1376" s="34">
        <v>349.91</v>
      </c>
      <c r="C1376" s="35">
        <v>44755.6</v>
      </c>
      <c r="D1376" s="33" t="s">
        <v>277</v>
      </c>
      <c r="E1376" s="34">
        <v>350.03300000000002</v>
      </c>
      <c r="F1376" s="36">
        <v>0.12299999999999101</v>
      </c>
      <c r="G1376" s="34">
        <v>0.12299999999999101</v>
      </c>
      <c r="H1376" s="35">
        <v>129.19999999999999</v>
      </c>
      <c r="I1376" s="37">
        <f t="shared" si="21"/>
        <v>2.8867895861076601E-3</v>
      </c>
      <c r="J1376" s="33"/>
    </row>
    <row r="1377" spans="1:10">
      <c r="A1377" s="33" t="s">
        <v>84</v>
      </c>
      <c r="B1377" s="34">
        <v>349.91</v>
      </c>
      <c r="C1377" s="35">
        <v>44755.6</v>
      </c>
      <c r="D1377" s="33" t="s">
        <v>237</v>
      </c>
      <c r="E1377" s="34">
        <v>350.03399999999999</v>
      </c>
      <c r="F1377" s="36">
        <v>0.123999999999967</v>
      </c>
      <c r="G1377" s="34">
        <v>0.123999999999967</v>
      </c>
      <c r="H1377" s="35">
        <v>535</v>
      </c>
      <c r="I1377" s="37">
        <f t="shared" si="21"/>
        <v>1.1953811366622278E-2</v>
      </c>
      <c r="J1377" s="33"/>
    </row>
    <row r="1378" spans="1:10">
      <c r="A1378" s="33" t="s">
        <v>84</v>
      </c>
      <c r="B1378" s="34">
        <v>349.91</v>
      </c>
      <c r="C1378" s="35">
        <v>44755.6</v>
      </c>
      <c r="D1378" s="33" t="s">
        <v>270</v>
      </c>
      <c r="E1378" s="34">
        <v>350.05</v>
      </c>
      <c r="F1378" s="36">
        <v>0.139999999999986</v>
      </c>
      <c r="G1378" s="34">
        <v>0.139999999999986</v>
      </c>
      <c r="H1378" s="35">
        <v>739.4</v>
      </c>
      <c r="I1378" s="37">
        <f t="shared" si="21"/>
        <v>1.6520837615851425E-2</v>
      </c>
      <c r="J1378" s="33"/>
    </row>
    <row r="1379" spans="1:10">
      <c r="A1379" s="33" t="s">
        <v>84</v>
      </c>
      <c r="B1379" s="34">
        <v>349.91</v>
      </c>
      <c r="C1379" s="35">
        <v>44755.6</v>
      </c>
      <c r="D1379" s="33" t="s">
        <v>97</v>
      </c>
      <c r="E1379" s="34">
        <v>350.05700000000002</v>
      </c>
      <c r="F1379" s="36">
        <v>0.146999999999991</v>
      </c>
      <c r="G1379" s="34">
        <v>0.146999999999991</v>
      </c>
      <c r="H1379" s="35">
        <v>29</v>
      </c>
      <c r="I1379" s="37">
        <f t="shared" si="21"/>
        <v>6.4796360678887109E-4</v>
      </c>
      <c r="J1379" s="33"/>
    </row>
    <row r="1380" spans="1:10">
      <c r="A1380" s="33" t="s">
        <v>84</v>
      </c>
      <c r="B1380" s="34">
        <v>349.91</v>
      </c>
      <c r="C1380" s="35">
        <v>44755.6</v>
      </c>
      <c r="D1380" s="33" t="s">
        <v>25</v>
      </c>
      <c r="E1380" s="34">
        <v>350.06799999999998</v>
      </c>
      <c r="F1380" s="36">
        <v>0.15799999999995901</v>
      </c>
      <c r="G1380" s="34">
        <v>0.15799999999995901</v>
      </c>
      <c r="H1380" s="35">
        <v>358.2</v>
      </c>
      <c r="I1380" s="37">
        <f t="shared" si="21"/>
        <v>8.0034677224749533E-3</v>
      </c>
      <c r="J1380" s="33" t="s">
        <v>116</v>
      </c>
    </row>
    <row r="1381" spans="1:10">
      <c r="A1381" s="33" t="s">
        <v>84</v>
      </c>
      <c r="B1381" s="34">
        <v>349.91</v>
      </c>
      <c r="C1381" s="35">
        <v>44755.6</v>
      </c>
      <c r="D1381" s="33" t="s">
        <v>201</v>
      </c>
      <c r="E1381" s="34">
        <v>350.084</v>
      </c>
      <c r="F1381" s="36">
        <v>0.17399999999997801</v>
      </c>
      <c r="G1381" s="34">
        <v>0.17399999999997801</v>
      </c>
      <c r="H1381" s="35">
        <v>3951.8</v>
      </c>
      <c r="I1381" s="37">
        <f t="shared" si="21"/>
        <v>8.8297330389940032E-2</v>
      </c>
      <c r="J1381" s="33"/>
    </row>
    <row r="1382" spans="1:10">
      <c r="A1382" s="33" t="s">
        <v>84</v>
      </c>
      <c r="B1382" s="34">
        <v>349.91</v>
      </c>
      <c r="C1382" s="35">
        <v>44755.6</v>
      </c>
      <c r="D1382" s="33" t="s">
        <v>165</v>
      </c>
      <c r="E1382" s="34">
        <v>350.08499999999998</v>
      </c>
      <c r="F1382" s="36">
        <v>0.174999999999955</v>
      </c>
      <c r="G1382" s="34">
        <v>0.174999999999955</v>
      </c>
      <c r="H1382" s="35">
        <v>431.8</v>
      </c>
      <c r="I1382" s="37">
        <f t="shared" si="21"/>
        <v>9.6479546693598126E-3</v>
      </c>
      <c r="J1382" s="33"/>
    </row>
    <row r="1383" spans="1:10">
      <c r="A1383" s="33" t="s">
        <v>84</v>
      </c>
      <c r="B1383" s="34">
        <v>369.26499999999999</v>
      </c>
      <c r="C1383" s="35">
        <v>47750.9</v>
      </c>
      <c r="D1383" s="33" t="s">
        <v>97</v>
      </c>
      <c r="E1383" s="34">
        <v>369.07299999999998</v>
      </c>
      <c r="F1383" s="36">
        <v>0.192000000000007</v>
      </c>
      <c r="G1383" s="34">
        <v>0.192000000000007</v>
      </c>
      <c r="H1383" s="35">
        <v>12.3</v>
      </c>
      <c r="I1383" s="37">
        <f t="shared" si="21"/>
        <v>2.5758676799809011E-4</v>
      </c>
      <c r="J1383" s="33"/>
    </row>
    <row r="1384" spans="1:10">
      <c r="A1384" s="33" t="s">
        <v>84</v>
      </c>
      <c r="B1384" s="34">
        <v>369.26499999999999</v>
      </c>
      <c r="C1384" s="35">
        <v>47750.9</v>
      </c>
      <c r="D1384" s="33" t="s">
        <v>278</v>
      </c>
      <c r="E1384" s="34">
        <v>369.07799999999997</v>
      </c>
      <c r="F1384" s="36">
        <v>0.18700000000001199</v>
      </c>
      <c r="G1384" s="34">
        <v>0.18700000000001199</v>
      </c>
      <c r="H1384" s="35">
        <v>305.3</v>
      </c>
      <c r="I1384" s="37">
        <f t="shared" si="21"/>
        <v>6.3935967699038131E-3</v>
      </c>
      <c r="J1384" s="33"/>
    </row>
    <row r="1385" spans="1:10">
      <c r="A1385" s="33" t="s">
        <v>84</v>
      </c>
      <c r="B1385" s="34">
        <v>369.26499999999999</v>
      </c>
      <c r="C1385" s="35">
        <v>47750.9</v>
      </c>
      <c r="D1385" s="33" t="s">
        <v>116</v>
      </c>
      <c r="E1385" s="34">
        <v>369.07900000000001</v>
      </c>
      <c r="F1385" s="36">
        <v>0.186</v>
      </c>
      <c r="G1385" s="34">
        <v>0.186</v>
      </c>
      <c r="H1385" s="35">
        <v>309.3</v>
      </c>
      <c r="I1385" s="37">
        <f t="shared" si="21"/>
        <v>6.4773648245373388E-3</v>
      </c>
      <c r="J1385" s="33" t="s">
        <v>116</v>
      </c>
    </row>
    <row r="1386" spans="1:10">
      <c r="A1386" s="33" t="s">
        <v>84</v>
      </c>
      <c r="B1386" s="34">
        <v>369.26499999999999</v>
      </c>
      <c r="C1386" s="35">
        <v>47750.9</v>
      </c>
      <c r="D1386" s="33" t="s">
        <v>287</v>
      </c>
      <c r="E1386" s="34">
        <v>369.09</v>
      </c>
      <c r="F1386" s="36">
        <v>0.17500000000001101</v>
      </c>
      <c r="G1386" s="34">
        <v>0.17500000000001101</v>
      </c>
      <c r="H1386" s="35">
        <v>3516</v>
      </c>
      <c r="I1386" s="37">
        <f t="shared" si="21"/>
        <v>7.3632120022868675E-2</v>
      </c>
      <c r="J1386" s="33"/>
    </row>
    <row r="1387" spans="1:10">
      <c r="A1387" s="33" t="s">
        <v>84</v>
      </c>
      <c r="B1387" s="34">
        <v>369.26499999999999</v>
      </c>
      <c r="C1387" s="35">
        <v>47750.9</v>
      </c>
      <c r="D1387" s="33" t="s">
        <v>270</v>
      </c>
      <c r="E1387" s="34">
        <v>369.09300000000002</v>
      </c>
      <c r="F1387" s="36">
        <v>0.17199999999996901</v>
      </c>
      <c r="G1387" s="34">
        <v>0.17199999999996901</v>
      </c>
      <c r="H1387" s="35">
        <v>247.6</v>
      </c>
      <c r="I1387" s="37">
        <f t="shared" si="21"/>
        <v>5.185242581815212E-3</v>
      </c>
      <c r="J1387" s="33"/>
    </row>
    <row r="1388" spans="1:10">
      <c r="A1388" s="33" t="s">
        <v>84</v>
      </c>
      <c r="B1388" s="34">
        <v>369.26499999999999</v>
      </c>
      <c r="C1388" s="35">
        <v>47750.9</v>
      </c>
      <c r="D1388" s="33" t="s">
        <v>201</v>
      </c>
      <c r="E1388" s="34">
        <v>369.11500000000001</v>
      </c>
      <c r="F1388" s="36">
        <v>0.14999999999997701</v>
      </c>
      <c r="G1388" s="34">
        <v>0.14999999999997701</v>
      </c>
      <c r="H1388" s="35">
        <v>2234.6999999999998</v>
      </c>
      <c r="I1388" s="37">
        <f t="shared" si="21"/>
        <v>4.6799117922384705E-2</v>
      </c>
      <c r="J1388" s="33"/>
    </row>
    <row r="1389" spans="1:10">
      <c r="A1389" s="33" t="s">
        <v>84</v>
      </c>
      <c r="B1389" s="34">
        <v>369.26499999999999</v>
      </c>
      <c r="C1389" s="35">
        <v>47750.9</v>
      </c>
      <c r="D1389" s="33" t="s">
        <v>273</v>
      </c>
      <c r="E1389" s="34">
        <v>369.11799999999999</v>
      </c>
      <c r="F1389" s="36">
        <v>0.146999999999991</v>
      </c>
      <c r="G1389" s="34">
        <v>0.146999999999991</v>
      </c>
      <c r="H1389" s="35">
        <v>216.9</v>
      </c>
      <c r="I1389" s="37">
        <f t="shared" si="21"/>
        <v>4.542322762502906E-3</v>
      </c>
      <c r="J1389" s="33"/>
    </row>
    <row r="1390" spans="1:10">
      <c r="A1390" s="33" t="s">
        <v>84</v>
      </c>
      <c r="B1390" s="34">
        <v>369.26499999999999</v>
      </c>
      <c r="C1390" s="35">
        <v>47750.9</v>
      </c>
      <c r="D1390" s="33" t="s">
        <v>279</v>
      </c>
      <c r="E1390" s="34">
        <v>369.149</v>
      </c>
      <c r="F1390" s="36">
        <v>0.115999999999985</v>
      </c>
      <c r="G1390" s="34">
        <v>0.115999999999985</v>
      </c>
      <c r="H1390" s="35">
        <v>47.9</v>
      </c>
      <c r="I1390" s="37">
        <f t="shared" si="21"/>
        <v>1.0031224542364646E-3</v>
      </c>
      <c r="J1390" s="33"/>
    </row>
    <row r="1391" spans="1:10">
      <c r="A1391" s="33" t="s">
        <v>84</v>
      </c>
      <c r="B1391" s="34">
        <v>369.26499999999999</v>
      </c>
      <c r="C1391" s="35">
        <v>47750.9</v>
      </c>
      <c r="D1391" s="33" t="s">
        <v>268</v>
      </c>
      <c r="E1391" s="34">
        <v>369.149</v>
      </c>
      <c r="F1391" s="36">
        <v>0.115999999999985</v>
      </c>
      <c r="G1391" s="34">
        <v>0.115999999999985</v>
      </c>
      <c r="H1391" s="35">
        <v>1.2</v>
      </c>
      <c r="I1391" s="37">
        <f t="shared" si="21"/>
        <v>2.5130416390057567E-5</v>
      </c>
      <c r="J1391" s="33"/>
    </row>
    <row r="1392" spans="1:10">
      <c r="A1392" s="33" t="s">
        <v>84</v>
      </c>
      <c r="B1392" s="34">
        <v>369.26499999999999</v>
      </c>
      <c r="C1392" s="35">
        <v>47750.9</v>
      </c>
      <c r="D1392" s="33" t="s">
        <v>193</v>
      </c>
      <c r="E1392" s="34">
        <v>369.185</v>
      </c>
      <c r="F1392" s="36">
        <v>7.9999999999984098E-2</v>
      </c>
      <c r="G1392" s="34">
        <v>7.9999999999984098E-2</v>
      </c>
      <c r="H1392" s="35">
        <v>39.700000000000003</v>
      </c>
      <c r="I1392" s="37">
        <f t="shared" si="21"/>
        <v>8.3139794223773792E-4</v>
      </c>
      <c r="J1392" s="33"/>
    </row>
    <row r="1393" spans="1:10">
      <c r="A1393" s="33" t="s">
        <v>84</v>
      </c>
      <c r="B1393" s="34">
        <v>369.26499999999999</v>
      </c>
      <c r="C1393" s="35">
        <v>47750.9</v>
      </c>
      <c r="D1393" s="33" t="s">
        <v>277</v>
      </c>
      <c r="E1393" s="34">
        <v>369.19200000000001</v>
      </c>
      <c r="F1393" s="36">
        <v>7.2999999999979095E-2</v>
      </c>
      <c r="G1393" s="34">
        <v>7.2999999999979095E-2</v>
      </c>
      <c r="H1393" s="35">
        <v>381.6</v>
      </c>
      <c r="I1393" s="37">
        <f t="shared" si="21"/>
        <v>7.9914724120383075E-3</v>
      </c>
      <c r="J1393" s="33"/>
    </row>
    <row r="1394" spans="1:10">
      <c r="A1394" s="33" t="s">
        <v>84</v>
      </c>
      <c r="B1394" s="34">
        <v>369.26499999999999</v>
      </c>
      <c r="C1394" s="35">
        <v>47750.9</v>
      </c>
      <c r="D1394" s="33" t="s">
        <v>116</v>
      </c>
      <c r="E1394" s="34">
        <v>369.20100000000002</v>
      </c>
      <c r="F1394" s="36">
        <v>6.4000000000000001E-2</v>
      </c>
      <c r="G1394" s="34">
        <v>6.4000000000000001E-2</v>
      </c>
      <c r="H1394" s="35">
        <v>103.6</v>
      </c>
      <c r="I1394" s="37">
        <f t="shared" si="21"/>
        <v>2.1695926150083035E-3</v>
      </c>
      <c r="J1394" s="33" t="s">
        <v>116</v>
      </c>
    </row>
    <row r="1395" spans="1:10">
      <c r="A1395" s="33" t="s">
        <v>84</v>
      </c>
      <c r="B1395" s="34">
        <v>369.26499999999999</v>
      </c>
      <c r="C1395" s="35">
        <v>47750.9</v>
      </c>
      <c r="D1395" s="33" t="s">
        <v>275</v>
      </c>
      <c r="E1395" s="34">
        <v>369.20800000000003</v>
      </c>
      <c r="F1395" s="36">
        <v>5.69999999999595E-2</v>
      </c>
      <c r="G1395" s="34">
        <v>5.69999999999595E-2</v>
      </c>
      <c r="H1395" s="35">
        <v>44</v>
      </c>
      <c r="I1395" s="37">
        <f t="shared" si="21"/>
        <v>9.2144860096877751E-4</v>
      </c>
      <c r="J1395" s="33"/>
    </row>
    <row r="1396" spans="1:10">
      <c r="A1396" s="33" t="s">
        <v>84</v>
      </c>
      <c r="B1396" s="34">
        <v>369.26499999999999</v>
      </c>
      <c r="C1396" s="35">
        <v>47750.9</v>
      </c>
      <c r="D1396" s="33" t="s">
        <v>271</v>
      </c>
      <c r="E1396" s="34">
        <v>369.20800000000003</v>
      </c>
      <c r="F1396" s="36">
        <v>5.69999999999595E-2</v>
      </c>
      <c r="G1396" s="34">
        <v>5.69999999999595E-2</v>
      </c>
      <c r="H1396" s="35">
        <v>317.60000000000002</v>
      </c>
      <c r="I1396" s="37">
        <f t="shared" si="21"/>
        <v>6.6511835379019033E-3</v>
      </c>
      <c r="J1396" s="33"/>
    </row>
    <row r="1397" spans="1:10">
      <c r="A1397" s="33" t="s">
        <v>84</v>
      </c>
      <c r="B1397" s="34">
        <v>369.26499999999999</v>
      </c>
      <c r="C1397" s="35">
        <v>47750.9</v>
      </c>
      <c r="D1397" s="33" t="s">
        <v>54</v>
      </c>
      <c r="E1397" s="34">
        <v>369.21699999999998</v>
      </c>
      <c r="F1397" s="36">
        <v>4.8000000000001798E-2</v>
      </c>
      <c r="G1397" s="34">
        <v>4.8000000000001798E-2</v>
      </c>
      <c r="H1397" s="35">
        <v>0.8</v>
      </c>
      <c r="I1397" s="37">
        <f t="shared" si="21"/>
        <v>1.6753610926705048E-5</v>
      </c>
      <c r="J1397" s="33"/>
    </row>
    <row r="1398" spans="1:10">
      <c r="A1398" s="33" t="s">
        <v>84</v>
      </c>
      <c r="B1398" s="34">
        <v>369.26499999999999</v>
      </c>
      <c r="C1398" s="35">
        <v>47750.9</v>
      </c>
      <c r="D1398" s="33" t="s">
        <v>270</v>
      </c>
      <c r="E1398" s="34">
        <v>369.22199999999998</v>
      </c>
      <c r="F1398" s="36">
        <v>4.3000000000006401E-2</v>
      </c>
      <c r="G1398" s="34">
        <v>4.3000000000006401E-2</v>
      </c>
      <c r="H1398" s="35">
        <v>732.6</v>
      </c>
      <c r="I1398" s="37">
        <f t="shared" si="21"/>
        <v>1.5342119206130145E-2</v>
      </c>
      <c r="J1398" s="33"/>
    </row>
    <row r="1399" spans="1:10">
      <c r="A1399" s="33" t="s">
        <v>84</v>
      </c>
      <c r="B1399" s="34">
        <v>369.26499999999999</v>
      </c>
      <c r="C1399" s="35">
        <v>47750.9</v>
      </c>
      <c r="D1399" s="33" t="s">
        <v>278</v>
      </c>
      <c r="E1399" s="34">
        <v>369.22199999999998</v>
      </c>
      <c r="F1399" s="36">
        <v>4.3000000000006401E-2</v>
      </c>
      <c r="G1399" s="34">
        <v>4.3000000000006401E-2</v>
      </c>
      <c r="H1399" s="35">
        <v>621.4</v>
      </c>
      <c r="I1399" s="37">
        <f t="shared" si="21"/>
        <v>1.3013367287318145E-2</v>
      </c>
      <c r="J1399" s="33"/>
    </row>
    <row r="1400" spans="1:10">
      <c r="A1400" s="33" t="s">
        <v>84</v>
      </c>
      <c r="B1400" s="34">
        <v>369.26499999999999</v>
      </c>
      <c r="C1400" s="35">
        <v>47750.9</v>
      </c>
      <c r="D1400" s="33" t="s">
        <v>282</v>
      </c>
      <c r="E1400" s="34">
        <v>369.23599999999999</v>
      </c>
      <c r="F1400" s="36">
        <v>2.89999999999964E-2</v>
      </c>
      <c r="G1400" s="34">
        <v>2.89999999999964E-2</v>
      </c>
      <c r="H1400" s="35">
        <v>8762.5</v>
      </c>
      <c r="I1400" s="37">
        <f t="shared" si="21"/>
        <v>0.18350439468156621</v>
      </c>
      <c r="J1400" s="33"/>
    </row>
    <row r="1401" spans="1:10">
      <c r="A1401" s="33" t="s">
        <v>84</v>
      </c>
      <c r="B1401" s="34">
        <v>369.26499999999999</v>
      </c>
      <c r="C1401" s="35">
        <v>47750.9</v>
      </c>
      <c r="D1401" s="33" t="s">
        <v>116</v>
      </c>
      <c r="E1401" s="34">
        <v>369.25200000000001</v>
      </c>
      <c r="F1401" s="36">
        <v>1.2999999999999999E-2</v>
      </c>
      <c r="G1401" s="34">
        <v>1.2999999999999999E-2</v>
      </c>
      <c r="H1401" s="35">
        <v>48.1</v>
      </c>
      <c r="I1401" s="37">
        <f t="shared" si="21"/>
        <v>1.007310856968141E-3</v>
      </c>
      <c r="J1401" s="33" t="s">
        <v>116</v>
      </c>
    </row>
    <row r="1402" spans="1:10">
      <c r="A1402" s="33" t="s">
        <v>84</v>
      </c>
      <c r="B1402" s="34">
        <v>369.26499999999999</v>
      </c>
      <c r="C1402" s="35">
        <v>47750.9</v>
      </c>
      <c r="D1402" s="33" t="s">
        <v>275</v>
      </c>
      <c r="E1402" s="34">
        <v>369.26400000000001</v>
      </c>
      <c r="F1402" s="36">
        <v>9.9999999997635292E-4</v>
      </c>
      <c r="G1402" s="34">
        <v>9.9999999997635292E-4</v>
      </c>
      <c r="H1402" s="35">
        <v>845.8</v>
      </c>
      <c r="I1402" s="37">
        <f t="shared" si="21"/>
        <v>1.7712755152258911E-2</v>
      </c>
      <c r="J1402" s="33"/>
    </row>
    <row r="1403" spans="1:10">
      <c r="A1403" s="33" t="s">
        <v>84</v>
      </c>
      <c r="B1403" s="34">
        <v>369.26499999999999</v>
      </c>
      <c r="C1403" s="35">
        <v>47750.9</v>
      </c>
      <c r="D1403" s="33" t="s">
        <v>284</v>
      </c>
      <c r="E1403" s="34">
        <v>369.26400000000001</v>
      </c>
      <c r="F1403" s="36">
        <v>9.9999999997635292E-4</v>
      </c>
      <c r="G1403" s="34">
        <v>9.9999999997635292E-4</v>
      </c>
      <c r="H1403" s="35">
        <v>49</v>
      </c>
      <c r="I1403" s="37">
        <f t="shared" si="21"/>
        <v>1.0261586692606841E-3</v>
      </c>
      <c r="J1403" s="33"/>
    </row>
    <row r="1404" spans="1:10">
      <c r="A1404" s="33" t="s">
        <v>84</v>
      </c>
      <c r="B1404" s="34">
        <v>369.26499999999999</v>
      </c>
      <c r="C1404" s="35">
        <v>47750.9</v>
      </c>
      <c r="D1404" s="33" t="s">
        <v>270</v>
      </c>
      <c r="E1404" s="34">
        <v>369.27800000000002</v>
      </c>
      <c r="F1404" s="36">
        <v>1.30000000000337E-2</v>
      </c>
      <c r="G1404" s="34">
        <v>1.30000000000337E-2</v>
      </c>
      <c r="H1404" s="35">
        <v>517.29999999999995</v>
      </c>
      <c r="I1404" s="37">
        <f t="shared" si="21"/>
        <v>1.0833303665480649E-2</v>
      </c>
      <c r="J1404" s="33"/>
    </row>
    <row r="1405" spans="1:10">
      <c r="A1405" s="33" t="s">
        <v>84</v>
      </c>
      <c r="B1405" s="34">
        <v>369.26499999999999</v>
      </c>
      <c r="C1405" s="35">
        <v>47750.9</v>
      </c>
      <c r="D1405" s="33" t="s">
        <v>277</v>
      </c>
      <c r="E1405" s="34">
        <v>369.291</v>
      </c>
      <c r="F1405" s="36">
        <v>2.6000000000010501E-2</v>
      </c>
      <c r="G1405" s="34">
        <v>2.6000000000010501E-2</v>
      </c>
      <c r="H1405" s="35">
        <v>125.9</v>
      </c>
      <c r="I1405" s="37">
        <f t="shared" si="21"/>
        <v>2.6365995195902067E-3</v>
      </c>
      <c r="J1405" s="33"/>
    </row>
    <row r="1406" spans="1:10">
      <c r="A1406" s="33" t="s">
        <v>84</v>
      </c>
      <c r="B1406" s="34">
        <v>369.26499999999999</v>
      </c>
      <c r="C1406" s="35">
        <v>47750.9</v>
      </c>
      <c r="D1406" s="33" t="s">
        <v>36</v>
      </c>
      <c r="E1406" s="34">
        <v>369.29500000000002</v>
      </c>
      <c r="F1406" s="36">
        <v>0.03</v>
      </c>
      <c r="G1406" s="34">
        <v>0.03</v>
      </c>
      <c r="H1406" s="35">
        <v>933.9</v>
      </c>
      <c r="I1406" s="37">
        <f t="shared" si="21"/>
        <v>1.9557746555562302E-2</v>
      </c>
      <c r="J1406" s="33" t="s">
        <v>116</v>
      </c>
    </row>
    <row r="1407" spans="1:10">
      <c r="A1407" s="33" t="s">
        <v>84</v>
      </c>
      <c r="B1407" s="34">
        <v>369.26499999999999</v>
      </c>
      <c r="C1407" s="35">
        <v>47750.9</v>
      </c>
      <c r="D1407" s="33" t="s">
        <v>97</v>
      </c>
      <c r="E1407" s="34">
        <v>369.30399999999997</v>
      </c>
      <c r="F1407" s="36">
        <v>3.8999999999987302E-2</v>
      </c>
      <c r="G1407" s="34">
        <v>3.8999999999987302E-2</v>
      </c>
      <c r="H1407" s="35">
        <v>17</v>
      </c>
      <c r="I1407" s="37">
        <f t="shared" si="21"/>
        <v>3.5601423219248224E-4</v>
      </c>
      <c r="J1407" s="33"/>
    </row>
    <row r="1408" spans="1:10">
      <c r="A1408" s="33" t="s">
        <v>84</v>
      </c>
      <c r="B1408" s="34">
        <v>369.26499999999999</v>
      </c>
      <c r="C1408" s="35">
        <v>47750.9</v>
      </c>
      <c r="D1408" s="33" t="s">
        <v>193</v>
      </c>
      <c r="E1408" s="34">
        <v>369.30500000000001</v>
      </c>
      <c r="F1408" s="36">
        <v>4.0000000000020498E-2</v>
      </c>
      <c r="G1408" s="34">
        <v>4.0000000000020498E-2</v>
      </c>
      <c r="H1408" s="35">
        <v>6.9</v>
      </c>
      <c r="I1408" s="37">
        <f t="shared" si="21"/>
        <v>1.4449989424283102E-4</v>
      </c>
      <c r="J1408" s="33"/>
    </row>
    <row r="1409" spans="1:10">
      <c r="A1409" s="33" t="s">
        <v>84</v>
      </c>
      <c r="B1409" s="34">
        <v>369.26499999999999</v>
      </c>
      <c r="C1409" s="35">
        <v>47750.9</v>
      </c>
      <c r="D1409" s="33" t="s">
        <v>54</v>
      </c>
      <c r="E1409" s="34">
        <v>369.31</v>
      </c>
      <c r="F1409" s="36">
        <v>4.5000000000015902E-2</v>
      </c>
      <c r="G1409" s="34">
        <v>4.5000000000015902E-2</v>
      </c>
      <c r="H1409" s="35">
        <v>29.9</v>
      </c>
      <c r="I1409" s="37">
        <f t="shared" si="21"/>
        <v>6.2616620838560103E-4</v>
      </c>
      <c r="J1409" s="33"/>
    </row>
    <row r="1410" spans="1:10">
      <c r="A1410" s="33" t="s">
        <v>84</v>
      </c>
      <c r="B1410" s="34">
        <v>369.26499999999999</v>
      </c>
      <c r="C1410" s="35">
        <v>47750.9</v>
      </c>
      <c r="D1410" s="33" t="s">
        <v>273</v>
      </c>
      <c r="E1410" s="34">
        <v>369.33600000000001</v>
      </c>
      <c r="F1410" s="36">
        <v>7.1000000000026403E-2</v>
      </c>
      <c r="G1410" s="34">
        <v>7.1000000000026403E-2</v>
      </c>
      <c r="H1410" s="35">
        <v>30.8</v>
      </c>
      <c r="I1410" s="37">
        <f t="shared" ref="I1410:I1473" si="22">H1410/C1410</f>
        <v>6.4501402067814427E-4</v>
      </c>
      <c r="J1410" s="33"/>
    </row>
    <row r="1411" spans="1:10">
      <c r="A1411" s="33" t="s">
        <v>84</v>
      </c>
      <c r="B1411" s="34">
        <v>369.26499999999999</v>
      </c>
      <c r="C1411" s="35">
        <v>47750.9</v>
      </c>
      <c r="D1411" s="33" t="s">
        <v>25</v>
      </c>
      <c r="E1411" s="34">
        <v>369.34399999999999</v>
      </c>
      <c r="F1411" s="36">
        <v>7.9000000000007703E-2</v>
      </c>
      <c r="G1411" s="34">
        <v>7.9000000000007703E-2</v>
      </c>
      <c r="H1411" s="35">
        <v>346</v>
      </c>
      <c r="I1411" s="37">
        <f t="shared" si="22"/>
        <v>7.245936725799932E-3</v>
      </c>
      <c r="J1411" s="33" t="s">
        <v>116</v>
      </c>
    </row>
    <row r="1412" spans="1:10">
      <c r="A1412" s="33" t="s">
        <v>84</v>
      </c>
      <c r="B1412" s="34">
        <v>369.26499999999999</v>
      </c>
      <c r="C1412" s="35">
        <v>47750.9</v>
      </c>
      <c r="D1412" s="33" t="s">
        <v>54</v>
      </c>
      <c r="E1412" s="34">
        <v>369.34699999999998</v>
      </c>
      <c r="F1412" s="36">
        <v>8.1999999999993606E-2</v>
      </c>
      <c r="G1412" s="34">
        <v>8.1999999999993606E-2</v>
      </c>
      <c r="H1412" s="35">
        <v>36.799999999999997</v>
      </c>
      <c r="I1412" s="37">
        <f t="shared" si="22"/>
        <v>7.7066610262843205E-4</v>
      </c>
      <c r="J1412" s="33"/>
    </row>
    <row r="1413" spans="1:10">
      <c r="A1413" s="33" t="s">
        <v>84</v>
      </c>
      <c r="B1413" s="34">
        <v>369.26499999999999</v>
      </c>
      <c r="C1413" s="35">
        <v>47750.9</v>
      </c>
      <c r="D1413" s="33" t="s">
        <v>201</v>
      </c>
      <c r="E1413" s="34">
        <v>369.358</v>
      </c>
      <c r="F1413" s="36">
        <v>9.3000000000017694E-2</v>
      </c>
      <c r="G1413" s="34">
        <v>9.3000000000017694E-2</v>
      </c>
      <c r="H1413" s="35">
        <v>148.80000000000001</v>
      </c>
      <c r="I1413" s="37">
        <f t="shared" si="22"/>
        <v>3.1161716323671387E-3</v>
      </c>
      <c r="J1413" s="33"/>
    </row>
    <row r="1414" spans="1:10">
      <c r="A1414" s="33" t="s">
        <v>84</v>
      </c>
      <c r="B1414" s="34">
        <v>369.26499999999999</v>
      </c>
      <c r="C1414" s="35">
        <v>47750.9</v>
      </c>
      <c r="D1414" s="33" t="s">
        <v>240</v>
      </c>
      <c r="E1414" s="34">
        <v>369.36700000000002</v>
      </c>
      <c r="F1414" s="36">
        <v>0.102000000000032</v>
      </c>
      <c r="G1414" s="34">
        <v>0.102000000000032</v>
      </c>
      <c r="H1414" s="35">
        <v>70.099999999999994</v>
      </c>
      <c r="I1414" s="37">
        <f t="shared" si="22"/>
        <v>1.4680351574525294E-3</v>
      </c>
      <c r="J1414" s="33"/>
    </row>
    <row r="1415" spans="1:10">
      <c r="A1415" s="33" t="s">
        <v>84</v>
      </c>
      <c r="B1415" s="34">
        <v>369.26499999999999</v>
      </c>
      <c r="C1415" s="35">
        <v>47750.9</v>
      </c>
      <c r="D1415" s="33" t="s">
        <v>277</v>
      </c>
      <c r="E1415" s="34">
        <v>369.37</v>
      </c>
      <c r="F1415" s="36">
        <v>0.105000000000018</v>
      </c>
      <c r="G1415" s="34">
        <v>0.105000000000018</v>
      </c>
      <c r="H1415" s="35">
        <v>303.89999999999998</v>
      </c>
      <c r="I1415" s="37">
        <f t="shared" si="22"/>
        <v>6.3642779507820787E-3</v>
      </c>
      <c r="J1415" s="33"/>
    </row>
    <row r="1416" spans="1:10">
      <c r="A1416" s="33" t="s">
        <v>84</v>
      </c>
      <c r="B1416" s="34">
        <v>369.26499999999999</v>
      </c>
      <c r="C1416" s="35">
        <v>47750.9</v>
      </c>
      <c r="D1416" s="33" t="s">
        <v>25</v>
      </c>
      <c r="E1416" s="34">
        <v>369.37099999999998</v>
      </c>
      <c r="F1416" s="36">
        <v>0.105999999999995</v>
      </c>
      <c r="G1416" s="34">
        <v>0.105999999999995</v>
      </c>
      <c r="H1416" s="35">
        <v>202.8</v>
      </c>
      <c r="I1416" s="37">
        <f t="shared" si="22"/>
        <v>4.2470403699197291E-3</v>
      </c>
      <c r="J1416" s="33" t="s">
        <v>116</v>
      </c>
    </row>
    <row r="1417" spans="1:10">
      <c r="A1417" s="33" t="s">
        <v>84</v>
      </c>
      <c r="B1417" s="34">
        <v>369.26499999999999</v>
      </c>
      <c r="C1417" s="35">
        <v>47750.9</v>
      </c>
      <c r="D1417" s="33" t="s">
        <v>271</v>
      </c>
      <c r="E1417" s="34">
        <v>369.39</v>
      </c>
      <c r="F1417" s="36">
        <v>0.125</v>
      </c>
      <c r="G1417" s="34">
        <v>0.125</v>
      </c>
      <c r="H1417" s="35">
        <v>806</v>
      </c>
      <c r="I1417" s="37">
        <f t="shared" si="22"/>
        <v>1.6879263008655335E-2</v>
      </c>
      <c r="J1417" s="33"/>
    </row>
    <row r="1418" spans="1:10">
      <c r="A1418" s="33" t="s">
        <v>84</v>
      </c>
      <c r="B1418" s="34">
        <v>369.26499999999999</v>
      </c>
      <c r="C1418" s="35">
        <v>47750.9</v>
      </c>
      <c r="D1418" s="33" t="s">
        <v>165</v>
      </c>
      <c r="E1418" s="34">
        <v>369.39299999999997</v>
      </c>
      <c r="F1418" s="36">
        <v>0.12799999999998601</v>
      </c>
      <c r="G1418" s="34">
        <v>0.12799999999998601</v>
      </c>
      <c r="H1418" s="35">
        <v>9.1999999999999993</v>
      </c>
      <c r="I1418" s="37">
        <f t="shared" si="22"/>
        <v>1.9266652565710801E-4</v>
      </c>
      <c r="J1418" s="33"/>
    </row>
    <row r="1419" spans="1:10">
      <c r="A1419" s="33" t="s">
        <v>84</v>
      </c>
      <c r="B1419" s="34">
        <v>369.26499999999999</v>
      </c>
      <c r="C1419" s="35">
        <v>47750.9</v>
      </c>
      <c r="D1419" s="33" t="s">
        <v>270</v>
      </c>
      <c r="E1419" s="34">
        <v>369.399</v>
      </c>
      <c r="F1419" s="36">
        <v>0.134000000000015</v>
      </c>
      <c r="G1419" s="34">
        <v>0.134000000000015</v>
      </c>
      <c r="H1419" s="35">
        <v>5264.9</v>
      </c>
      <c r="I1419" s="37">
        <f t="shared" si="22"/>
        <v>0.11025760771001174</v>
      </c>
      <c r="J1419" s="33"/>
    </row>
    <row r="1420" spans="1:10">
      <c r="A1420" s="33" t="s">
        <v>84</v>
      </c>
      <c r="B1420" s="34">
        <v>369.26499999999999</v>
      </c>
      <c r="C1420" s="35">
        <v>47750.9</v>
      </c>
      <c r="D1420" s="33" t="s">
        <v>97</v>
      </c>
      <c r="E1420" s="34">
        <v>369.40100000000001</v>
      </c>
      <c r="F1420" s="36">
        <v>0.13600000000002399</v>
      </c>
      <c r="G1420" s="34">
        <v>0.13600000000002399</v>
      </c>
      <c r="H1420" s="35">
        <v>52.5</v>
      </c>
      <c r="I1420" s="37">
        <f t="shared" si="22"/>
        <v>1.0994557170650187E-3</v>
      </c>
      <c r="J1420" s="33"/>
    </row>
    <row r="1421" spans="1:10">
      <c r="A1421" s="33" t="s">
        <v>84</v>
      </c>
      <c r="B1421" s="34">
        <v>369.26499999999999</v>
      </c>
      <c r="C1421" s="35">
        <v>47750.9</v>
      </c>
      <c r="D1421" s="33" t="s">
        <v>36</v>
      </c>
      <c r="E1421" s="34">
        <v>369.404</v>
      </c>
      <c r="F1421" s="36">
        <v>0.13900000000000001</v>
      </c>
      <c r="G1421" s="34">
        <v>0.13900000000000001</v>
      </c>
      <c r="H1421" s="35">
        <v>614.1</v>
      </c>
      <c r="I1421" s="37">
        <f t="shared" si="22"/>
        <v>1.2860490587611961E-2</v>
      </c>
      <c r="J1421" s="33" t="s">
        <v>116</v>
      </c>
    </row>
    <row r="1422" spans="1:10">
      <c r="A1422" s="33" t="s">
        <v>84</v>
      </c>
      <c r="B1422" s="34">
        <v>369.26499999999999</v>
      </c>
      <c r="C1422" s="35">
        <v>47750.9</v>
      </c>
      <c r="D1422" s="33" t="s">
        <v>240</v>
      </c>
      <c r="E1422" s="34">
        <v>369.416</v>
      </c>
      <c r="F1422" s="36">
        <v>0.15100000000001099</v>
      </c>
      <c r="G1422" s="34">
        <v>0.15100000000001099</v>
      </c>
      <c r="H1422" s="35">
        <v>3.5</v>
      </c>
      <c r="I1422" s="37">
        <f t="shared" si="22"/>
        <v>7.3297047804334574E-5</v>
      </c>
      <c r="J1422" s="33"/>
    </row>
    <row r="1423" spans="1:10">
      <c r="A1423" s="33" t="s">
        <v>84</v>
      </c>
      <c r="B1423" s="34">
        <v>389.62299999999999</v>
      </c>
      <c r="C1423" s="35">
        <v>28403.7</v>
      </c>
      <c r="D1423" s="33" t="s">
        <v>54</v>
      </c>
      <c r="E1423" s="34">
        <v>389.49799999999999</v>
      </c>
      <c r="F1423" s="36">
        <v>0.125</v>
      </c>
      <c r="G1423" s="34">
        <v>0.125</v>
      </c>
      <c r="H1423" s="35">
        <v>141.9</v>
      </c>
      <c r="I1423" s="37">
        <f t="shared" si="22"/>
        <v>4.9958280083228597E-3</v>
      </c>
      <c r="J1423" s="33"/>
    </row>
    <row r="1424" spans="1:10">
      <c r="A1424" s="33" t="s">
        <v>84</v>
      </c>
      <c r="B1424" s="34">
        <v>389.62299999999999</v>
      </c>
      <c r="C1424" s="35">
        <v>28403.7</v>
      </c>
      <c r="D1424" s="33" t="s">
        <v>184</v>
      </c>
      <c r="E1424" s="34">
        <v>389.49799999999999</v>
      </c>
      <c r="F1424" s="36">
        <v>0.125</v>
      </c>
      <c r="G1424" s="34">
        <v>0.125</v>
      </c>
      <c r="H1424" s="35">
        <v>32.9</v>
      </c>
      <c r="I1424" s="37">
        <f t="shared" si="22"/>
        <v>1.1582997989698525E-3</v>
      </c>
      <c r="J1424" s="33"/>
    </row>
    <row r="1425" spans="1:10">
      <c r="A1425" s="33" t="s">
        <v>84</v>
      </c>
      <c r="B1425" s="34">
        <v>389.62299999999999</v>
      </c>
      <c r="C1425" s="35">
        <v>28403.7</v>
      </c>
      <c r="D1425" s="33" t="s">
        <v>25</v>
      </c>
      <c r="E1425" s="34">
        <v>389.51100000000002</v>
      </c>
      <c r="F1425" s="36">
        <v>0.111999999999966</v>
      </c>
      <c r="G1425" s="34">
        <v>0.111999999999966</v>
      </c>
      <c r="H1425" s="35">
        <v>2638.8</v>
      </c>
      <c r="I1425" s="37">
        <f t="shared" si="22"/>
        <v>9.2903389347162524E-2</v>
      </c>
      <c r="J1425" s="33" t="s">
        <v>116</v>
      </c>
    </row>
    <row r="1426" spans="1:10">
      <c r="A1426" s="33" t="s">
        <v>84</v>
      </c>
      <c r="B1426" s="34">
        <v>389.62299999999999</v>
      </c>
      <c r="C1426" s="35">
        <v>28403.7</v>
      </c>
      <c r="D1426" s="33" t="s">
        <v>237</v>
      </c>
      <c r="E1426" s="34">
        <v>389.524</v>
      </c>
      <c r="F1426" s="36">
        <v>9.8999999999989499E-2</v>
      </c>
      <c r="G1426" s="34">
        <v>9.8999999999989499E-2</v>
      </c>
      <c r="H1426" s="35">
        <v>116.9</v>
      </c>
      <c r="I1426" s="37">
        <f t="shared" si="22"/>
        <v>4.1156609878290505E-3</v>
      </c>
      <c r="J1426" s="33"/>
    </row>
    <row r="1427" spans="1:10">
      <c r="A1427" s="33" t="s">
        <v>84</v>
      </c>
      <c r="B1427" s="34">
        <v>389.62299999999999</v>
      </c>
      <c r="C1427" s="35">
        <v>28403.7</v>
      </c>
      <c r="D1427" s="33" t="s">
        <v>277</v>
      </c>
      <c r="E1427" s="34">
        <v>389.52699999999999</v>
      </c>
      <c r="F1427" s="36">
        <v>9.6000000000003596E-2</v>
      </c>
      <c r="G1427" s="34">
        <v>9.6000000000003596E-2</v>
      </c>
      <c r="H1427" s="35">
        <v>269.39999999999998</v>
      </c>
      <c r="I1427" s="37">
        <f t="shared" si="22"/>
        <v>9.4846798128412832E-3</v>
      </c>
      <c r="J1427" s="33"/>
    </row>
    <row r="1428" spans="1:10">
      <c r="A1428" s="33" t="s">
        <v>84</v>
      </c>
      <c r="B1428" s="34">
        <v>389.62299999999999</v>
      </c>
      <c r="C1428" s="35">
        <v>28403.7</v>
      </c>
      <c r="D1428" s="33" t="s">
        <v>33</v>
      </c>
      <c r="E1428" s="34">
        <v>389.53699999999998</v>
      </c>
      <c r="F1428" s="36">
        <v>8.6000000000012705E-2</v>
      </c>
      <c r="G1428" s="34">
        <v>8.6000000000012705E-2</v>
      </c>
      <c r="H1428" s="35">
        <v>763.9</v>
      </c>
      <c r="I1428" s="37">
        <f t="shared" si="22"/>
        <v>2.6894383478208824E-2</v>
      </c>
      <c r="J1428" s="33" t="s">
        <v>116</v>
      </c>
    </row>
    <row r="1429" spans="1:10">
      <c r="A1429" s="33" t="s">
        <v>84</v>
      </c>
      <c r="B1429" s="34">
        <v>389.62299999999999</v>
      </c>
      <c r="C1429" s="35">
        <v>28403.7</v>
      </c>
      <c r="D1429" s="33" t="s">
        <v>27</v>
      </c>
      <c r="E1429" s="34">
        <v>389.53699999999998</v>
      </c>
      <c r="F1429" s="36">
        <v>8.6000000000012705E-2</v>
      </c>
      <c r="G1429" s="34">
        <v>8.6000000000012705E-2</v>
      </c>
      <c r="H1429" s="35">
        <v>689</v>
      </c>
      <c r="I1429" s="37">
        <f t="shared" si="22"/>
        <v>2.4257403084809372E-2</v>
      </c>
      <c r="J1429" s="33" t="s">
        <v>116</v>
      </c>
    </row>
    <row r="1430" spans="1:10">
      <c r="A1430" s="33" t="s">
        <v>84</v>
      </c>
      <c r="B1430" s="34">
        <v>389.62299999999999</v>
      </c>
      <c r="C1430" s="35">
        <v>28403.7</v>
      </c>
      <c r="D1430" s="33" t="s">
        <v>270</v>
      </c>
      <c r="E1430" s="34">
        <v>389.54199999999997</v>
      </c>
      <c r="F1430" s="36">
        <v>8.1000000000017294E-2</v>
      </c>
      <c r="G1430" s="34">
        <v>8.1000000000017294E-2</v>
      </c>
      <c r="H1430" s="35">
        <v>206.7</v>
      </c>
      <c r="I1430" s="37">
        <f t="shared" si="22"/>
        <v>7.2772209254428118E-3</v>
      </c>
      <c r="J1430" s="33"/>
    </row>
    <row r="1431" spans="1:10">
      <c r="A1431" s="33" t="s">
        <v>84</v>
      </c>
      <c r="B1431" s="34">
        <v>389.62299999999999</v>
      </c>
      <c r="C1431" s="35">
        <v>28403.7</v>
      </c>
      <c r="D1431" s="33" t="s">
        <v>271</v>
      </c>
      <c r="E1431" s="34">
        <v>389.54199999999997</v>
      </c>
      <c r="F1431" s="36">
        <v>8.1000000000017294E-2</v>
      </c>
      <c r="G1431" s="34">
        <v>8.1000000000017294E-2</v>
      </c>
      <c r="H1431" s="35">
        <v>103.7</v>
      </c>
      <c r="I1431" s="37">
        <f t="shared" si="22"/>
        <v>3.6509328010083195E-3</v>
      </c>
      <c r="J1431" s="33"/>
    </row>
    <row r="1432" spans="1:10">
      <c r="A1432" s="33" t="s">
        <v>84</v>
      </c>
      <c r="B1432" s="34">
        <v>389.62299999999999</v>
      </c>
      <c r="C1432" s="35">
        <v>28403.7</v>
      </c>
      <c r="D1432" s="33" t="s">
        <v>25</v>
      </c>
      <c r="E1432" s="34">
        <v>389.54500000000002</v>
      </c>
      <c r="F1432" s="36">
        <v>7.7999999999974506E-2</v>
      </c>
      <c r="G1432" s="34">
        <v>7.7999999999974506E-2</v>
      </c>
      <c r="H1432" s="35">
        <v>225.8</v>
      </c>
      <c r="I1432" s="37">
        <f t="shared" si="22"/>
        <v>7.9496685291000815E-3</v>
      </c>
      <c r="J1432" s="33" t="s">
        <v>116</v>
      </c>
    </row>
    <row r="1433" spans="1:10">
      <c r="A1433" s="33" t="s">
        <v>84</v>
      </c>
      <c r="B1433" s="34">
        <v>389.62299999999999</v>
      </c>
      <c r="C1433" s="35">
        <v>28403.7</v>
      </c>
      <c r="D1433" s="33" t="s">
        <v>281</v>
      </c>
      <c r="E1433" s="34">
        <v>389.55700000000002</v>
      </c>
      <c r="F1433" s="36">
        <v>6.5999999999974093E-2</v>
      </c>
      <c r="G1433" s="34">
        <v>6.5999999999974093E-2</v>
      </c>
      <c r="H1433" s="35">
        <v>14.8</v>
      </c>
      <c r="I1433" s="37">
        <f t="shared" si="22"/>
        <v>5.2105887613233489E-4</v>
      </c>
      <c r="J1433" s="33"/>
    </row>
    <row r="1434" spans="1:10">
      <c r="A1434" s="33" t="s">
        <v>84</v>
      </c>
      <c r="B1434" s="34">
        <v>389.62299999999999</v>
      </c>
      <c r="C1434" s="35">
        <v>28403.7</v>
      </c>
      <c r="D1434" s="33" t="s">
        <v>97</v>
      </c>
      <c r="E1434" s="34">
        <v>389.56599999999997</v>
      </c>
      <c r="F1434" s="36">
        <v>5.7000000000016399E-2</v>
      </c>
      <c r="G1434" s="34">
        <v>5.7000000000016399E-2</v>
      </c>
      <c r="H1434" s="35">
        <v>243.9</v>
      </c>
      <c r="I1434" s="37">
        <f t="shared" si="22"/>
        <v>8.5869094519376004E-3</v>
      </c>
      <c r="J1434" s="33"/>
    </row>
    <row r="1435" spans="1:10">
      <c r="A1435" s="33" t="s">
        <v>84</v>
      </c>
      <c r="B1435" s="34">
        <v>389.62299999999999</v>
      </c>
      <c r="C1435" s="35">
        <v>28403.7</v>
      </c>
      <c r="D1435" s="33" t="s">
        <v>109</v>
      </c>
      <c r="E1435" s="34">
        <v>389.56700000000001</v>
      </c>
      <c r="F1435" s="36">
        <v>5.5999999999983202E-2</v>
      </c>
      <c r="G1435" s="34">
        <v>5.5999999999983202E-2</v>
      </c>
      <c r="H1435" s="35">
        <v>114.1</v>
      </c>
      <c r="I1435" s="37">
        <f t="shared" si="22"/>
        <v>4.0170822815337433E-3</v>
      </c>
      <c r="J1435" s="33" t="s">
        <v>116</v>
      </c>
    </row>
    <row r="1436" spans="1:10">
      <c r="A1436" s="33" t="s">
        <v>84</v>
      </c>
      <c r="B1436" s="34">
        <v>389.62299999999999</v>
      </c>
      <c r="C1436" s="35">
        <v>28403.7</v>
      </c>
      <c r="D1436" s="33" t="s">
        <v>84</v>
      </c>
      <c r="E1436" s="34">
        <v>389.58</v>
      </c>
      <c r="F1436" s="36">
        <v>4.3000000000006401E-2</v>
      </c>
      <c r="G1436" s="34">
        <v>4.3000000000006401E-2</v>
      </c>
      <c r="H1436" s="35">
        <v>1133.5</v>
      </c>
      <c r="I1436" s="37">
        <f t="shared" si="22"/>
        <v>3.9906772709189298E-2</v>
      </c>
      <c r="J1436" s="33" t="s">
        <v>116</v>
      </c>
    </row>
    <row r="1437" spans="1:10">
      <c r="A1437" s="33" t="s">
        <v>84</v>
      </c>
      <c r="B1437" s="34">
        <v>389.62299999999999</v>
      </c>
      <c r="C1437" s="35">
        <v>28403.7</v>
      </c>
      <c r="D1437" s="33" t="s">
        <v>273</v>
      </c>
      <c r="E1437" s="34">
        <v>389.59</v>
      </c>
      <c r="F1437" s="36">
        <v>3.3000000000015503E-2</v>
      </c>
      <c r="G1437" s="34">
        <v>3.3000000000015503E-2</v>
      </c>
      <c r="H1437" s="35">
        <v>55</v>
      </c>
      <c r="I1437" s="37">
        <f t="shared" si="22"/>
        <v>1.9363674450863795E-3</v>
      </c>
      <c r="J1437" s="33"/>
    </row>
    <row r="1438" spans="1:10">
      <c r="A1438" s="33" t="s">
        <v>84</v>
      </c>
      <c r="B1438" s="34">
        <v>389.62299999999999</v>
      </c>
      <c r="C1438" s="35">
        <v>28403.7</v>
      </c>
      <c r="D1438" s="33" t="s">
        <v>201</v>
      </c>
      <c r="E1438" s="34">
        <v>389.59899999999999</v>
      </c>
      <c r="F1438" s="36">
        <v>2.4000000000000899E-2</v>
      </c>
      <c r="G1438" s="34">
        <v>2.4000000000000899E-2</v>
      </c>
      <c r="H1438" s="35">
        <v>1763</v>
      </c>
      <c r="I1438" s="37">
        <f t="shared" si="22"/>
        <v>6.2069378285223402E-2</v>
      </c>
      <c r="J1438" s="33"/>
    </row>
    <row r="1439" spans="1:10">
      <c r="A1439" s="33" t="s">
        <v>84</v>
      </c>
      <c r="B1439" s="34">
        <v>389.62299999999999</v>
      </c>
      <c r="C1439" s="35">
        <v>28403.7</v>
      </c>
      <c r="D1439" s="33" t="s">
        <v>27</v>
      </c>
      <c r="E1439" s="34">
        <v>389.61399999999998</v>
      </c>
      <c r="F1439" s="36">
        <v>9.0000000000145502E-3</v>
      </c>
      <c r="G1439" s="34">
        <v>9.0000000000145502E-3</v>
      </c>
      <c r="H1439" s="35">
        <v>1114.0999999999999</v>
      </c>
      <c r="I1439" s="37">
        <f t="shared" si="22"/>
        <v>3.9223763101286092E-2</v>
      </c>
      <c r="J1439" s="33" t="s">
        <v>116</v>
      </c>
    </row>
    <row r="1440" spans="1:10">
      <c r="A1440" s="33" t="s">
        <v>84</v>
      </c>
      <c r="B1440" s="34">
        <v>389.62299999999999</v>
      </c>
      <c r="C1440" s="35">
        <v>28403.7</v>
      </c>
      <c r="D1440" s="33" t="s">
        <v>278</v>
      </c>
      <c r="E1440" s="34">
        <v>389.61500000000001</v>
      </c>
      <c r="F1440" s="36">
        <v>7.9999999999813606E-3</v>
      </c>
      <c r="G1440" s="34">
        <v>7.9999999999813606E-3</v>
      </c>
      <c r="H1440" s="35">
        <v>477.1</v>
      </c>
      <c r="I1440" s="37">
        <f t="shared" si="22"/>
        <v>1.6797107419103851E-2</v>
      </c>
      <c r="J1440" s="33"/>
    </row>
    <row r="1441" spans="1:10">
      <c r="A1441" s="33" t="s">
        <v>84</v>
      </c>
      <c r="B1441" s="34">
        <v>389.62299999999999</v>
      </c>
      <c r="C1441" s="35">
        <v>28403.7</v>
      </c>
      <c r="D1441" s="33" t="s">
        <v>236</v>
      </c>
      <c r="E1441" s="34">
        <v>389.65300000000002</v>
      </c>
      <c r="F1441" s="36">
        <v>3.00000000000296E-2</v>
      </c>
      <c r="G1441" s="34">
        <v>3.00000000000296E-2</v>
      </c>
      <c r="H1441" s="35">
        <v>57.7</v>
      </c>
      <c r="I1441" s="37">
        <f t="shared" si="22"/>
        <v>2.0314254832997109E-3</v>
      </c>
      <c r="J1441" s="33"/>
    </row>
    <row r="1442" spans="1:10">
      <c r="A1442" s="33" t="s">
        <v>84</v>
      </c>
      <c r="B1442" s="34">
        <v>389.62299999999999</v>
      </c>
      <c r="C1442" s="35">
        <v>28403.7</v>
      </c>
      <c r="D1442" s="33" t="s">
        <v>201</v>
      </c>
      <c r="E1442" s="34">
        <v>389.65800000000002</v>
      </c>
      <c r="F1442" s="36">
        <v>3.5000000000024997E-2</v>
      </c>
      <c r="G1442" s="34">
        <v>3.5000000000024997E-2</v>
      </c>
      <c r="H1442" s="35">
        <v>2132.9</v>
      </c>
      <c r="I1442" s="37">
        <f t="shared" si="22"/>
        <v>7.5092329520449808E-2</v>
      </c>
      <c r="J1442" s="33"/>
    </row>
    <row r="1443" spans="1:10">
      <c r="A1443" s="33" t="s">
        <v>84</v>
      </c>
      <c r="B1443" s="34">
        <v>389.62299999999999</v>
      </c>
      <c r="C1443" s="35">
        <v>28403.7</v>
      </c>
      <c r="D1443" s="33" t="s">
        <v>94</v>
      </c>
      <c r="E1443" s="34">
        <v>389.67599999999999</v>
      </c>
      <c r="F1443" s="36">
        <v>5.2999999999997299E-2</v>
      </c>
      <c r="G1443" s="34">
        <v>5.2999999999997299E-2</v>
      </c>
      <c r="H1443" s="35">
        <v>2665.6</v>
      </c>
      <c r="I1443" s="37">
        <f t="shared" si="22"/>
        <v>9.384692839313187E-2</v>
      </c>
      <c r="J1443" s="33" t="s">
        <v>116</v>
      </c>
    </row>
    <row r="1444" spans="1:10">
      <c r="A1444" s="33" t="s">
        <v>84</v>
      </c>
      <c r="B1444" s="34">
        <v>389.62299999999999</v>
      </c>
      <c r="C1444" s="35">
        <v>28403.7</v>
      </c>
      <c r="D1444" s="33" t="s">
        <v>277</v>
      </c>
      <c r="E1444" s="34">
        <v>389.67700000000002</v>
      </c>
      <c r="F1444" s="36">
        <v>5.4000000000030503E-2</v>
      </c>
      <c r="G1444" s="34">
        <v>5.4000000000030503E-2</v>
      </c>
      <c r="H1444" s="35">
        <v>568.70000000000005</v>
      </c>
      <c r="I1444" s="37">
        <f t="shared" si="22"/>
        <v>2.0022039382193164E-2</v>
      </c>
      <c r="J1444" s="33"/>
    </row>
    <row r="1445" spans="1:10">
      <c r="A1445" s="33" t="s">
        <v>84</v>
      </c>
      <c r="B1445" s="34">
        <v>389.62299999999999</v>
      </c>
      <c r="C1445" s="35">
        <v>28403.7</v>
      </c>
      <c r="D1445" s="33" t="s">
        <v>25</v>
      </c>
      <c r="E1445" s="34">
        <v>389.68</v>
      </c>
      <c r="F1445" s="36">
        <v>5.7000000000016399E-2</v>
      </c>
      <c r="G1445" s="34">
        <v>5.7000000000016399E-2</v>
      </c>
      <c r="H1445" s="35">
        <v>2547</v>
      </c>
      <c r="I1445" s="37">
        <f t="shared" si="22"/>
        <v>8.967141604790925E-2</v>
      </c>
      <c r="J1445" s="33" t="s">
        <v>116</v>
      </c>
    </row>
    <row r="1446" spans="1:10">
      <c r="A1446" s="33" t="s">
        <v>84</v>
      </c>
      <c r="B1446" s="34">
        <v>389.62299999999999</v>
      </c>
      <c r="C1446" s="35">
        <v>28403.7</v>
      </c>
      <c r="D1446" s="33" t="s">
        <v>270</v>
      </c>
      <c r="E1446" s="34">
        <v>389.697</v>
      </c>
      <c r="F1446" s="36">
        <v>7.4000000000012306E-2</v>
      </c>
      <c r="G1446" s="34">
        <v>7.4000000000012306E-2</v>
      </c>
      <c r="H1446" s="35">
        <v>6554.6</v>
      </c>
      <c r="I1446" s="37">
        <f t="shared" si="22"/>
        <v>0.2307657101011488</v>
      </c>
      <c r="J1446" s="33"/>
    </row>
    <row r="1447" spans="1:10">
      <c r="A1447" s="33" t="s">
        <v>84</v>
      </c>
      <c r="B1447" s="34">
        <v>389.62299999999999</v>
      </c>
      <c r="C1447" s="35">
        <v>28403.7</v>
      </c>
      <c r="D1447" s="33" t="s">
        <v>278</v>
      </c>
      <c r="E1447" s="34">
        <v>389.70800000000003</v>
      </c>
      <c r="F1447" s="36">
        <v>8.5000000000036394E-2</v>
      </c>
      <c r="G1447" s="34">
        <v>8.5000000000036394E-2</v>
      </c>
      <c r="H1447" s="35">
        <v>56.2</v>
      </c>
      <c r="I1447" s="37">
        <f t="shared" si="22"/>
        <v>1.9786154620700823E-3</v>
      </c>
      <c r="J1447" s="33"/>
    </row>
    <row r="1448" spans="1:10">
      <c r="A1448" s="33" t="s">
        <v>84</v>
      </c>
      <c r="B1448" s="34">
        <v>389.62299999999999</v>
      </c>
      <c r="C1448" s="35">
        <v>28403.7</v>
      </c>
      <c r="D1448" s="33" t="s">
        <v>268</v>
      </c>
      <c r="E1448" s="34">
        <v>389.72399999999999</v>
      </c>
      <c r="F1448" s="36">
        <v>0.10099999999999899</v>
      </c>
      <c r="G1448" s="34">
        <v>0.10099999999999899</v>
      </c>
      <c r="H1448" s="35">
        <v>10.9</v>
      </c>
      <c r="I1448" s="37">
        <f t="shared" si="22"/>
        <v>3.837528209353007E-4</v>
      </c>
      <c r="J1448" s="33"/>
    </row>
    <row r="1449" spans="1:10">
      <c r="A1449" s="33" t="s">
        <v>84</v>
      </c>
      <c r="B1449" s="34">
        <v>389.62299999999999</v>
      </c>
      <c r="C1449" s="35">
        <v>28403.7</v>
      </c>
      <c r="D1449" s="33" t="s">
        <v>173</v>
      </c>
      <c r="E1449" s="34">
        <v>389.72500000000002</v>
      </c>
      <c r="F1449" s="36">
        <v>0.102000000000032</v>
      </c>
      <c r="G1449" s="34">
        <v>0.102000000000032</v>
      </c>
      <c r="H1449" s="35">
        <v>1644.2</v>
      </c>
      <c r="I1449" s="37">
        <f t="shared" si="22"/>
        <v>5.7886824603836824E-2</v>
      </c>
      <c r="J1449" s="33"/>
    </row>
    <row r="1450" spans="1:10">
      <c r="A1450" s="33" t="s">
        <v>84</v>
      </c>
      <c r="B1450" s="34">
        <v>389.62299999999999</v>
      </c>
      <c r="C1450" s="35">
        <v>28403.7</v>
      </c>
      <c r="D1450" s="33" t="s">
        <v>25</v>
      </c>
      <c r="E1450" s="34">
        <v>389.74200000000002</v>
      </c>
      <c r="F1450" s="36">
        <v>0.119000000000028</v>
      </c>
      <c r="G1450" s="34">
        <v>0.119000000000028</v>
      </c>
      <c r="H1450" s="35">
        <v>217.2</v>
      </c>
      <c r="I1450" s="37">
        <f t="shared" si="22"/>
        <v>7.6468910740502116E-3</v>
      </c>
      <c r="J1450" s="33" t="s">
        <v>116</v>
      </c>
    </row>
    <row r="1451" spans="1:10">
      <c r="A1451" s="33" t="s">
        <v>84</v>
      </c>
      <c r="B1451" s="34">
        <v>389.62299999999999</v>
      </c>
      <c r="C1451" s="35">
        <v>28403.7</v>
      </c>
      <c r="D1451" s="33" t="s">
        <v>27</v>
      </c>
      <c r="E1451" s="34">
        <v>389.76299999999998</v>
      </c>
      <c r="F1451" s="36">
        <v>0.139999999999986</v>
      </c>
      <c r="G1451" s="34">
        <v>0.139999999999986</v>
      </c>
      <c r="H1451" s="35">
        <v>1404.2</v>
      </c>
      <c r="I1451" s="37">
        <f t="shared" si="22"/>
        <v>4.943722120709626E-2</v>
      </c>
      <c r="J1451" s="33" t="s">
        <v>116</v>
      </c>
    </row>
    <row r="1452" spans="1:10">
      <c r="A1452" s="33" t="s">
        <v>84</v>
      </c>
      <c r="B1452" s="34">
        <v>389.62299999999999</v>
      </c>
      <c r="C1452" s="35">
        <v>28403.7</v>
      </c>
      <c r="D1452" s="33" t="s">
        <v>236</v>
      </c>
      <c r="E1452" s="34">
        <v>389.76400000000001</v>
      </c>
      <c r="F1452" s="36">
        <v>0.14100000000002</v>
      </c>
      <c r="G1452" s="34">
        <v>0.14100000000002</v>
      </c>
      <c r="H1452" s="35">
        <v>26</v>
      </c>
      <c r="I1452" s="37">
        <f t="shared" si="22"/>
        <v>9.1537370131356119E-4</v>
      </c>
      <c r="J1452" s="33"/>
    </row>
    <row r="1453" spans="1:10">
      <c r="A1453" s="33" t="s">
        <v>84</v>
      </c>
      <c r="B1453" s="34">
        <v>389.62299999999999</v>
      </c>
      <c r="C1453" s="35">
        <v>28403.7</v>
      </c>
      <c r="D1453" s="33" t="s">
        <v>239</v>
      </c>
      <c r="E1453" s="34">
        <v>389.76499999999999</v>
      </c>
      <c r="F1453" s="36">
        <v>0.14199999999999599</v>
      </c>
      <c r="G1453" s="34">
        <v>0.14199999999999599</v>
      </c>
      <c r="H1453" s="35">
        <v>17.399999999999999</v>
      </c>
      <c r="I1453" s="37">
        <f t="shared" si="22"/>
        <v>6.1259624626369095E-4</v>
      </c>
      <c r="J1453" s="33"/>
    </row>
    <row r="1454" spans="1:10">
      <c r="A1454" s="33" t="s">
        <v>84</v>
      </c>
      <c r="B1454" s="34">
        <v>389.62299999999999</v>
      </c>
      <c r="C1454" s="35">
        <v>28403.7</v>
      </c>
      <c r="D1454" s="33" t="s">
        <v>277</v>
      </c>
      <c r="E1454" s="34">
        <v>389.77100000000002</v>
      </c>
      <c r="F1454" s="36">
        <v>0.148000000000025</v>
      </c>
      <c r="G1454" s="34">
        <v>0.148000000000025</v>
      </c>
      <c r="H1454" s="35">
        <v>162.30000000000001</v>
      </c>
      <c r="I1454" s="37">
        <f t="shared" si="22"/>
        <v>5.7140442970458078E-3</v>
      </c>
      <c r="J1454" s="33"/>
    </row>
    <row r="1455" spans="1:10">
      <c r="A1455" s="33" t="s">
        <v>84</v>
      </c>
      <c r="B1455" s="34">
        <v>389.62299999999999</v>
      </c>
      <c r="C1455" s="35">
        <v>28403.7</v>
      </c>
      <c r="D1455" s="33" t="s">
        <v>276</v>
      </c>
      <c r="E1455" s="34">
        <v>389.78699999999998</v>
      </c>
      <c r="F1455" s="36">
        <v>0.16399999999998699</v>
      </c>
      <c r="G1455" s="34">
        <v>0.16399999999998699</v>
      </c>
      <c r="H1455" s="35">
        <v>52.2</v>
      </c>
      <c r="I1455" s="37">
        <f t="shared" si="22"/>
        <v>1.8377887387910729E-3</v>
      </c>
      <c r="J1455" s="33"/>
    </row>
    <row r="1456" spans="1:10">
      <c r="A1456" s="33" t="s">
        <v>84</v>
      </c>
      <c r="B1456" s="34">
        <v>389.62299999999999</v>
      </c>
      <c r="C1456" s="35">
        <v>28403.7</v>
      </c>
      <c r="D1456" s="33" t="s">
        <v>97</v>
      </c>
      <c r="E1456" s="34">
        <v>389.78899999999999</v>
      </c>
      <c r="F1456" s="36">
        <v>0.16599999999999701</v>
      </c>
      <c r="G1456" s="34">
        <v>0.16599999999999701</v>
      </c>
      <c r="H1456" s="35">
        <v>30.9</v>
      </c>
      <c r="I1456" s="37">
        <f t="shared" si="22"/>
        <v>1.0878864373303476E-3</v>
      </c>
      <c r="J1456" s="33"/>
    </row>
    <row r="1457" spans="1:10">
      <c r="A1457" s="33" t="s">
        <v>84</v>
      </c>
      <c r="B1457" s="34">
        <v>389.62299999999999</v>
      </c>
      <c r="C1457" s="35">
        <v>28403.7</v>
      </c>
      <c r="D1457" s="33" t="s">
        <v>201</v>
      </c>
      <c r="E1457" s="34">
        <v>389.78899999999999</v>
      </c>
      <c r="F1457" s="36">
        <v>0.16599999999999701</v>
      </c>
      <c r="G1457" s="34">
        <v>0.16599999999999701</v>
      </c>
      <c r="H1457" s="35">
        <v>786.5</v>
      </c>
      <c r="I1457" s="37">
        <f t="shared" si="22"/>
        <v>2.7690054464735228E-2</v>
      </c>
      <c r="J1457" s="33"/>
    </row>
    <row r="1458" spans="1:10">
      <c r="A1458" s="33" t="s">
        <v>84</v>
      </c>
      <c r="B1458" s="34">
        <v>389.62299999999999</v>
      </c>
      <c r="C1458" s="35">
        <v>28403.7</v>
      </c>
      <c r="D1458" s="33" t="s">
        <v>274</v>
      </c>
      <c r="E1458" s="34">
        <v>389.791</v>
      </c>
      <c r="F1458" s="36">
        <v>0.16800000000000601</v>
      </c>
      <c r="G1458" s="34">
        <v>0.16800000000000601</v>
      </c>
      <c r="H1458" s="35">
        <v>25.3</v>
      </c>
      <c r="I1458" s="37">
        <f t="shared" si="22"/>
        <v>8.9072902473973461E-4</v>
      </c>
      <c r="J1458" s="33"/>
    </row>
    <row r="1459" spans="1:10">
      <c r="A1459" s="33" t="s">
        <v>84</v>
      </c>
      <c r="B1459" s="34">
        <v>390.63099999999997</v>
      </c>
      <c r="C1459" s="35">
        <v>33607</v>
      </c>
      <c r="D1459" s="33" t="s">
        <v>240</v>
      </c>
      <c r="E1459" s="34">
        <v>390.43</v>
      </c>
      <c r="F1459" s="36">
        <v>0.20099999999996501</v>
      </c>
      <c r="G1459" s="34">
        <v>0.20099999999996501</v>
      </c>
      <c r="H1459" s="35">
        <v>2.6</v>
      </c>
      <c r="I1459" s="37">
        <f t="shared" si="22"/>
        <v>7.7364834707055076E-5</v>
      </c>
      <c r="J1459" s="33"/>
    </row>
    <row r="1460" spans="1:10">
      <c r="A1460" s="33" t="s">
        <v>84</v>
      </c>
      <c r="B1460" s="34">
        <v>390.63099999999997</v>
      </c>
      <c r="C1460" s="35">
        <v>33607</v>
      </c>
      <c r="D1460" s="33" t="s">
        <v>277</v>
      </c>
      <c r="E1460" s="34">
        <v>390.43</v>
      </c>
      <c r="F1460" s="36">
        <v>0.20099999999996501</v>
      </c>
      <c r="G1460" s="34">
        <v>0.20099999999996501</v>
      </c>
      <c r="H1460" s="35">
        <v>165.2</v>
      </c>
      <c r="I1460" s="37">
        <f t="shared" si="22"/>
        <v>4.9156425744636533E-3</v>
      </c>
      <c r="J1460" s="33"/>
    </row>
    <row r="1461" spans="1:10">
      <c r="A1461" s="33" t="s">
        <v>84</v>
      </c>
      <c r="B1461" s="34">
        <v>390.63099999999997</v>
      </c>
      <c r="C1461" s="35">
        <v>33607</v>
      </c>
      <c r="D1461" s="33" t="s">
        <v>25</v>
      </c>
      <c r="E1461" s="34">
        <v>390.43400000000003</v>
      </c>
      <c r="F1461" s="36">
        <v>0.196999999999946</v>
      </c>
      <c r="G1461" s="34">
        <v>0.196999999999946</v>
      </c>
      <c r="H1461" s="35">
        <v>836.5</v>
      </c>
      <c r="I1461" s="37">
        <f t="shared" si="22"/>
        <v>2.4890647781712145E-2</v>
      </c>
      <c r="J1461" s="33" t="s">
        <v>116</v>
      </c>
    </row>
    <row r="1462" spans="1:10">
      <c r="A1462" s="33" t="s">
        <v>84</v>
      </c>
      <c r="B1462" s="34">
        <v>390.63099999999997</v>
      </c>
      <c r="C1462" s="35">
        <v>33607</v>
      </c>
      <c r="D1462" s="33" t="s">
        <v>63</v>
      </c>
      <c r="E1462" s="34">
        <v>390.45100000000002</v>
      </c>
      <c r="F1462" s="36">
        <v>0.18</v>
      </c>
      <c r="G1462" s="34">
        <v>0.18</v>
      </c>
      <c r="H1462" s="35">
        <v>123.2</v>
      </c>
      <c r="I1462" s="37">
        <f t="shared" si="22"/>
        <v>3.6659029368881482E-3</v>
      </c>
      <c r="J1462" s="33" t="s">
        <v>116</v>
      </c>
    </row>
    <row r="1463" spans="1:10">
      <c r="A1463" s="33" t="s">
        <v>84</v>
      </c>
      <c r="B1463" s="34">
        <v>390.63099999999997</v>
      </c>
      <c r="C1463" s="35">
        <v>33607</v>
      </c>
      <c r="D1463" s="33" t="s">
        <v>84</v>
      </c>
      <c r="E1463" s="34">
        <v>390.45600000000002</v>
      </c>
      <c r="F1463" s="36">
        <v>0.17499999999999999</v>
      </c>
      <c r="G1463" s="34">
        <v>0.17499999999999999</v>
      </c>
      <c r="H1463" s="35">
        <v>875.5</v>
      </c>
      <c r="I1463" s="37">
        <f t="shared" si="22"/>
        <v>2.605112030231797E-2</v>
      </c>
      <c r="J1463" s="33" t="s">
        <v>116</v>
      </c>
    </row>
    <row r="1464" spans="1:10">
      <c r="A1464" s="33" t="s">
        <v>84</v>
      </c>
      <c r="B1464" s="34">
        <v>390.63099999999997</v>
      </c>
      <c r="C1464" s="35">
        <v>33607</v>
      </c>
      <c r="D1464" s="33" t="s">
        <v>237</v>
      </c>
      <c r="E1464" s="34">
        <v>390.47899999999998</v>
      </c>
      <c r="F1464" s="36">
        <v>0.15199999999998701</v>
      </c>
      <c r="G1464" s="34">
        <v>0.15199999999998701</v>
      </c>
      <c r="H1464" s="35">
        <v>538.29999999999995</v>
      </c>
      <c r="I1464" s="37">
        <f t="shared" si="22"/>
        <v>1.6017496354926056E-2</v>
      </c>
      <c r="J1464" s="33"/>
    </row>
    <row r="1465" spans="1:10">
      <c r="A1465" s="33" t="s">
        <v>84</v>
      </c>
      <c r="B1465" s="34">
        <v>390.63099999999997</v>
      </c>
      <c r="C1465" s="35">
        <v>33607</v>
      </c>
      <c r="D1465" s="33" t="s">
        <v>201</v>
      </c>
      <c r="E1465" s="34">
        <v>390.48099999999999</v>
      </c>
      <c r="F1465" s="36">
        <v>0.14999999999997701</v>
      </c>
      <c r="G1465" s="34">
        <v>0.14999999999997701</v>
      </c>
      <c r="H1465" s="35">
        <v>123.2</v>
      </c>
      <c r="I1465" s="37">
        <f t="shared" si="22"/>
        <v>3.6659029368881482E-3</v>
      </c>
      <c r="J1465" s="33"/>
    </row>
    <row r="1466" spans="1:10">
      <c r="A1466" s="33" t="s">
        <v>84</v>
      </c>
      <c r="B1466" s="34">
        <v>390.63099999999997</v>
      </c>
      <c r="C1466" s="35">
        <v>33607</v>
      </c>
      <c r="D1466" s="33" t="s">
        <v>173</v>
      </c>
      <c r="E1466" s="34">
        <v>390.48700000000002</v>
      </c>
      <c r="F1466" s="36">
        <v>0.143999999999949</v>
      </c>
      <c r="G1466" s="34">
        <v>0.143999999999949</v>
      </c>
      <c r="H1466" s="35">
        <v>208.1</v>
      </c>
      <c r="I1466" s="37">
        <f t="shared" si="22"/>
        <v>6.1921623471300619E-3</v>
      </c>
      <c r="J1466" s="33"/>
    </row>
    <row r="1467" spans="1:10">
      <c r="A1467" s="33" t="s">
        <v>84</v>
      </c>
      <c r="B1467" s="34">
        <v>390.63099999999997</v>
      </c>
      <c r="C1467" s="35">
        <v>33607</v>
      </c>
      <c r="D1467" s="33" t="s">
        <v>271</v>
      </c>
      <c r="E1467" s="34">
        <v>390.51900000000001</v>
      </c>
      <c r="F1467" s="36">
        <v>0.111999999999966</v>
      </c>
      <c r="G1467" s="34">
        <v>0.111999999999966</v>
      </c>
      <c r="H1467" s="35">
        <v>682.5</v>
      </c>
      <c r="I1467" s="37">
        <f t="shared" si="22"/>
        <v>2.0308269110601958E-2</v>
      </c>
      <c r="J1467" s="33"/>
    </row>
    <row r="1468" spans="1:10">
      <c r="A1468" s="33" t="s">
        <v>84</v>
      </c>
      <c r="B1468" s="34">
        <v>390.63099999999997</v>
      </c>
      <c r="C1468" s="35">
        <v>33607</v>
      </c>
      <c r="D1468" s="33" t="s">
        <v>25</v>
      </c>
      <c r="E1468" s="34">
        <v>390.529</v>
      </c>
      <c r="F1468" s="36">
        <v>0.101999999999975</v>
      </c>
      <c r="G1468" s="34">
        <v>0.101999999999975</v>
      </c>
      <c r="H1468" s="35">
        <v>139.1</v>
      </c>
      <c r="I1468" s="37">
        <f t="shared" si="22"/>
        <v>4.1390186568274461E-3</v>
      </c>
      <c r="J1468" s="33" t="s">
        <v>116</v>
      </c>
    </row>
    <row r="1469" spans="1:10">
      <c r="A1469" s="33" t="s">
        <v>84</v>
      </c>
      <c r="B1469" s="34">
        <v>390.63099999999997</v>
      </c>
      <c r="C1469" s="35">
        <v>33607</v>
      </c>
      <c r="D1469" s="33" t="s">
        <v>84</v>
      </c>
      <c r="E1469" s="34">
        <v>390.54</v>
      </c>
      <c r="F1469" s="36">
        <v>9.0999999999999998E-2</v>
      </c>
      <c r="G1469" s="34">
        <v>9.0999999999999998E-2</v>
      </c>
      <c r="H1469" s="35">
        <v>147</v>
      </c>
      <c r="I1469" s="37">
        <f t="shared" si="22"/>
        <v>4.3740887315142675E-3</v>
      </c>
      <c r="J1469" s="33" t="s">
        <v>116</v>
      </c>
    </row>
    <row r="1470" spans="1:10">
      <c r="A1470" s="33" t="s">
        <v>84</v>
      </c>
      <c r="B1470" s="34">
        <v>390.63099999999997</v>
      </c>
      <c r="C1470" s="35">
        <v>33607</v>
      </c>
      <c r="D1470" s="33" t="s">
        <v>293</v>
      </c>
      <c r="E1470" s="34">
        <v>390.55200000000002</v>
      </c>
      <c r="F1470" s="36">
        <v>7.8999999999950901E-2</v>
      </c>
      <c r="G1470" s="34">
        <v>7.8999999999950901E-2</v>
      </c>
      <c r="H1470" s="35">
        <v>289.39999999999998</v>
      </c>
      <c r="I1470" s="37">
        <f t="shared" si="22"/>
        <v>8.611301217008361E-3</v>
      </c>
      <c r="J1470" s="33"/>
    </row>
    <row r="1471" spans="1:10">
      <c r="A1471" s="33" t="s">
        <v>84</v>
      </c>
      <c r="B1471" s="34">
        <v>390.63099999999997</v>
      </c>
      <c r="C1471" s="35">
        <v>33607</v>
      </c>
      <c r="D1471" s="33" t="s">
        <v>33</v>
      </c>
      <c r="E1471" s="34">
        <v>390.56</v>
      </c>
      <c r="F1471" s="36">
        <v>7.0999999999969504E-2</v>
      </c>
      <c r="G1471" s="34">
        <v>7.0999999999969504E-2</v>
      </c>
      <c r="H1471" s="35">
        <v>142</v>
      </c>
      <c r="I1471" s="37">
        <f t="shared" si="22"/>
        <v>4.2253102032314693E-3</v>
      </c>
      <c r="J1471" s="33" t="s">
        <v>116</v>
      </c>
    </row>
    <row r="1472" spans="1:10">
      <c r="A1472" s="33" t="s">
        <v>84</v>
      </c>
      <c r="B1472" s="34">
        <v>390.63099999999997</v>
      </c>
      <c r="C1472" s="35">
        <v>33607</v>
      </c>
      <c r="D1472" s="33" t="s">
        <v>94</v>
      </c>
      <c r="E1472" s="34">
        <v>390.56299999999999</v>
      </c>
      <c r="F1472" s="36">
        <v>6.8000000000000005E-2</v>
      </c>
      <c r="G1472" s="34">
        <v>6.8000000000000005E-2</v>
      </c>
      <c r="H1472" s="35">
        <v>3409.7</v>
      </c>
      <c r="I1472" s="37">
        <f t="shared" si="22"/>
        <v>0.10145802957717141</v>
      </c>
      <c r="J1472" s="33" t="s">
        <v>116</v>
      </c>
    </row>
    <row r="1473" spans="1:10">
      <c r="A1473" s="33" t="s">
        <v>84</v>
      </c>
      <c r="B1473" s="34">
        <v>390.63099999999997</v>
      </c>
      <c r="C1473" s="35">
        <v>33607</v>
      </c>
      <c r="D1473" s="33" t="s">
        <v>239</v>
      </c>
      <c r="E1473" s="34">
        <v>390.56400000000002</v>
      </c>
      <c r="F1473" s="36">
        <v>6.6999999999950405E-2</v>
      </c>
      <c r="G1473" s="34">
        <v>6.6999999999950405E-2</v>
      </c>
      <c r="H1473" s="35">
        <v>14.5</v>
      </c>
      <c r="I1473" s="37">
        <f t="shared" si="22"/>
        <v>4.3145773202011488E-4</v>
      </c>
      <c r="J1473" s="33"/>
    </row>
    <row r="1474" spans="1:10">
      <c r="A1474" s="33" t="s">
        <v>84</v>
      </c>
      <c r="B1474" s="34">
        <v>390.63099999999997</v>
      </c>
      <c r="C1474" s="35">
        <v>33607</v>
      </c>
      <c r="D1474" s="33" t="s">
        <v>36</v>
      </c>
      <c r="E1474" s="34">
        <v>390.565</v>
      </c>
      <c r="F1474" s="36">
        <v>6.6000000000000003E-2</v>
      </c>
      <c r="G1474" s="34">
        <v>6.6000000000000003E-2</v>
      </c>
      <c r="H1474" s="35">
        <v>1.4</v>
      </c>
      <c r="I1474" s="37">
        <f t="shared" ref="I1474:I1537" si="23">H1474/C1474</f>
        <v>4.1657987919183503E-5</v>
      </c>
      <c r="J1474" s="33" t="s">
        <v>116</v>
      </c>
    </row>
    <row r="1475" spans="1:10">
      <c r="A1475" s="33" t="s">
        <v>84</v>
      </c>
      <c r="B1475" s="34">
        <v>390.63099999999997</v>
      </c>
      <c r="C1475" s="35">
        <v>33607</v>
      </c>
      <c r="D1475" s="33" t="s">
        <v>27</v>
      </c>
      <c r="E1475" s="34">
        <v>390.58699999999999</v>
      </c>
      <c r="F1475" s="36">
        <v>4.3999999999982699E-2</v>
      </c>
      <c r="G1475" s="34">
        <v>4.3999999999982699E-2</v>
      </c>
      <c r="H1475" s="35">
        <v>4629.2</v>
      </c>
      <c r="I1475" s="37">
        <f t="shared" si="23"/>
        <v>0.13774511262534592</v>
      </c>
      <c r="J1475" s="33" t="s">
        <v>116</v>
      </c>
    </row>
    <row r="1476" spans="1:10">
      <c r="A1476" s="33" t="s">
        <v>84</v>
      </c>
      <c r="B1476" s="34">
        <v>390.63099999999997</v>
      </c>
      <c r="C1476" s="35">
        <v>33607</v>
      </c>
      <c r="D1476" s="33" t="s">
        <v>274</v>
      </c>
      <c r="E1476" s="34">
        <v>390.59699999999998</v>
      </c>
      <c r="F1476" s="36">
        <v>3.3999999999991801E-2</v>
      </c>
      <c r="G1476" s="34">
        <v>3.3999999999991801E-2</v>
      </c>
      <c r="H1476" s="35">
        <v>5.6</v>
      </c>
      <c r="I1476" s="37">
        <f t="shared" si="23"/>
        <v>1.6663195167673401E-4</v>
      </c>
      <c r="J1476" s="33"/>
    </row>
    <row r="1477" spans="1:10">
      <c r="A1477" s="33" t="s">
        <v>84</v>
      </c>
      <c r="B1477" s="34">
        <v>390.63099999999997</v>
      </c>
      <c r="C1477" s="35">
        <v>33607</v>
      </c>
      <c r="D1477" s="33" t="s">
        <v>54</v>
      </c>
      <c r="E1477" s="34">
        <v>390.62900000000002</v>
      </c>
      <c r="F1477" s="36">
        <v>1.9999999999527102E-3</v>
      </c>
      <c r="G1477" s="34">
        <v>1.9999999999527102E-3</v>
      </c>
      <c r="H1477" s="35">
        <v>15.2</v>
      </c>
      <c r="I1477" s="37">
        <f t="shared" si="23"/>
        <v>4.5228672597970657E-4</v>
      </c>
      <c r="J1477" s="33"/>
    </row>
    <row r="1478" spans="1:10">
      <c r="A1478" s="33" t="s">
        <v>84</v>
      </c>
      <c r="B1478" s="34">
        <v>390.63099999999997</v>
      </c>
      <c r="C1478" s="35">
        <v>33607</v>
      </c>
      <c r="D1478" s="33" t="s">
        <v>296</v>
      </c>
      <c r="E1478" s="34">
        <v>390.637</v>
      </c>
      <c r="F1478" s="36">
        <v>6.00000000002865E-3</v>
      </c>
      <c r="G1478" s="34">
        <v>6.00000000002865E-3</v>
      </c>
      <c r="H1478" s="35">
        <v>0.3</v>
      </c>
      <c r="I1478" s="37">
        <f t="shared" si="23"/>
        <v>8.9267116969678932E-6</v>
      </c>
      <c r="J1478" s="33"/>
    </row>
    <row r="1479" spans="1:10">
      <c r="A1479" s="33" t="s">
        <v>84</v>
      </c>
      <c r="B1479" s="34">
        <v>390.63099999999997</v>
      </c>
      <c r="C1479" s="35">
        <v>33607</v>
      </c>
      <c r="D1479" s="33" t="s">
        <v>25</v>
      </c>
      <c r="E1479" s="34">
        <v>390.64400000000001</v>
      </c>
      <c r="F1479" s="36">
        <v>1.30000000000337E-2</v>
      </c>
      <c r="G1479" s="34">
        <v>1.30000000000337E-2</v>
      </c>
      <c r="H1479" s="35">
        <v>175.2</v>
      </c>
      <c r="I1479" s="37">
        <f t="shared" si="23"/>
        <v>5.2131996310292496E-3</v>
      </c>
      <c r="J1479" s="33" t="s">
        <v>116</v>
      </c>
    </row>
    <row r="1480" spans="1:10">
      <c r="A1480" s="33" t="s">
        <v>84</v>
      </c>
      <c r="B1480" s="34">
        <v>390.63099999999997</v>
      </c>
      <c r="C1480" s="35">
        <v>33607</v>
      </c>
      <c r="D1480" s="33" t="s">
        <v>277</v>
      </c>
      <c r="E1480" s="34">
        <v>390.64499999999998</v>
      </c>
      <c r="F1480" s="36">
        <v>1.4000000000009999E-2</v>
      </c>
      <c r="G1480" s="34">
        <v>1.4000000000009999E-2</v>
      </c>
      <c r="H1480" s="35">
        <v>183.1</v>
      </c>
      <c r="I1480" s="37">
        <f t="shared" si="23"/>
        <v>5.448269705716071E-3</v>
      </c>
      <c r="J1480" s="33"/>
    </row>
    <row r="1481" spans="1:10">
      <c r="A1481" s="33" t="s">
        <v>84</v>
      </c>
      <c r="B1481" s="34">
        <v>390.63099999999997</v>
      </c>
      <c r="C1481" s="35">
        <v>33607</v>
      </c>
      <c r="D1481" s="33" t="s">
        <v>275</v>
      </c>
      <c r="E1481" s="34">
        <v>390.64600000000002</v>
      </c>
      <c r="F1481" s="36">
        <v>1.5000000000043199E-2</v>
      </c>
      <c r="G1481" s="34">
        <v>1.5000000000043199E-2</v>
      </c>
      <c r="H1481" s="35">
        <v>6.1</v>
      </c>
      <c r="I1481" s="37">
        <f t="shared" si="23"/>
        <v>1.8150980450501382E-4</v>
      </c>
      <c r="J1481" s="33"/>
    </row>
    <row r="1482" spans="1:10">
      <c r="A1482" s="33" t="s">
        <v>84</v>
      </c>
      <c r="B1482" s="34">
        <v>390.63099999999997</v>
      </c>
      <c r="C1482" s="35">
        <v>33607</v>
      </c>
      <c r="D1482" s="33" t="s">
        <v>97</v>
      </c>
      <c r="E1482" s="34">
        <v>390.64800000000002</v>
      </c>
      <c r="F1482" s="36">
        <v>1.7000000000052799E-2</v>
      </c>
      <c r="G1482" s="34">
        <v>1.7000000000052799E-2</v>
      </c>
      <c r="H1482" s="35">
        <v>449</v>
      </c>
      <c r="I1482" s="37">
        <f t="shared" si="23"/>
        <v>1.336031183979528E-2</v>
      </c>
      <c r="J1482" s="33"/>
    </row>
    <row r="1483" spans="1:10">
      <c r="A1483" s="33" t="s">
        <v>84</v>
      </c>
      <c r="B1483" s="34">
        <v>390.63099999999997</v>
      </c>
      <c r="C1483" s="35">
        <v>33607</v>
      </c>
      <c r="D1483" s="33" t="s">
        <v>278</v>
      </c>
      <c r="E1483" s="34">
        <v>390.67500000000001</v>
      </c>
      <c r="F1483" s="36">
        <v>4.4000000000039598E-2</v>
      </c>
      <c r="G1483" s="34">
        <v>4.4000000000039598E-2</v>
      </c>
      <c r="H1483" s="35">
        <v>25.4</v>
      </c>
      <c r="I1483" s="37">
        <f t="shared" si="23"/>
        <v>7.5579492367661497E-4</v>
      </c>
      <c r="J1483" s="33"/>
    </row>
    <row r="1484" spans="1:10">
      <c r="A1484" s="33" t="s">
        <v>84</v>
      </c>
      <c r="B1484" s="34">
        <v>390.63099999999997</v>
      </c>
      <c r="C1484" s="35">
        <v>33607</v>
      </c>
      <c r="D1484" s="33" t="s">
        <v>270</v>
      </c>
      <c r="E1484" s="34">
        <v>390.68</v>
      </c>
      <c r="F1484" s="36">
        <v>4.9000000000035002E-2</v>
      </c>
      <c r="G1484" s="34">
        <v>4.9000000000035002E-2</v>
      </c>
      <c r="H1484" s="35">
        <v>194</v>
      </c>
      <c r="I1484" s="37">
        <f t="shared" si="23"/>
        <v>5.7726068973725708E-3</v>
      </c>
      <c r="J1484" s="33"/>
    </row>
    <row r="1485" spans="1:10">
      <c r="A1485" s="33" t="s">
        <v>84</v>
      </c>
      <c r="B1485" s="34">
        <v>390.63099999999997</v>
      </c>
      <c r="C1485" s="35">
        <v>33607</v>
      </c>
      <c r="D1485" s="33" t="s">
        <v>275</v>
      </c>
      <c r="E1485" s="34">
        <v>390.69099999999997</v>
      </c>
      <c r="F1485" s="36">
        <v>6.0000000000002301E-2</v>
      </c>
      <c r="G1485" s="34">
        <v>6.0000000000002301E-2</v>
      </c>
      <c r="H1485" s="35">
        <v>47</v>
      </c>
      <c r="I1485" s="37">
        <f t="shared" si="23"/>
        <v>1.3985181658583033E-3</v>
      </c>
      <c r="J1485" s="33"/>
    </row>
    <row r="1486" spans="1:10">
      <c r="A1486" s="33" t="s">
        <v>84</v>
      </c>
      <c r="B1486" s="34">
        <v>390.63099999999997</v>
      </c>
      <c r="C1486" s="35">
        <v>33607</v>
      </c>
      <c r="D1486" s="33" t="s">
        <v>25</v>
      </c>
      <c r="E1486" s="34">
        <v>390.69200000000001</v>
      </c>
      <c r="F1486" s="36">
        <v>6.1000000000035498E-2</v>
      </c>
      <c r="G1486" s="34">
        <v>6.1000000000035498E-2</v>
      </c>
      <c r="H1486" s="35">
        <v>348.1</v>
      </c>
      <c r="I1486" s="37">
        <f t="shared" si="23"/>
        <v>1.0357961139048414E-2</v>
      </c>
      <c r="J1486" s="33" t="s">
        <v>116</v>
      </c>
    </row>
    <row r="1487" spans="1:10">
      <c r="A1487" s="33" t="s">
        <v>84</v>
      </c>
      <c r="B1487" s="34">
        <v>390.63099999999997</v>
      </c>
      <c r="C1487" s="35">
        <v>33607</v>
      </c>
      <c r="D1487" s="33" t="s">
        <v>280</v>
      </c>
      <c r="E1487" s="34">
        <v>390.71100000000001</v>
      </c>
      <c r="F1487" s="36">
        <v>8.00000000000409E-2</v>
      </c>
      <c r="G1487" s="34">
        <v>8.00000000000409E-2</v>
      </c>
      <c r="H1487" s="35">
        <v>92342</v>
      </c>
      <c r="I1487" s="37">
        <f t="shared" si="23"/>
        <v>2.7477013717380308</v>
      </c>
      <c r="J1487" s="33"/>
    </row>
    <row r="1488" spans="1:10">
      <c r="A1488" s="33" t="s">
        <v>84</v>
      </c>
      <c r="B1488" s="34">
        <v>390.63099999999997</v>
      </c>
      <c r="C1488" s="35">
        <v>33607</v>
      </c>
      <c r="D1488" s="33" t="s">
        <v>25</v>
      </c>
      <c r="E1488" s="34">
        <v>390.72899999999998</v>
      </c>
      <c r="F1488" s="36">
        <v>9.8000000000013202E-2</v>
      </c>
      <c r="G1488" s="34">
        <v>9.8000000000013202E-2</v>
      </c>
      <c r="H1488" s="35">
        <v>2467.9</v>
      </c>
      <c r="I1488" s="37">
        <f t="shared" si="23"/>
        <v>7.3434105989823556E-2</v>
      </c>
      <c r="J1488" s="33" t="s">
        <v>116</v>
      </c>
    </row>
    <row r="1489" spans="1:10">
      <c r="A1489" s="33" t="s">
        <v>84</v>
      </c>
      <c r="B1489" s="34">
        <v>390.63099999999997</v>
      </c>
      <c r="C1489" s="35">
        <v>33607</v>
      </c>
      <c r="D1489" s="33" t="s">
        <v>165</v>
      </c>
      <c r="E1489" s="34">
        <v>390.74099999999999</v>
      </c>
      <c r="F1489" s="36">
        <v>0.110000000000014</v>
      </c>
      <c r="G1489" s="34">
        <v>0.110000000000014</v>
      </c>
      <c r="H1489" s="35">
        <v>0.6</v>
      </c>
      <c r="I1489" s="37">
        <f t="shared" si="23"/>
        <v>1.7853423393935786E-5</v>
      </c>
      <c r="J1489" s="33"/>
    </row>
    <row r="1490" spans="1:10">
      <c r="A1490" s="33" t="s">
        <v>84</v>
      </c>
      <c r="B1490" s="34">
        <v>390.63099999999997</v>
      </c>
      <c r="C1490" s="35">
        <v>33607</v>
      </c>
      <c r="D1490" s="33" t="s">
        <v>184</v>
      </c>
      <c r="E1490" s="34">
        <v>390.74900000000002</v>
      </c>
      <c r="F1490" s="36">
        <v>0.11800000000005199</v>
      </c>
      <c r="G1490" s="34">
        <v>0.11800000000005199</v>
      </c>
      <c r="H1490" s="35">
        <v>5841</v>
      </c>
      <c r="I1490" s="37">
        <f t="shared" si="23"/>
        <v>0.1738030767399649</v>
      </c>
      <c r="J1490" s="33"/>
    </row>
    <row r="1491" spans="1:10">
      <c r="A1491" s="33" t="s">
        <v>84</v>
      </c>
      <c r="B1491" s="34">
        <v>390.63099999999997</v>
      </c>
      <c r="C1491" s="35">
        <v>33607</v>
      </c>
      <c r="D1491" s="33" t="s">
        <v>239</v>
      </c>
      <c r="E1491" s="34">
        <v>390.77600000000001</v>
      </c>
      <c r="F1491" s="36">
        <v>0.14500000000003899</v>
      </c>
      <c r="G1491" s="34">
        <v>0.14500000000003899</v>
      </c>
      <c r="H1491" s="35">
        <v>28</v>
      </c>
      <c r="I1491" s="37">
        <f t="shared" si="23"/>
        <v>8.3315975838367008E-4</v>
      </c>
      <c r="J1491" s="33"/>
    </row>
    <row r="1492" spans="1:10">
      <c r="A1492" s="33" t="s">
        <v>84</v>
      </c>
      <c r="B1492" s="34">
        <v>390.63099999999997</v>
      </c>
      <c r="C1492" s="35">
        <v>33607</v>
      </c>
      <c r="D1492" s="33" t="s">
        <v>27</v>
      </c>
      <c r="E1492" s="34">
        <v>390.78399999999999</v>
      </c>
      <c r="F1492" s="36">
        <v>0.15300000000002001</v>
      </c>
      <c r="G1492" s="34">
        <v>0.15300000000002001</v>
      </c>
      <c r="H1492" s="35">
        <v>2092.1</v>
      </c>
      <c r="I1492" s="37">
        <f t="shared" si="23"/>
        <v>6.2251911804088428E-2</v>
      </c>
      <c r="J1492" s="33" t="s">
        <v>116</v>
      </c>
    </row>
    <row r="1493" spans="1:10">
      <c r="A1493" s="33" t="s">
        <v>84</v>
      </c>
      <c r="B1493" s="34">
        <v>390.63099999999997</v>
      </c>
      <c r="C1493" s="35">
        <v>33607</v>
      </c>
      <c r="D1493" s="33" t="s">
        <v>97</v>
      </c>
      <c r="E1493" s="34">
        <v>390.79300000000001</v>
      </c>
      <c r="F1493" s="36">
        <v>0.162000000000035</v>
      </c>
      <c r="G1493" s="34">
        <v>0.162000000000035</v>
      </c>
      <c r="H1493" s="35">
        <v>3.8</v>
      </c>
      <c r="I1493" s="37">
        <f t="shared" si="23"/>
        <v>1.1307168149492664E-4</v>
      </c>
      <c r="J1493" s="33"/>
    </row>
    <row r="1494" spans="1:10">
      <c r="A1494" s="33" t="s">
        <v>84</v>
      </c>
      <c r="B1494" s="34">
        <v>390.63099999999997</v>
      </c>
      <c r="C1494" s="35">
        <v>33607</v>
      </c>
      <c r="D1494" s="33" t="s">
        <v>279</v>
      </c>
      <c r="E1494" s="34">
        <v>390.82</v>
      </c>
      <c r="F1494" s="36">
        <v>0.18900000000002101</v>
      </c>
      <c r="G1494" s="34">
        <v>0.18900000000002101</v>
      </c>
      <c r="H1494" s="35">
        <v>3.5</v>
      </c>
      <c r="I1494" s="37">
        <f t="shared" si="23"/>
        <v>1.0414496979795876E-4</v>
      </c>
      <c r="J1494" s="33"/>
    </row>
    <row r="1495" spans="1:10">
      <c r="A1495" s="33" t="s">
        <v>84</v>
      </c>
      <c r="B1495" s="34">
        <v>390.63099999999997</v>
      </c>
      <c r="C1495" s="35">
        <v>33607</v>
      </c>
      <c r="D1495" s="33" t="s">
        <v>277</v>
      </c>
      <c r="E1495" s="34">
        <v>390.83100000000002</v>
      </c>
      <c r="F1495" s="36">
        <v>0.200000000000046</v>
      </c>
      <c r="G1495" s="34">
        <v>0.200000000000046</v>
      </c>
      <c r="H1495" s="35">
        <v>112.9</v>
      </c>
      <c r="I1495" s="37">
        <f t="shared" si="23"/>
        <v>3.3594191686255842E-3</v>
      </c>
      <c r="J1495" s="33"/>
    </row>
    <row r="1496" spans="1:10">
      <c r="A1496" s="33" t="s">
        <v>84</v>
      </c>
      <c r="B1496" s="34">
        <v>390.63099999999997</v>
      </c>
      <c r="C1496" s="35">
        <v>33607</v>
      </c>
      <c r="D1496" s="33" t="s">
        <v>25</v>
      </c>
      <c r="E1496" s="34">
        <v>390.84</v>
      </c>
      <c r="F1496" s="36">
        <v>0.20900000000000299</v>
      </c>
      <c r="G1496" s="34">
        <v>0.20900000000000299</v>
      </c>
      <c r="H1496" s="35">
        <v>2321.6999999999998</v>
      </c>
      <c r="I1496" s="37">
        <f t="shared" si="23"/>
        <v>6.9083821822834526E-2</v>
      </c>
      <c r="J1496" s="33" t="s">
        <v>116</v>
      </c>
    </row>
    <row r="1497" spans="1:10">
      <c r="A1497" s="33" t="s">
        <v>84</v>
      </c>
      <c r="B1497" s="34">
        <v>390.63099999999997</v>
      </c>
      <c r="C1497" s="35">
        <v>33607</v>
      </c>
      <c r="D1497" s="33" t="s">
        <v>173</v>
      </c>
      <c r="E1497" s="34">
        <v>390.84300000000002</v>
      </c>
      <c r="F1497" s="36">
        <v>0.21200000000004601</v>
      </c>
      <c r="G1497" s="34">
        <v>0.21200000000004601</v>
      </c>
      <c r="H1497" s="35">
        <v>141907</v>
      </c>
      <c r="I1497" s="37">
        <f t="shared" si="23"/>
        <v>4.2225429226054096</v>
      </c>
      <c r="J1497" s="33"/>
    </row>
    <row r="1498" spans="1:10">
      <c r="A1498" s="33" t="s">
        <v>97</v>
      </c>
      <c r="B1498" s="34">
        <v>234.35</v>
      </c>
      <c r="C1498" s="35">
        <v>15400</v>
      </c>
      <c r="D1498" s="33" t="s">
        <v>268</v>
      </c>
      <c r="E1498" s="34">
        <v>234.28700000000001</v>
      </c>
      <c r="F1498" s="36">
        <v>6.2999999999988204E-2</v>
      </c>
      <c r="G1498" s="34">
        <v>6.2999999999988204E-2</v>
      </c>
      <c r="H1498" s="35">
        <v>919.8</v>
      </c>
      <c r="I1498" s="37">
        <f t="shared" si="23"/>
        <v>5.9727272727272726E-2</v>
      </c>
      <c r="J1498" s="33"/>
    </row>
    <row r="1499" spans="1:10">
      <c r="A1499" s="33" t="s">
        <v>97</v>
      </c>
      <c r="B1499" s="34">
        <v>234.35</v>
      </c>
      <c r="C1499" s="35">
        <v>15400</v>
      </c>
      <c r="D1499" s="33" t="s">
        <v>240</v>
      </c>
      <c r="E1499" s="34">
        <v>234.292</v>
      </c>
      <c r="F1499" s="36">
        <v>5.7999999999992703E-2</v>
      </c>
      <c r="G1499" s="34">
        <v>5.7999999999992703E-2</v>
      </c>
      <c r="H1499" s="35">
        <v>0.7</v>
      </c>
      <c r="I1499" s="37">
        <f t="shared" si="23"/>
        <v>4.5454545454545452E-5</v>
      </c>
      <c r="J1499" s="33"/>
    </row>
    <row r="1500" spans="1:10">
      <c r="A1500" s="33" t="s">
        <v>97</v>
      </c>
      <c r="B1500" s="34">
        <v>234.35</v>
      </c>
      <c r="C1500" s="35">
        <v>15400</v>
      </c>
      <c r="D1500" s="33" t="s">
        <v>274</v>
      </c>
      <c r="E1500" s="34">
        <v>234.31299999999999</v>
      </c>
      <c r="F1500" s="36">
        <v>3.7000000000006097E-2</v>
      </c>
      <c r="G1500" s="34">
        <v>3.7000000000006097E-2</v>
      </c>
      <c r="H1500" s="35">
        <v>26.7</v>
      </c>
      <c r="I1500" s="37">
        <f t="shared" si="23"/>
        <v>1.7337662337662337E-3</v>
      </c>
      <c r="J1500" s="33"/>
    </row>
    <row r="1501" spans="1:10">
      <c r="A1501" s="33" t="s">
        <v>97</v>
      </c>
      <c r="B1501" s="34">
        <v>234.35</v>
      </c>
      <c r="C1501" s="35">
        <v>15400</v>
      </c>
      <c r="D1501" s="33" t="s">
        <v>279</v>
      </c>
      <c r="E1501" s="34">
        <v>234.315</v>
      </c>
      <c r="F1501" s="36">
        <v>3.4999999999996603E-2</v>
      </c>
      <c r="G1501" s="34">
        <v>3.4999999999996603E-2</v>
      </c>
      <c r="H1501" s="35">
        <v>27</v>
      </c>
      <c r="I1501" s="37">
        <f t="shared" si="23"/>
        <v>1.7532467532467534E-3</v>
      </c>
      <c r="J1501" s="33"/>
    </row>
    <row r="1502" spans="1:10">
      <c r="A1502" s="33" t="s">
        <v>97</v>
      </c>
      <c r="B1502" s="34">
        <v>234.35</v>
      </c>
      <c r="C1502" s="35">
        <v>15400</v>
      </c>
      <c r="D1502" s="33" t="s">
        <v>290</v>
      </c>
      <c r="E1502" s="34">
        <v>234.31800000000001</v>
      </c>
      <c r="F1502" s="36">
        <v>3.19999999999823E-2</v>
      </c>
      <c r="G1502" s="34">
        <v>3.19999999999823E-2</v>
      </c>
      <c r="H1502" s="35">
        <v>164</v>
      </c>
      <c r="I1502" s="37">
        <f t="shared" si="23"/>
        <v>1.064935064935065E-2</v>
      </c>
      <c r="J1502" s="33"/>
    </row>
    <row r="1503" spans="1:10">
      <c r="A1503" s="33" t="s">
        <v>97</v>
      </c>
      <c r="B1503" s="34">
        <v>234.35</v>
      </c>
      <c r="C1503" s="35">
        <v>15400</v>
      </c>
      <c r="D1503" s="33" t="s">
        <v>54</v>
      </c>
      <c r="E1503" s="34">
        <v>234.322</v>
      </c>
      <c r="F1503" s="36">
        <v>2.7999999999991601E-2</v>
      </c>
      <c r="G1503" s="34">
        <v>2.7999999999991601E-2</v>
      </c>
      <c r="H1503" s="35">
        <v>6.2</v>
      </c>
      <c r="I1503" s="37">
        <f t="shared" si="23"/>
        <v>4.0259740259740261E-4</v>
      </c>
      <c r="J1503" s="33"/>
    </row>
    <row r="1504" spans="1:10">
      <c r="A1504" s="33" t="s">
        <v>97</v>
      </c>
      <c r="B1504" s="34">
        <v>234.35</v>
      </c>
      <c r="C1504" s="35">
        <v>15400</v>
      </c>
      <c r="D1504" s="33" t="s">
        <v>294</v>
      </c>
      <c r="E1504" s="34">
        <v>234.32400000000001</v>
      </c>
      <c r="F1504" s="36">
        <v>2.5999999999981999E-2</v>
      </c>
      <c r="G1504" s="34">
        <v>2.5999999999981999E-2</v>
      </c>
      <c r="H1504" s="35">
        <v>21</v>
      </c>
      <c r="I1504" s="37">
        <f t="shared" si="23"/>
        <v>1.3636363636363637E-3</v>
      </c>
      <c r="J1504" s="33"/>
    </row>
    <row r="1505" spans="1:10">
      <c r="A1505" s="33" t="s">
        <v>97</v>
      </c>
      <c r="B1505" s="34">
        <v>234.35</v>
      </c>
      <c r="C1505" s="35">
        <v>15400</v>
      </c>
      <c r="D1505" s="33" t="s">
        <v>240</v>
      </c>
      <c r="E1505" s="34">
        <v>234.32499999999999</v>
      </c>
      <c r="F1505" s="36">
        <v>2.5000000000005702E-2</v>
      </c>
      <c r="G1505" s="34">
        <v>2.5000000000005702E-2</v>
      </c>
      <c r="H1505" s="35">
        <v>0.1</v>
      </c>
      <c r="I1505" s="37">
        <f t="shared" si="23"/>
        <v>6.4935064935064938E-6</v>
      </c>
      <c r="J1505" s="33"/>
    </row>
    <row r="1506" spans="1:10">
      <c r="A1506" s="33" t="s">
        <v>97</v>
      </c>
      <c r="B1506" s="34">
        <v>234.35</v>
      </c>
      <c r="C1506" s="35">
        <v>15400</v>
      </c>
      <c r="D1506" s="33" t="s">
        <v>271</v>
      </c>
      <c r="E1506" s="34">
        <v>234.32499999999999</v>
      </c>
      <c r="F1506" s="36">
        <v>2.5000000000005702E-2</v>
      </c>
      <c r="G1506" s="34">
        <v>2.5000000000005702E-2</v>
      </c>
      <c r="H1506" s="35">
        <v>12.3</v>
      </c>
      <c r="I1506" s="37">
        <f t="shared" si="23"/>
        <v>7.987012987012988E-4</v>
      </c>
      <c r="J1506" s="33"/>
    </row>
    <row r="1507" spans="1:10">
      <c r="A1507" s="33" t="s">
        <v>97</v>
      </c>
      <c r="B1507" s="34">
        <v>234.35</v>
      </c>
      <c r="C1507" s="35">
        <v>15400</v>
      </c>
      <c r="D1507" s="33" t="s">
        <v>273</v>
      </c>
      <c r="E1507" s="34">
        <v>234.328</v>
      </c>
      <c r="F1507" s="36">
        <v>2.1999999999991401E-2</v>
      </c>
      <c r="G1507" s="34">
        <v>2.1999999999991401E-2</v>
      </c>
      <c r="H1507" s="35">
        <v>79.3</v>
      </c>
      <c r="I1507" s="37">
        <f t="shared" si="23"/>
        <v>5.1493506493506492E-3</v>
      </c>
      <c r="J1507" s="33"/>
    </row>
    <row r="1508" spans="1:10">
      <c r="A1508" s="33" t="s">
        <v>97</v>
      </c>
      <c r="B1508" s="34">
        <v>234.35</v>
      </c>
      <c r="C1508" s="35">
        <v>15400</v>
      </c>
      <c r="D1508" s="33" t="s">
        <v>54</v>
      </c>
      <c r="E1508" s="34">
        <v>234.33199999999999</v>
      </c>
      <c r="F1508" s="36">
        <v>1.8000000000000699E-2</v>
      </c>
      <c r="G1508" s="34">
        <v>1.8000000000000699E-2</v>
      </c>
      <c r="H1508" s="35">
        <v>8.6</v>
      </c>
      <c r="I1508" s="37">
        <f t="shared" si="23"/>
        <v>5.5844155844155842E-4</v>
      </c>
      <c r="J1508" s="33"/>
    </row>
    <row r="1509" spans="1:10">
      <c r="A1509" s="33" t="s">
        <v>97</v>
      </c>
      <c r="B1509" s="34">
        <v>234.35</v>
      </c>
      <c r="C1509" s="35">
        <v>15400</v>
      </c>
      <c r="D1509" s="33" t="s">
        <v>279</v>
      </c>
      <c r="E1509" s="34">
        <v>234.33199999999999</v>
      </c>
      <c r="F1509" s="36">
        <v>1.8000000000000699E-2</v>
      </c>
      <c r="G1509" s="34">
        <v>1.8000000000000699E-2</v>
      </c>
      <c r="H1509" s="35">
        <v>74</v>
      </c>
      <c r="I1509" s="37">
        <f t="shared" si="23"/>
        <v>4.8051948051948054E-3</v>
      </c>
      <c r="J1509" s="33"/>
    </row>
    <row r="1510" spans="1:10">
      <c r="A1510" s="33" t="s">
        <v>97</v>
      </c>
      <c r="B1510" s="34">
        <v>234.35</v>
      </c>
      <c r="C1510" s="35">
        <v>15400</v>
      </c>
      <c r="D1510" s="33" t="s">
        <v>269</v>
      </c>
      <c r="E1510" s="34">
        <v>234.333</v>
      </c>
      <c r="F1510" s="36">
        <v>1.69999999999959E-2</v>
      </c>
      <c r="G1510" s="34">
        <v>1.69999999999959E-2</v>
      </c>
      <c r="H1510" s="35">
        <v>1738</v>
      </c>
      <c r="I1510" s="37">
        <f t="shared" si="23"/>
        <v>0.11285714285714285</v>
      </c>
      <c r="J1510" s="33"/>
    </row>
    <row r="1511" spans="1:10">
      <c r="A1511" s="33" t="s">
        <v>97</v>
      </c>
      <c r="B1511" s="34">
        <v>234.35</v>
      </c>
      <c r="C1511" s="35">
        <v>15400</v>
      </c>
      <c r="D1511" s="33" t="s">
        <v>294</v>
      </c>
      <c r="E1511" s="34">
        <v>234.34</v>
      </c>
      <c r="F1511" s="36">
        <v>9.9999999999909103E-3</v>
      </c>
      <c r="G1511" s="34">
        <v>9.9999999999909103E-3</v>
      </c>
      <c r="H1511" s="35">
        <v>11.1</v>
      </c>
      <c r="I1511" s="37">
        <f t="shared" si="23"/>
        <v>7.207792207792207E-4</v>
      </c>
      <c r="J1511" s="33"/>
    </row>
    <row r="1512" spans="1:10">
      <c r="A1512" s="33" t="s">
        <v>97</v>
      </c>
      <c r="B1512" s="34">
        <v>234.35</v>
      </c>
      <c r="C1512" s="35">
        <v>15400</v>
      </c>
      <c r="D1512" s="33" t="s">
        <v>268</v>
      </c>
      <c r="E1512" s="34">
        <v>234.34200000000001</v>
      </c>
      <c r="F1512" s="36">
        <v>7.9999999999813606E-3</v>
      </c>
      <c r="G1512" s="34">
        <v>7.9999999999813606E-3</v>
      </c>
      <c r="H1512" s="35">
        <v>3.6</v>
      </c>
      <c r="I1512" s="37">
        <f t="shared" si="23"/>
        <v>2.3376623376623377E-4</v>
      </c>
      <c r="J1512" s="33"/>
    </row>
    <row r="1513" spans="1:10">
      <c r="A1513" s="33" t="s">
        <v>97</v>
      </c>
      <c r="B1513" s="34">
        <v>234.35</v>
      </c>
      <c r="C1513" s="35">
        <v>15400</v>
      </c>
      <c r="D1513" s="33" t="s">
        <v>279</v>
      </c>
      <c r="E1513" s="34">
        <v>234.346</v>
      </c>
      <c r="F1513" s="36">
        <v>3.9999999999906803E-3</v>
      </c>
      <c r="G1513" s="34">
        <v>3.9999999999906803E-3</v>
      </c>
      <c r="H1513" s="35">
        <v>28</v>
      </c>
      <c r="I1513" s="37">
        <f t="shared" si="23"/>
        <v>1.8181818181818182E-3</v>
      </c>
      <c r="J1513" s="33"/>
    </row>
    <row r="1514" spans="1:10">
      <c r="A1514" s="33" t="s">
        <v>97</v>
      </c>
      <c r="B1514" s="34">
        <v>234.35</v>
      </c>
      <c r="C1514" s="35">
        <v>15400</v>
      </c>
      <c r="D1514" s="33" t="s">
        <v>274</v>
      </c>
      <c r="E1514" s="34">
        <v>234.34700000000001</v>
      </c>
      <c r="F1514" s="36">
        <v>2.9999999999858998E-3</v>
      </c>
      <c r="G1514" s="34">
        <v>2.9999999999858998E-3</v>
      </c>
      <c r="H1514" s="35">
        <v>132.30000000000001</v>
      </c>
      <c r="I1514" s="37">
        <f t="shared" si="23"/>
        <v>8.5909090909090918E-3</v>
      </c>
      <c r="J1514" s="33"/>
    </row>
    <row r="1515" spans="1:10">
      <c r="A1515" s="33" t="s">
        <v>97</v>
      </c>
      <c r="B1515" s="34">
        <v>234.35</v>
      </c>
      <c r="C1515" s="35">
        <v>15400</v>
      </c>
      <c r="D1515" s="33" t="s">
        <v>165</v>
      </c>
      <c r="E1515" s="34">
        <v>234.34899999999999</v>
      </c>
      <c r="F1515" s="36">
        <v>1.0000000000047801E-3</v>
      </c>
      <c r="G1515" s="34">
        <v>1.0000000000047801E-3</v>
      </c>
      <c r="H1515" s="35">
        <v>155.1</v>
      </c>
      <c r="I1515" s="37">
        <f t="shared" si="23"/>
        <v>1.0071428571428571E-2</v>
      </c>
      <c r="J1515" s="33"/>
    </row>
    <row r="1516" spans="1:10">
      <c r="A1516" s="33" t="s">
        <v>97</v>
      </c>
      <c r="B1516" s="34">
        <v>234.35</v>
      </c>
      <c r="C1516" s="35">
        <v>15400</v>
      </c>
      <c r="D1516" s="33" t="s">
        <v>193</v>
      </c>
      <c r="E1516" s="34">
        <v>234.34899999999999</v>
      </c>
      <c r="F1516" s="36">
        <v>1.0000000000047801E-3</v>
      </c>
      <c r="G1516" s="34">
        <v>1.0000000000047801E-3</v>
      </c>
      <c r="H1516" s="35">
        <v>154.9</v>
      </c>
      <c r="I1516" s="37">
        <f t="shared" si="23"/>
        <v>1.0058441558441558E-2</v>
      </c>
      <c r="J1516" s="33"/>
    </row>
    <row r="1517" spans="1:10">
      <c r="A1517" s="33" t="s">
        <v>97</v>
      </c>
      <c r="B1517" s="34">
        <v>234.35</v>
      </c>
      <c r="C1517" s="35">
        <v>15400</v>
      </c>
      <c r="D1517" s="33" t="s">
        <v>271</v>
      </c>
      <c r="E1517" s="34">
        <v>234.34899999999999</v>
      </c>
      <c r="F1517" s="36">
        <v>1.0000000000047801E-3</v>
      </c>
      <c r="G1517" s="34">
        <v>1.0000000000047801E-3</v>
      </c>
      <c r="H1517" s="35">
        <v>17.8</v>
      </c>
      <c r="I1517" s="37">
        <f t="shared" si="23"/>
        <v>1.155844155844156E-3</v>
      </c>
      <c r="J1517" s="33"/>
    </row>
    <row r="1518" spans="1:10">
      <c r="A1518" s="33" t="s">
        <v>97</v>
      </c>
      <c r="B1518" s="34">
        <v>234.35</v>
      </c>
      <c r="C1518" s="35">
        <v>15400</v>
      </c>
      <c r="D1518" s="33" t="s">
        <v>277</v>
      </c>
      <c r="E1518" s="34">
        <v>234.357</v>
      </c>
      <c r="F1518" s="36">
        <v>7.0000000000049996E-3</v>
      </c>
      <c r="G1518" s="34">
        <v>7.0000000000049996E-3</v>
      </c>
      <c r="H1518" s="35">
        <v>90.7</v>
      </c>
      <c r="I1518" s="37">
        <f t="shared" si="23"/>
        <v>5.8896103896103899E-3</v>
      </c>
      <c r="J1518" s="33"/>
    </row>
    <row r="1519" spans="1:10">
      <c r="A1519" s="33" t="s">
        <v>97</v>
      </c>
      <c r="B1519" s="34">
        <v>234.35</v>
      </c>
      <c r="C1519" s="35">
        <v>15400</v>
      </c>
      <c r="D1519" s="33" t="s">
        <v>290</v>
      </c>
      <c r="E1519" s="34">
        <v>234.36</v>
      </c>
      <c r="F1519" s="36">
        <v>1.0000000000019301E-2</v>
      </c>
      <c r="G1519" s="34">
        <v>1.0000000000019301E-2</v>
      </c>
      <c r="H1519" s="35">
        <v>56</v>
      </c>
      <c r="I1519" s="37">
        <f t="shared" si="23"/>
        <v>3.6363636363636364E-3</v>
      </c>
      <c r="J1519" s="33"/>
    </row>
    <row r="1520" spans="1:10">
      <c r="A1520" s="33" t="s">
        <v>97</v>
      </c>
      <c r="B1520" s="34">
        <v>234.35</v>
      </c>
      <c r="C1520" s="35">
        <v>15400</v>
      </c>
      <c r="D1520" s="33" t="s">
        <v>274</v>
      </c>
      <c r="E1520" s="34">
        <v>234.363</v>
      </c>
      <c r="F1520" s="36">
        <v>1.30000000000052E-2</v>
      </c>
      <c r="G1520" s="34">
        <v>1.30000000000052E-2</v>
      </c>
      <c r="H1520" s="35">
        <v>6.9</v>
      </c>
      <c r="I1520" s="37">
        <f t="shared" si="23"/>
        <v>4.4805194805194807E-4</v>
      </c>
      <c r="J1520" s="33"/>
    </row>
    <row r="1521" spans="1:10">
      <c r="A1521" s="33" t="s">
        <v>97</v>
      </c>
      <c r="B1521" s="34">
        <v>234.35</v>
      </c>
      <c r="C1521" s="35">
        <v>15400</v>
      </c>
      <c r="D1521" s="33" t="s">
        <v>240</v>
      </c>
      <c r="E1521" s="34">
        <v>234.364</v>
      </c>
      <c r="F1521" s="36">
        <v>1.4000000000009999E-2</v>
      </c>
      <c r="G1521" s="34">
        <v>1.4000000000009999E-2</v>
      </c>
      <c r="H1521" s="35">
        <v>0.2</v>
      </c>
      <c r="I1521" s="37">
        <f t="shared" si="23"/>
        <v>1.2987012987012988E-5</v>
      </c>
      <c r="J1521" s="33"/>
    </row>
    <row r="1522" spans="1:10">
      <c r="A1522" s="33" t="s">
        <v>97</v>
      </c>
      <c r="B1522" s="34">
        <v>234.35</v>
      </c>
      <c r="C1522" s="35">
        <v>15400</v>
      </c>
      <c r="D1522" s="33" t="s">
        <v>25</v>
      </c>
      <c r="E1522" s="34">
        <v>234.36600000000001</v>
      </c>
      <c r="F1522" s="36">
        <v>1.6000000000019599E-2</v>
      </c>
      <c r="G1522" s="34">
        <v>1.6000000000019599E-2</v>
      </c>
      <c r="H1522" s="35">
        <v>8.9</v>
      </c>
      <c r="I1522" s="37">
        <f t="shared" si="23"/>
        <v>5.77922077922078E-4</v>
      </c>
      <c r="J1522" s="33" t="s">
        <v>116</v>
      </c>
    </row>
    <row r="1523" spans="1:10">
      <c r="A1523" s="33" t="s">
        <v>97</v>
      </c>
      <c r="B1523" s="34">
        <v>234.35</v>
      </c>
      <c r="C1523" s="35">
        <v>15400</v>
      </c>
      <c r="D1523" s="33" t="s">
        <v>237</v>
      </c>
      <c r="E1523" s="34">
        <v>234.36699999999999</v>
      </c>
      <c r="F1523" s="36">
        <v>1.69999999999959E-2</v>
      </c>
      <c r="G1523" s="34">
        <v>1.69999999999959E-2</v>
      </c>
      <c r="H1523" s="35">
        <v>0.7</v>
      </c>
      <c r="I1523" s="37">
        <f t="shared" si="23"/>
        <v>4.5454545454545452E-5</v>
      </c>
      <c r="J1523" s="33"/>
    </row>
    <row r="1524" spans="1:10">
      <c r="A1524" s="33" t="s">
        <v>97</v>
      </c>
      <c r="B1524" s="34">
        <v>234.35</v>
      </c>
      <c r="C1524" s="35">
        <v>15400</v>
      </c>
      <c r="D1524" s="33" t="s">
        <v>239</v>
      </c>
      <c r="E1524" s="34">
        <v>234.369</v>
      </c>
      <c r="F1524" s="36">
        <v>1.9000000000005499E-2</v>
      </c>
      <c r="G1524" s="34">
        <v>1.9000000000005499E-2</v>
      </c>
      <c r="H1524" s="35">
        <v>1</v>
      </c>
      <c r="I1524" s="37">
        <f t="shared" si="23"/>
        <v>6.4935064935064935E-5</v>
      </c>
      <c r="J1524" s="33"/>
    </row>
    <row r="1525" spans="1:10">
      <c r="A1525" s="33" t="s">
        <v>97</v>
      </c>
      <c r="B1525" s="34">
        <v>234.35</v>
      </c>
      <c r="C1525" s="35">
        <v>15400</v>
      </c>
      <c r="D1525" s="33" t="s">
        <v>273</v>
      </c>
      <c r="E1525" s="34">
        <v>234.37</v>
      </c>
      <c r="F1525" s="36">
        <v>2.0000000000010201E-2</v>
      </c>
      <c r="G1525" s="34">
        <v>2.0000000000010201E-2</v>
      </c>
      <c r="H1525" s="35">
        <v>74</v>
      </c>
      <c r="I1525" s="37">
        <f t="shared" si="23"/>
        <v>4.8051948051948054E-3</v>
      </c>
      <c r="J1525" s="33"/>
    </row>
    <row r="1526" spans="1:10">
      <c r="A1526" s="33" t="s">
        <v>97</v>
      </c>
      <c r="B1526" s="34">
        <v>234.35</v>
      </c>
      <c r="C1526" s="35">
        <v>15400</v>
      </c>
      <c r="D1526" s="33" t="s">
        <v>274</v>
      </c>
      <c r="E1526" s="34">
        <v>234.374</v>
      </c>
      <c r="F1526" s="36">
        <v>2.4000000000000899E-2</v>
      </c>
      <c r="G1526" s="34">
        <v>2.4000000000000899E-2</v>
      </c>
      <c r="H1526" s="35">
        <v>9</v>
      </c>
      <c r="I1526" s="37">
        <f t="shared" si="23"/>
        <v>5.8441558441558442E-4</v>
      </c>
      <c r="J1526" s="33"/>
    </row>
    <row r="1527" spans="1:10">
      <c r="A1527" s="33" t="s">
        <v>97</v>
      </c>
      <c r="B1527" s="34">
        <v>234.35</v>
      </c>
      <c r="C1527" s="35">
        <v>15400</v>
      </c>
      <c r="D1527" s="33" t="s">
        <v>275</v>
      </c>
      <c r="E1527" s="34">
        <v>234.375</v>
      </c>
      <c r="F1527" s="36">
        <v>2.5000000000005702E-2</v>
      </c>
      <c r="G1527" s="34">
        <v>2.5000000000005702E-2</v>
      </c>
      <c r="H1527" s="35">
        <v>443</v>
      </c>
      <c r="I1527" s="37">
        <f t="shared" si="23"/>
        <v>2.8766233766233766E-2</v>
      </c>
      <c r="J1527" s="33"/>
    </row>
    <row r="1528" spans="1:10">
      <c r="A1528" s="33" t="s">
        <v>97</v>
      </c>
      <c r="B1528" s="34">
        <v>234.35</v>
      </c>
      <c r="C1528" s="35">
        <v>15400</v>
      </c>
      <c r="D1528" s="33" t="s">
        <v>279</v>
      </c>
      <c r="E1528" s="34">
        <v>234.37799999999999</v>
      </c>
      <c r="F1528" s="36">
        <v>2.7999999999991601E-2</v>
      </c>
      <c r="G1528" s="34">
        <v>2.7999999999991601E-2</v>
      </c>
      <c r="H1528" s="35">
        <v>17</v>
      </c>
      <c r="I1528" s="37">
        <f t="shared" si="23"/>
        <v>1.103896103896104E-3</v>
      </c>
      <c r="J1528" s="33"/>
    </row>
    <row r="1529" spans="1:10">
      <c r="A1529" s="33" t="s">
        <v>97</v>
      </c>
      <c r="B1529" s="34">
        <v>234.35</v>
      </c>
      <c r="C1529" s="35">
        <v>15400</v>
      </c>
      <c r="D1529" s="33" t="s">
        <v>165</v>
      </c>
      <c r="E1529" s="34">
        <v>234.39500000000001</v>
      </c>
      <c r="F1529" s="36">
        <v>4.5000000000015902E-2</v>
      </c>
      <c r="G1529" s="34">
        <v>4.5000000000015902E-2</v>
      </c>
      <c r="H1529" s="35">
        <v>16.2</v>
      </c>
      <c r="I1529" s="37">
        <f t="shared" si="23"/>
        <v>1.0519480519480518E-3</v>
      </c>
      <c r="J1529" s="33"/>
    </row>
    <row r="1530" spans="1:10">
      <c r="A1530" s="33" t="s">
        <v>97</v>
      </c>
      <c r="B1530" s="34">
        <v>234.35</v>
      </c>
      <c r="C1530" s="35">
        <v>15400</v>
      </c>
      <c r="D1530" s="33" t="s">
        <v>97</v>
      </c>
      <c r="E1530" s="34">
        <v>234.39599999999999</v>
      </c>
      <c r="F1530" s="36">
        <v>4.5999999999992297E-2</v>
      </c>
      <c r="G1530" s="34">
        <v>4.5999999999992297E-2</v>
      </c>
      <c r="H1530" s="35">
        <v>1400</v>
      </c>
      <c r="I1530" s="37">
        <f t="shared" si="23"/>
        <v>9.0909090909090912E-2</v>
      </c>
      <c r="J1530" s="33"/>
    </row>
    <row r="1531" spans="1:10">
      <c r="A1531" s="33" t="s">
        <v>97</v>
      </c>
      <c r="B1531" s="34">
        <v>234.35</v>
      </c>
      <c r="C1531" s="35">
        <v>15400</v>
      </c>
      <c r="D1531" s="33" t="s">
        <v>305</v>
      </c>
      <c r="E1531" s="34">
        <v>234.40199999999999</v>
      </c>
      <c r="F1531" s="36">
        <v>5.1999999999992497E-2</v>
      </c>
      <c r="G1531" s="34">
        <v>5.1999999999992497E-2</v>
      </c>
      <c r="H1531" s="35">
        <v>19.5</v>
      </c>
      <c r="I1531" s="37">
        <f t="shared" si="23"/>
        <v>1.2662337662337662E-3</v>
      </c>
      <c r="J1531" s="33"/>
    </row>
    <row r="1532" spans="1:10">
      <c r="A1532" s="33" t="s">
        <v>97</v>
      </c>
      <c r="B1532" s="34">
        <v>234.35</v>
      </c>
      <c r="C1532" s="35">
        <v>15400</v>
      </c>
      <c r="D1532" s="33" t="s">
        <v>54</v>
      </c>
      <c r="E1532" s="34">
        <v>234.42699999999999</v>
      </c>
      <c r="F1532" s="36">
        <v>7.6999999999998195E-2</v>
      </c>
      <c r="G1532" s="34">
        <v>7.6999999999998195E-2</v>
      </c>
      <c r="H1532" s="35">
        <v>2515</v>
      </c>
      <c r="I1532" s="37">
        <f t="shared" si="23"/>
        <v>0.16331168831168832</v>
      </c>
      <c r="J1532" s="33"/>
    </row>
    <row r="1533" spans="1:10">
      <c r="A1533" s="33" t="s">
        <v>97</v>
      </c>
      <c r="B1533" s="34">
        <v>234.35</v>
      </c>
      <c r="C1533" s="35">
        <v>15400</v>
      </c>
      <c r="D1533" s="33" t="s">
        <v>97</v>
      </c>
      <c r="E1533" s="34">
        <v>234.428</v>
      </c>
      <c r="F1533" s="36">
        <v>7.8000000000002997E-2</v>
      </c>
      <c r="G1533" s="34">
        <v>7.8000000000002997E-2</v>
      </c>
      <c r="H1533" s="35">
        <v>3331.4</v>
      </c>
      <c r="I1533" s="37">
        <f t="shared" si="23"/>
        <v>0.21632467532467534</v>
      </c>
      <c r="J1533" s="33"/>
    </row>
    <row r="1534" spans="1:10">
      <c r="A1534" s="33" t="s">
        <v>97</v>
      </c>
      <c r="B1534" s="34">
        <v>234.35</v>
      </c>
      <c r="C1534" s="35">
        <v>15400</v>
      </c>
      <c r="D1534" s="33" t="s">
        <v>240</v>
      </c>
      <c r="E1534" s="34">
        <v>234.43299999999999</v>
      </c>
      <c r="F1534" s="36">
        <v>8.2999999999998395E-2</v>
      </c>
      <c r="G1534" s="34">
        <v>8.2999999999998395E-2</v>
      </c>
      <c r="H1534" s="35">
        <v>19.7</v>
      </c>
      <c r="I1534" s="37">
        <f t="shared" si="23"/>
        <v>1.2792207792207792E-3</v>
      </c>
      <c r="J1534" s="33"/>
    </row>
    <row r="1535" spans="1:10">
      <c r="A1535" s="33" t="s">
        <v>97</v>
      </c>
      <c r="B1535" s="34">
        <v>234.35</v>
      </c>
      <c r="C1535" s="35">
        <v>15400</v>
      </c>
      <c r="D1535" s="33" t="s">
        <v>239</v>
      </c>
      <c r="E1535" s="34">
        <v>234.45400000000001</v>
      </c>
      <c r="F1535" s="36">
        <v>0.104000000000013</v>
      </c>
      <c r="G1535" s="34">
        <v>0.104000000000013</v>
      </c>
      <c r="H1535" s="35">
        <v>16.899999999999999</v>
      </c>
      <c r="I1535" s="37">
        <f t="shared" si="23"/>
        <v>1.0974025974025974E-3</v>
      </c>
      <c r="J1535" s="33"/>
    </row>
    <row r="1536" spans="1:10">
      <c r="A1536" s="33" t="s">
        <v>97</v>
      </c>
      <c r="B1536" s="34">
        <v>234.35</v>
      </c>
      <c r="C1536" s="35">
        <v>15400</v>
      </c>
      <c r="D1536" s="33" t="s">
        <v>54</v>
      </c>
      <c r="E1536" s="34">
        <v>234.46199999999999</v>
      </c>
      <c r="F1536" s="36">
        <v>0.11199999999999501</v>
      </c>
      <c r="G1536" s="34">
        <v>0.11199999999999501</v>
      </c>
      <c r="H1536" s="35">
        <v>234.5</v>
      </c>
      <c r="I1536" s="37">
        <f t="shared" si="23"/>
        <v>1.5227272727272726E-2</v>
      </c>
      <c r="J1536" s="33"/>
    </row>
    <row r="1537" spans="1:10">
      <c r="A1537" s="33" t="s">
        <v>97</v>
      </c>
      <c r="B1537" s="34">
        <v>234.35</v>
      </c>
      <c r="C1537" s="35">
        <v>15400</v>
      </c>
      <c r="D1537" s="33" t="s">
        <v>275</v>
      </c>
      <c r="E1537" s="34">
        <v>234.465</v>
      </c>
      <c r="F1537" s="36">
        <v>0.115000000000009</v>
      </c>
      <c r="G1537" s="34">
        <v>0.115000000000009</v>
      </c>
      <c r="H1537" s="35">
        <v>92.27</v>
      </c>
      <c r="I1537" s="37">
        <f t="shared" si="23"/>
        <v>5.991558441558441E-3</v>
      </c>
      <c r="J1537" s="33"/>
    </row>
    <row r="1538" spans="1:10">
      <c r="A1538" s="33" t="s">
        <v>97</v>
      </c>
      <c r="B1538" s="34">
        <v>238.20400000000001</v>
      </c>
      <c r="C1538" s="35">
        <v>41015</v>
      </c>
      <c r="D1538" s="33" t="s">
        <v>284</v>
      </c>
      <c r="E1538" s="34">
        <v>238.083</v>
      </c>
      <c r="F1538" s="36">
        <v>0.121000000000009</v>
      </c>
      <c r="G1538" s="34">
        <v>0.121000000000009</v>
      </c>
      <c r="H1538" s="35">
        <v>0.5</v>
      </c>
      <c r="I1538" s="37">
        <f t="shared" ref="I1538:I1601" si="24">H1538/C1538</f>
        <v>1.2190661952944045E-5</v>
      </c>
      <c r="J1538" s="33"/>
    </row>
    <row r="1539" spans="1:10">
      <c r="A1539" s="33" t="s">
        <v>97</v>
      </c>
      <c r="B1539" s="34">
        <v>238.20400000000001</v>
      </c>
      <c r="C1539" s="35">
        <v>41015</v>
      </c>
      <c r="D1539" s="33" t="s">
        <v>278</v>
      </c>
      <c r="E1539" s="34">
        <v>238.09100000000001</v>
      </c>
      <c r="F1539" s="36">
        <v>0.113</v>
      </c>
      <c r="G1539" s="34">
        <v>0.113</v>
      </c>
      <c r="H1539" s="35">
        <v>265.39999999999998</v>
      </c>
      <c r="I1539" s="37">
        <f t="shared" si="24"/>
        <v>6.4708033646226982E-3</v>
      </c>
      <c r="J1539" s="33"/>
    </row>
    <row r="1540" spans="1:10">
      <c r="A1540" s="33" t="s">
        <v>97</v>
      </c>
      <c r="B1540" s="34">
        <v>238.20400000000001</v>
      </c>
      <c r="C1540" s="35">
        <v>41015</v>
      </c>
      <c r="D1540" s="33" t="s">
        <v>54</v>
      </c>
      <c r="E1540" s="34">
        <v>238.09700000000001</v>
      </c>
      <c r="F1540" s="36">
        <v>0.106999999999999</v>
      </c>
      <c r="G1540" s="34">
        <v>0.106999999999999</v>
      </c>
      <c r="H1540" s="35">
        <v>14.5</v>
      </c>
      <c r="I1540" s="37">
        <f t="shared" si="24"/>
        <v>3.535291966353773E-4</v>
      </c>
      <c r="J1540" s="33"/>
    </row>
    <row r="1541" spans="1:10">
      <c r="A1541" s="33" t="s">
        <v>97</v>
      </c>
      <c r="B1541" s="34">
        <v>238.20400000000001</v>
      </c>
      <c r="C1541" s="35">
        <v>41015</v>
      </c>
      <c r="D1541" s="33" t="s">
        <v>269</v>
      </c>
      <c r="E1541" s="34">
        <v>238.1</v>
      </c>
      <c r="F1541" s="36">
        <v>0.104000000000013</v>
      </c>
      <c r="G1541" s="34">
        <v>0.104000000000013</v>
      </c>
      <c r="H1541" s="35">
        <v>545.4</v>
      </c>
      <c r="I1541" s="37">
        <f t="shared" si="24"/>
        <v>1.3297574058271363E-2</v>
      </c>
      <c r="J1541" s="33"/>
    </row>
    <row r="1542" spans="1:10">
      <c r="A1542" s="33" t="s">
        <v>97</v>
      </c>
      <c r="B1542" s="34">
        <v>238.20400000000001</v>
      </c>
      <c r="C1542" s="35">
        <v>41015</v>
      </c>
      <c r="D1542" s="33" t="s">
        <v>279</v>
      </c>
      <c r="E1542" s="34">
        <v>238.114</v>
      </c>
      <c r="F1542" s="36">
        <v>9.0000000000003397E-2</v>
      </c>
      <c r="G1542" s="34">
        <v>9.0000000000003397E-2</v>
      </c>
      <c r="H1542" s="35">
        <v>15.8</v>
      </c>
      <c r="I1542" s="37">
        <f t="shared" si="24"/>
        <v>3.8522491771303185E-4</v>
      </c>
      <c r="J1542" s="33"/>
    </row>
    <row r="1543" spans="1:10">
      <c r="A1543" s="33" t="s">
        <v>97</v>
      </c>
      <c r="B1543" s="34">
        <v>238.20400000000001</v>
      </c>
      <c r="C1543" s="35">
        <v>41015</v>
      </c>
      <c r="D1543" s="33" t="s">
        <v>193</v>
      </c>
      <c r="E1543" s="34">
        <v>238.11500000000001</v>
      </c>
      <c r="F1543" s="36">
        <v>8.8999999999998594E-2</v>
      </c>
      <c r="G1543" s="34">
        <v>8.8999999999998594E-2</v>
      </c>
      <c r="H1543" s="35">
        <v>1398.6</v>
      </c>
      <c r="I1543" s="37">
        <f t="shared" si="24"/>
        <v>3.4099719614775079E-2</v>
      </c>
      <c r="J1543" s="33"/>
    </row>
    <row r="1544" spans="1:10">
      <c r="A1544" s="33" t="s">
        <v>97</v>
      </c>
      <c r="B1544" s="34">
        <v>238.20400000000001</v>
      </c>
      <c r="C1544" s="35">
        <v>41015</v>
      </c>
      <c r="D1544" s="33" t="s">
        <v>305</v>
      </c>
      <c r="E1544" s="34">
        <v>238.11799999999999</v>
      </c>
      <c r="F1544" s="36">
        <v>8.6000000000012705E-2</v>
      </c>
      <c r="G1544" s="34">
        <v>8.6000000000012705E-2</v>
      </c>
      <c r="H1544" s="35">
        <v>23.4</v>
      </c>
      <c r="I1544" s="37">
        <f t="shared" si="24"/>
        <v>5.7052297939778126E-4</v>
      </c>
      <c r="J1544" s="33"/>
    </row>
    <row r="1545" spans="1:10">
      <c r="A1545" s="33" t="s">
        <v>97</v>
      </c>
      <c r="B1545" s="34">
        <v>238.20400000000001</v>
      </c>
      <c r="C1545" s="35">
        <v>41015</v>
      </c>
      <c r="D1545" s="33" t="s">
        <v>274</v>
      </c>
      <c r="E1545" s="34">
        <v>238.13300000000001</v>
      </c>
      <c r="F1545" s="36">
        <v>7.0999999999997995E-2</v>
      </c>
      <c r="G1545" s="34">
        <v>7.0999999999997995E-2</v>
      </c>
      <c r="H1545" s="35">
        <v>48.3</v>
      </c>
      <c r="I1545" s="37">
        <f t="shared" si="24"/>
        <v>1.1776179446543946E-3</v>
      </c>
      <c r="J1545" s="33"/>
    </row>
    <row r="1546" spans="1:10">
      <c r="A1546" s="33" t="s">
        <v>97</v>
      </c>
      <c r="B1546" s="34">
        <v>238.20400000000001</v>
      </c>
      <c r="C1546" s="35">
        <v>41015</v>
      </c>
      <c r="D1546" s="33" t="s">
        <v>239</v>
      </c>
      <c r="E1546" s="34">
        <v>238.14699999999999</v>
      </c>
      <c r="F1546" s="36">
        <v>5.7000000000016399E-2</v>
      </c>
      <c r="G1546" s="34">
        <v>5.7000000000016399E-2</v>
      </c>
      <c r="H1546" s="35">
        <v>120.3</v>
      </c>
      <c r="I1546" s="37">
        <f t="shared" si="24"/>
        <v>2.9330732658783372E-3</v>
      </c>
      <c r="J1546" s="33"/>
    </row>
    <row r="1547" spans="1:10">
      <c r="A1547" s="33" t="s">
        <v>97</v>
      </c>
      <c r="B1547" s="34">
        <v>238.20400000000001</v>
      </c>
      <c r="C1547" s="35">
        <v>41015</v>
      </c>
      <c r="D1547" s="33" t="s">
        <v>275</v>
      </c>
      <c r="E1547" s="34">
        <v>238.14699999999999</v>
      </c>
      <c r="F1547" s="36">
        <v>5.7000000000016399E-2</v>
      </c>
      <c r="G1547" s="34">
        <v>5.7000000000016399E-2</v>
      </c>
      <c r="H1547" s="35">
        <v>65.8</v>
      </c>
      <c r="I1547" s="37">
        <f t="shared" si="24"/>
        <v>1.6042911130074362E-3</v>
      </c>
      <c r="J1547" s="33"/>
    </row>
    <row r="1548" spans="1:10">
      <c r="A1548" s="33" t="s">
        <v>97</v>
      </c>
      <c r="B1548" s="34">
        <v>238.20400000000001</v>
      </c>
      <c r="C1548" s="35">
        <v>41015</v>
      </c>
      <c r="D1548" s="33" t="s">
        <v>193</v>
      </c>
      <c r="E1548" s="34">
        <v>238.15199999999999</v>
      </c>
      <c r="F1548" s="36">
        <v>5.2000000000020898E-2</v>
      </c>
      <c r="G1548" s="34">
        <v>5.2000000000020898E-2</v>
      </c>
      <c r="H1548" s="35">
        <v>543.29999999999995</v>
      </c>
      <c r="I1548" s="37">
        <f t="shared" si="24"/>
        <v>1.3246373278068997E-2</v>
      </c>
      <c r="J1548" s="33"/>
    </row>
    <row r="1549" spans="1:10">
      <c r="A1549" s="33" t="s">
        <v>97</v>
      </c>
      <c r="B1549" s="34">
        <v>238.20400000000001</v>
      </c>
      <c r="C1549" s="35">
        <v>41015</v>
      </c>
      <c r="D1549" s="33" t="s">
        <v>268</v>
      </c>
      <c r="E1549" s="34">
        <v>238.172</v>
      </c>
      <c r="F1549" s="36">
        <v>3.20000000000107E-2</v>
      </c>
      <c r="G1549" s="34">
        <v>3.20000000000107E-2</v>
      </c>
      <c r="H1549" s="35">
        <v>66.599999999999994</v>
      </c>
      <c r="I1549" s="37">
        <f t="shared" si="24"/>
        <v>1.6237961721321467E-3</v>
      </c>
      <c r="J1549" s="33"/>
    </row>
    <row r="1550" spans="1:10">
      <c r="A1550" s="33" t="s">
        <v>97</v>
      </c>
      <c r="B1550" s="34">
        <v>238.20400000000001</v>
      </c>
      <c r="C1550" s="35">
        <v>41015</v>
      </c>
      <c r="D1550" s="33" t="s">
        <v>54</v>
      </c>
      <c r="E1550" s="34">
        <v>238.17599999999999</v>
      </c>
      <c r="F1550" s="36">
        <v>2.8000000000019998E-2</v>
      </c>
      <c r="G1550" s="34">
        <v>2.8000000000019998E-2</v>
      </c>
      <c r="H1550" s="35">
        <v>1159</v>
      </c>
      <c r="I1550" s="37">
        <f t="shared" si="24"/>
        <v>2.8257954406924295E-2</v>
      </c>
      <c r="J1550" s="33"/>
    </row>
    <row r="1551" spans="1:10">
      <c r="A1551" s="33" t="s">
        <v>97</v>
      </c>
      <c r="B1551" s="34">
        <v>238.20400000000001</v>
      </c>
      <c r="C1551" s="35">
        <v>41015</v>
      </c>
      <c r="D1551" s="33" t="s">
        <v>274</v>
      </c>
      <c r="E1551" s="34">
        <v>238.17699999999999</v>
      </c>
      <c r="F1551" s="36">
        <v>2.7000000000015199E-2</v>
      </c>
      <c r="G1551" s="34">
        <v>2.7000000000015199E-2</v>
      </c>
      <c r="H1551" s="35">
        <v>6</v>
      </c>
      <c r="I1551" s="37">
        <f t="shared" si="24"/>
        <v>1.4628794343532855E-4</v>
      </c>
      <c r="J1551" s="33"/>
    </row>
    <row r="1552" spans="1:10">
      <c r="A1552" s="33" t="s">
        <v>97</v>
      </c>
      <c r="B1552" s="34">
        <v>238.20400000000001</v>
      </c>
      <c r="C1552" s="35">
        <v>41015</v>
      </c>
      <c r="D1552" s="33" t="s">
        <v>240</v>
      </c>
      <c r="E1552" s="34">
        <v>238.18</v>
      </c>
      <c r="F1552" s="36">
        <v>2.4000000000000899E-2</v>
      </c>
      <c r="G1552" s="34">
        <v>2.4000000000000899E-2</v>
      </c>
      <c r="H1552" s="35">
        <v>0.3</v>
      </c>
      <c r="I1552" s="37">
        <f t="shared" si="24"/>
        <v>7.3143971717664266E-6</v>
      </c>
      <c r="J1552" s="33"/>
    </row>
    <row r="1553" spans="1:10">
      <c r="A1553" s="33" t="s">
        <v>97</v>
      </c>
      <c r="B1553" s="34">
        <v>238.20400000000001</v>
      </c>
      <c r="C1553" s="35">
        <v>41015</v>
      </c>
      <c r="D1553" s="33" t="s">
        <v>279</v>
      </c>
      <c r="E1553" s="34">
        <v>238.18100000000001</v>
      </c>
      <c r="F1553" s="36">
        <v>2.29999999999961E-2</v>
      </c>
      <c r="G1553" s="34">
        <v>2.29999999999961E-2</v>
      </c>
      <c r="H1553" s="35">
        <v>1</v>
      </c>
      <c r="I1553" s="37">
        <f t="shared" si="24"/>
        <v>2.4381323905888089E-5</v>
      </c>
      <c r="J1553" s="33"/>
    </row>
    <row r="1554" spans="1:10">
      <c r="A1554" s="33" t="s">
        <v>97</v>
      </c>
      <c r="B1554" s="34">
        <v>238.20400000000001</v>
      </c>
      <c r="C1554" s="35">
        <v>41015</v>
      </c>
      <c r="D1554" s="33" t="s">
        <v>290</v>
      </c>
      <c r="E1554" s="34">
        <v>238.18199999999999</v>
      </c>
      <c r="F1554" s="36">
        <v>2.2000000000019799E-2</v>
      </c>
      <c r="G1554" s="34">
        <v>2.2000000000019799E-2</v>
      </c>
      <c r="H1554" s="35">
        <v>313</v>
      </c>
      <c r="I1554" s="37">
        <f t="shared" si="24"/>
        <v>7.631354382542972E-3</v>
      </c>
      <c r="J1554" s="33"/>
    </row>
    <row r="1555" spans="1:10">
      <c r="A1555" s="33" t="s">
        <v>97</v>
      </c>
      <c r="B1555" s="34">
        <v>238.20400000000001</v>
      </c>
      <c r="C1555" s="35">
        <v>41015</v>
      </c>
      <c r="D1555" s="33" t="s">
        <v>165</v>
      </c>
      <c r="E1555" s="34">
        <v>238.18899999999999</v>
      </c>
      <c r="F1555" s="36">
        <v>1.50000000000148E-2</v>
      </c>
      <c r="G1555" s="34">
        <v>1.50000000000148E-2</v>
      </c>
      <c r="H1555" s="35">
        <v>0.1</v>
      </c>
      <c r="I1555" s="37">
        <f t="shared" si="24"/>
        <v>2.438132390588809E-6</v>
      </c>
      <c r="J1555" s="33"/>
    </row>
    <row r="1556" spans="1:10">
      <c r="A1556" s="33" t="s">
        <v>97</v>
      </c>
      <c r="B1556" s="34">
        <v>238.20400000000001</v>
      </c>
      <c r="C1556" s="35">
        <v>41015</v>
      </c>
      <c r="D1556" s="33" t="s">
        <v>33</v>
      </c>
      <c r="E1556" s="34">
        <v>238.19800000000001</v>
      </c>
      <c r="F1556" s="36">
        <v>6.00000000000023E-3</v>
      </c>
      <c r="G1556" s="34">
        <v>6.00000000000023E-3</v>
      </c>
      <c r="H1556" s="35">
        <v>285.8</v>
      </c>
      <c r="I1556" s="37">
        <f t="shared" si="24"/>
        <v>6.968182372302816E-3</v>
      </c>
      <c r="J1556" s="33" t="s">
        <v>116</v>
      </c>
    </row>
    <row r="1557" spans="1:10">
      <c r="A1557" s="33" t="s">
        <v>97</v>
      </c>
      <c r="B1557" s="34">
        <v>238.20400000000001</v>
      </c>
      <c r="C1557" s="35">
        <v>41015</v>
      </c>
      <c r="D1557" s="33" t="s">
        <v>268</v>
      </c>
      <c r="E1557" s="34">
        <v>238.20099999999999</v>
      </c>
      <c r="F1557" s="36">
        <v>3.0000000000143302E-3</v>
      </c>
      <c r="G1557" s="34">
        <v>3.0000000000143302E-3</v>
      </c>
      <c r="H1557" s="35">
        <v>763.6</v>
      </c>
      <c r="I1557" s="37">
        <f t="shared" si="24"/>
        <v>1.8617578934536146E-2</v>
      </c>
      <c r="J1557" s="33"/>
    </row>
    <row r="1558" spans="1:10">
      <c r="A1558" s="33" t="s">
        <v>97</v>
      </c>
      <c r="B1558" s="34">
        <v>238.20400000000001</v>
      </c>
      <c r="C1558" s="35">
        <v>41015</v>
      </c>
      <c r="D1558" s="33" t="s">
        <v>279</v>
      </c>
      <c r="E1558" s="34">
        <v>238.208</v>
      </c>
      <c r="F1558" s="36">
        <v>3.9999999999906803E-3</v>
      </c>
      <c r="G1558" s="34">
        <v>3.9999999999906803E-3</v>
      </c>
      <c r="H1558" s="35">
        <v>12.7</v>
      </c>
      <c r="I1558" s="37">
        <f t="shared" si="24"/>
        <v>3.0964281360477871E-4</v>
      </c>
      <c r="J1558" s="33"/>
    </row>
    <row r="1559" spans="1:10">
      <c r="A1559" s="33" t="s">
        <v>97</v>
      </c>
      <c r="B1559" s="34">
        <v>238.20400000000001</v>
      </c>
      <c r="C1559" s="35">
        <v>41015</v>
      </c>
      <c r="D1559" s="33" t="s">
        <v>240</v>
      </c>
      <c r="E1559" s="34">
        <v>238.21</v>
      </c>
      <c r="F1559" s="36">
        <v>6.00000000000023E-3</v>
      </c>
      <c r="G1559" s="34">
        <v>6.00000000000023E-3</v>
      </c>
      <c r="H1559" s="35">
        <v>0.7</v>
      </c>
      <c r="I1559" s="37">
        <f t="shared" si="24"/>
        <v>1.7066926734121662E-5</v>
      </c>
      <c r="J1559" s="33"/>
    </row>
    <row r="1560" spans="1:10">
      <c r="A1560" s="33" t="s">
        <v>97</v>
      </c>
      <c r="B1560" s="34">
        <v>238.20400000000001</v>
      </c>
      <c r="C1560" s="35">
        <v>41015</v>
      </c>
      <c r="D1560" s="33" t="s">
        <v>239</v>
      </c>
      <c r="E1560" s="34">
        <v>238.21899999999999</v>
      </c>
      <c r="F1560" s="36">
        <v>1.4999999999986399E-2</v>
      </c>
      <c r="G1560" s="34">
        <v>1.4999999999986399E-2</v>
      </c>
      <c r="H1560" s="35">
        <v>5.7</v>
      </c>
      <c r="I1560" s="37">
        <f t="shared" si="24"/>
        <v>1.3897354626356211E-4</v>
      </c>
      <c r="J1560" s="33"/>
    </row>
    <row r="1561" spans="1:10">
      <c r="A1561" s="33" t="s">
        <v>97</v>
      </c>
      <c r="B1561" s="34">
        <v>238.20400000000001</v>
      </c>
      <c r="C1561" s="35">
        <v>41015</v>
      </c>
      <c r="D1561" s="33" t="s">
        <v>274</v>
      </c>
      <c r="E1561" s="34">
        <v>238.22300000000001</v>
      </c>
      <c r="F1561" s="36">
        <v>1.9000000000005499E-2</v>
      </c>
      <c r="G1561" s="34">
        <v>1.9000000000005499E-2</v>
      </c>
      <c r="H1561" s="35">
        <v>6.6</v>
      </c>
      <c r="I1561" s="37">
        <f t="shared" si="24"/>
        <v>1.6091673777886138E-4</v>
      </c>
      <c r="J1561" s="33"/>
    </row>
    <row r="1562" spans="1:10">
      <c r="A1562" s="33" t="s">
        <v>97</v>
      </c>
      <c r="B1562" s="34">
        <v>238.20400000000001</v>
      </c>
      <c r="C1562" s="35">
        <v>41015</v>
      </c>
      <c r="D1562" s="33" t="s">
        <v>275</v>
      </c>
      <c r="E1562" s="34">
        <v>238.22399999999999</v>
      </c>
      <c r="F1562" s="36">
        <v>1.99999999999818E-2</v>
      </c>
      <c r="G1562" s="34">
        <v>1.99999999999818E-2</v>
      </c>
      <c r="H1562" s="35">
        <v>1.5</v>
      </c>
      <c r="I1562" s="37">
        <f t="shared" si="24"/>
        <v>3.6571985858832137E-5</v>
      </c>
      <c r="J1562" s="33"/>
    </row>
    <row r="1563" spans="1:10">
      <c r="A1563" s="33" t="s">
        <v>97</v>
      </c>
      <c r="B1563" s="34">
        <v>238.20400000000001</v>
      </c>
      <c r="C1563" s="35">
        <v>41015</v>
      </c>
      <c r="D1563" s="33" t="s">
        <v>273</v>
      </c>
      <c r="E1563" s="34">
        <v>238.22900000000001</v>
      </c>
      <c r="F1563" s="36">
        <v>2.5000000000005702E-2</v>
      </c>
      <c r="G1563" s="34">
        <v>2.5000000000005702E-2</v>
      </c>
      <c r="H1563" s="35">
        <v>3.8</v>
      </c>
      <c r="I1563" s="37">
        <f t="shared" si="24"/>
        <v>9.2649030842374743E-5</v>
      </c>
      <c r="J1563" s="33"/>
    </row>
    <row r="1564" spans="1:10">
      <c r="A1564" s="33" t="s">
        <v>97</v>
      </c>
      <c r="B1564" s="34">
        <v>238.20400000000001</v>
      </c>
      <c r="C1564" s="35">
        <v>41015</v>
      </c>
      <c r="D1564" s="33" t="s">
        <v>54</v>
      </c>
      <c r="E1564" s="34">
        <v>238.232</v>
      </c>
      <c r="F1564" s="36">
        <v>2.7999999999991601E-2</v>
      </c>
      <c r="G1564" s="34">
        <v>2.7999999999991601E-2</v>
      </c>
      <c r="H1564" s="35">
        <v>84</v>
      </c>
      <c r="I1564" s="37">
        <f t="shared" si="24"/>
        <v>2.0480312080945993E-3</v>
      </c>
      <c r="J1564" s="33"/>
    </row>
    <row r="1565" spans="1:10">
      <c r="A1565" s="33" t="s">
        <v>97</v>
      </c>
      <c r="B1565" s="34">
        <v>238.20400000000001</v>
      </c>
      <c r="C1565" s="35">
        <v>41015</v>
      </c>
      <c r="D1565" s="33" t="s">
        <v>239</v>
      </c>
      <c r="E1565" s="34">
        <v>238.23599999999999</v>
      </c>
      <c r="F1565" s="36">
        <v>3.19999999999823E-2</v>
      </c>
      <c r="G1565" s="34">
        <v>3.19999999999823E-2</v>
      </c>
      <c r="H1565" s="35">
        <v>1</v>
      </c>
      <c r="I1565" s="37">
        <f t="shared" si="24"/>
        <v>2.4381323905888089E-5</v>
      </c>
      <c r="J1565" s="33"/>
    </row>
    <row r="1566" spans="1:10">
      <c r="A1566" s="33" t="s">
        <v>97</v>
      </c>
      <c r="B1566" s="34">
        <v>238.20400000000001</v>
      </c>
      <c r="C1566" s="35">
        <v>41015</v>
      </c>
      <c r="D1566" s="33" t="s">
        <v>97</v>
      </c>
      <c r="E1566" s="34">
        <v>238.23599999999999</v>
      </c>
      <c r="F1566" s="36">
        <v>3.19999999999823E-2</v>
      </c>
      <c r="G1566" s="34">
        <v>3.19999999999823E-2</v>
      </c>
      <c r="H1566" s="35">
        <v>78.7</v>
      </c>
      <c r="I1566" s="37">
        <f t="shared" si="24"/>
        <v>1.9188101913933926E-3</v>
      </c>
      <c r="J1566" s="33"/>
    </row>
    <row r="1567" spans="1:10">
      <c r="A1567" s="33" t="s">
        <v>97</v>
      </c>
      <c r="B1567" s="34">
        <v>238.20400000000001</v>
      </c>
      <c r="C1567" s="35">
        <v>41015</v>
      </c>
      <c r="D1567" s="33" t="s">
        <v>274</v>
      </c>
      <c r="E1567" s="34">
        <v>238.23599999999999</v>
      </c>
      <c r="F1567" s="36">
        <v>3.19999999999823E-2</v>
      </c>
      <c r="G1567" s="34">
        <v>3.19999999999823E-2</v>
      </c>
      <c r="H1567" s="35">
        <v>63.1</v>
      </c>
      <c r="I1567" s="37">
        <f t="shared" si="24"/>
        <v>1.5384615384615385E-3</v>
      </c>
      <c r="J1567" s="33"/>
    </row>
    <row r="1568" spans="1:10">
      <c r="A1568" s="33" t="s">
        <v>97</v>
      </c>
      <c r="B1568" s="34">
        <v>238.20400000000001</v>
      </c>
      <c r="C1568" s="35">
        <v>41015</v>
      </c>
      <c r="D1568" s="33" t="s">
        <v>284</v>
      </c>
      <c r="E1568" s="34">
        <v>238.24799999999999</v>
      </c>
      <c r="F1568" s="36">
        <v>4.3999999999982699E-2</v>
      </c>
      <c r="G1568" s="34">
        <v>4.3999999999982699E-2</v>
      </c>
      <c r="H1568" s="35">
        <v>1.5</v>
      </c>
      <c r="I1568" s="37">
        <f t="shared" si="24"/>
        <v>3.6571985858832137E-5</v>
      </c>
      <c r="J1568" s="33"/>
    </row>
    <row r="1569" spans="1:10">
      <c r="A1569" s="33" t="s">
        <v>97</v>
      </c>
      <c r="B1569" s="34">
        <v>238.20400000000001</v>
      </c>
      <c r="C1569" s="35">
        <v>41015</v>
      </c>
      <c r="D1569" s="33" t="s">
        <v>278</v>
      </c>
      <c r="E1569" s="34">
        <v>238.24799999999999</v>
      </c>
      <c r="F1569" s="36">
        <v>4.3999999999982699E-2</v>
      </c>
      <c r="G1569" s="34">
        <v>4.3999999999982699E-2</v>
      </c>
      <c r="H1569" s="35">
        <v>29.5</v>
      </c>
      <c r="I1569" s="37">
        <f t="shared" si="24"/>
        <v>7.192490552236987E-4</v>
      </c>
      <c r="J1569" s="33"/>
    </row>
    <row r="1570" spans="1:10">
      <c r="A1570" s="33" t="s">
        <v>97</v>
      </c>
      <c r="B1570" s="34">
        <v>238.20400000000001</v>
      </c>
      <c r="C1570" s="35">
        <v>41015</v>
      </c>
      <c r="D1570" s="33" t="s">
        <v>282</v>
      </c>
      <c r="E1570" s="34">
        <v>238.28899999999999</v>
      </c>
      <c r="F1570" s="36">
        <v>8.4999999999979495E-2</v>
      </c>
      <c r="G1570" s="34">
        <v>8.4999999999979495E-2</v>
      </c>
      <c r="H1570" s="35">
        <v>157.9</v>
      </c>
      <c r="I1570" s="37">
        <f t="shared" si="24"/>
        <v>3.8498110447397296E-3</v>
      </c>
      <c r="J1570" s="33"/>
    </row>
    <row r="1571" spans="1:10">
      <c r="A1571" s="33" t="s">
        <v>97</v>
      </c>
      <c r="B1571" s="34">
        <v>238.20400000000001</v>
      </c>
      <c r="C1571" s="35">
        <v>41015</v>
      </c>
      <c r="D1571" s="33" t="s">
        <v>274</v>
      </c>
      <c r="E1571" s="34">
        <v>238.29900000000001</v>
      </c>
      <c r="F1571" s="36">
        <v>9.4999999999998905E-2</v>
      </c>
      <c r="G1571" s="34">
        <v>9.4999999999998905E-2</v>
      </c>
      <c r="H1571" s="35">
        <v>39.700000000000003</v>
      </c>
      <c r="I1571" s="37">
        <f t="shared" si="24"/>
        <v>9.679385590637572E-4</v>
      </c>
      <c r="J1571" s="33"/>
    </row>
    <row r="1572" spans="1:10">
      <c r="A1572" s="33" t="s">
        <v>97</v>
      </c>
      <c r="B1572" s="34">
        <v>238.20400000000001</v>
      </c>
      <c r="C1572" s="35">
        <v>41015</v>
      </c>
      <c r="D1572" s="33" t="s">
        <v>97</v>
      </c>
      <c r="E1572" s="34">
        <v>238.30600000000001</v>
      </c>
      <c r="F1572" s="36">
        <v>0.102000000000004</v>
      </c>
      <c r="G1572" s="34">
        <v>0.102000000000004</v>
      </c>
      <c r="H1572" s="35">
        <v>493.1</v>
      </c>
      <c r="I1572" s="37">
        <f t="shared" si="24"/>
        <v>1.2022430817993418E-2</v>
      </c>
      <c r="J1572" s="33"/>
    </row>
    <row r="1573" spans="1:10">
      <c r="A1573" s="33" t="s">
        <v>97</v>
      </c>
      <c r="B1573" s="34">
        <v>238.20400000000001</v>
      </c>
      <c r="C1573" s="35">
        <v>41015</v>
      </c>
      <c r="D1573" s="33" t="s">
        <v>290</v>
      </c>
      <c r="E1573" s="34">
        <v>238.31700000000001</v>
      </c>
      <c r="F1573" s="36">
        <v>0.113</v>
      </c>
      <c r="G1573" s="34">
        <v>0.113</v>
      </c>
      <c r="H1573" s="35">
        <v>14.1</v>
      </c>
      <c r="I1573" s="37">
        <f t="shared" si="24"/>
        <v>3.4377666707302205E-4</v>
      </c>
      <c r="J1573" s="33"/>
    </row>
    <row r="1574" spans="1:10">
      <c r="A1574" s="33" t="s">
        <v>97</v>
      </c>
      <c r="B1574" s="34">
        <v>238.20400000000001</v>
      </c>
      <c r="C1574" s="35">
        <v>41015</v>
      </c>
      <c r="D1574" s="33" t="s">
        <v>97</v>
      </c>
      <c r="E1574" s="34">
        <v>238.32499999999999</v>
      </c>
      <c r="F1574" s="36">
        <v>0.120999999999981</v>
      </c>
      <c r="G1574" s="34">
        <v>0.120999999999981</v>
      </c>
      <c r="H1574" s="35">
        <v>1345.2</v>
      </c>
      <c r="I1574" s="37">
        <f t="shared" si="24"/>
        <v>3.2797756918200659E-2</v>
      </c>
      <c r="J1574" s="33"/>
    </row>
    <row r="1575" spans="1:10">
      <c r="A1575" s="33" t="s">
        <v>97</v>
      </c>
      <c r="B1575" s="34">
        <v>238.20400000000001</v>
      </c>
      <c r="C1575" s="35">
        <v>41015</v>
      </c>
      <c r="D1575" s="33" t="s">
        <v>299</v>
      </c>
      <c r="E1575" s="34">
        <v>238.328</v>
      </c>
      <c r="F1575" s="36">
        <v>0.123999999999995</v>
      </c>
      <c r="G1575" s="34">
        <v>0.123999999999995</v>
      </c>
      <c r="H1575" s="35">
        <v>327.60000000000002</v>
      </c>
      <c r="I1575" s="37">
        <f t="shared" si="24"/>
        <v>7.9873217115689395E-3</v>
      </c>
      <c r="J1575" s="33"/>
    </row>
    <row r="1576" spans="1:10">
      <c r="A1576" s="33" t="s">
        <v>97</v>
      </c>
      <c r="B1576" s="34">
        <v>238.20400000000001</v>
      </c>
      <c r="C1576" s="35">
        <v>41015</v>
      </c>
      <c r="D1576" s="33" t="s">
        <v>239</v>
      </c>
      <c r="E1576" s="34">
        <v>238.33099999999999</v>
      </c>
      <c r="F1576" s="36">
        <v>0.12699999999998099</v>
      </c>
      <c r="G1576" s="34">
        <v>0.12699999999998099</v>
      </c>
      <c r="H1576" s="35">
        <v>45.9</v>
      </c>
      <c r="I1576" s="37">
        <f t="shared" si="24"/>
        <v>1.1191027672802633E-3</v>
      </c>
      <c r="J1576" s="33"/>
    </row>
    <row r="1577" spans="1:10">
      <c r="A1577" s="33" t="s">
        <v>97</v>
      </c>
      <c r="B1577" s="34">
        <v>238.20400000000001</v>
      </c>
      <c r="C1577" s="35">
        <v>41015</v>
      </c>
      <c r="D1577" s="33" t="s">
        <v>282</v>
      </c>
      <c r="E1577" s="34">
        <v>238.34</v>
      </c>
      <c r="F1577" s="36">
        <v>0.13599999999999601</v>
      </c>
      <c r="G1577" s="34">
        <v>0.13599999999999601</v>
      </c>
      <c r="H1577" s="35">
        <v>118.17</v>
      </c>
      <c r="I1577" s="37">
        <f t="shared" si="24"/>
        <v>2.8811410459587956E-3</v>
      </c>
      <c r="J1577" s="33"/>
    </row>
    <row r="1578" spans="1:10">
      <c r="A1578" s="33" t="s">
        <v>97</v>
      </c>
      <c r="B1578" s="34">
        <v>239.56299999999999</v>
      </c>
      <c r="C1578" s="35">
        <v>10719.4</v>
      </c>
      <c r="D1578" s="33" t="s">
        <v>300</v>
      </c>
      <c r="E1578" s="34">
        <v>239.37899999999999</v>
      </c>
      <c r="F1578" s="36">
        <v>0.183999999999998</v>
      </c>
      <c r="G1578" s="34">
        <v>0.183999999999998</v>
      </c>
      <c r="H1578" s="35">
        <v>88.1</v>
      </c>
      <c r="I1578" s="37">
        <f t="shared" si="24"/>
        <v>8.2187435863947614E-3</v>
      </c>
      <c r="J1578" s="33"/>
    </row>
    <row r="1579" spans="1:10">
      <c r="A1579" s="33" t="s">
        <v>97</v>
      </c>
      <c r="B1579" s="34">
        <v>239.56299999999999</v>
      </c>
      <c r="C1579" s="35">
        <v>10719.4</v>
      </c>
      <c r="D1579" s="33" t="s">
        <v>269</v>
      </c>
      <c r="E1579" s="34">
        <v>239.38399999999999</v>
      </c>
      <c r="F1579" s="36">
        <v>0.17900000000000199</v>
      </c>
      <c r="G1579" s="34">
        <v>0.17900000000000199</v>
      </c>
      <c r="H1579" s="35">
        <v>4333.5</v>
      </c>
      <c r="I1579" s="37">
        <f t="shared" si="24"/>
        <v>0.40426702987107488</v>
      </c>
      <c r="J1579" s="33"/>
    </row>
    <row r="1580" spans="1:10">
      <c r="A1580" s="33" t="s">
        <v>97</v>
      </c>
      <c r="B1580" s="34">
        <v>239.56299999999999</v>
      </c>
      <c r="C1580" s="35">
        <v>10719.4</v>
      </c>
      <c r="D1580" s="33" t="s">
        <v>284</v>
      </c>
      <c r="E1580" s="34">
        <v>239.386</v>
      </c>
      <c r="F1580" s="36">
        <v>0.176999999999993</v>
      </c>
      <c r="G1580" s="34">
        <v>0.176999999999993</v>
      </c>
      <c r="H1580" s="35">
        <v>0.6</v>
      </c>
      <c r="I1580" s="37">
        <f t="shared" si="24"/>
        <v>5.5973282086683955E-5</v>
      </c>
      <c r="J1580" s="33"/>
    </row>
    <row r="1581" spans="1:10">
      <c r="A1581" s="33" t="s">
        <v>97</v>
      </c>
      <c r="B1581" s="34">
        <v>239.56299999999999</v>
      </c>
      <c r="C1581" s="35">
        <v>10719.4</v>
      </c>
      <c r="D1581" s="33" t="s">
        <v>54</v>
      </c>
      <c r="E1581" s="34">
        <v>239.39</v>
      </c>
      <c r="F1581" s="36">
        <v>0.17300000000000201</v>
      </c>
      <c r="G1581" s="34">
        <v>0.17300000000000201</v>
      </c>
      <c r="H1581" s="35">
        <v>254.8</v>
      </c>
      <c r="I1581" s="37">
        <f t="shared" si="24"/>
        <v>2.3769987126145121E-2</v>
      </c>
      <c r="J1581" s="33"/>
    </row>
    <row r="1582" spans="1:10">
      <c r="A1582" s="33" t="s">
        <v>97</v>
      </c>
      <c r="B1582" s="34">
        <v>239.56299999999999</v>
      </c>
      <c r="C1582" s="35">
        <v>10719.4</v>
      </c>
      <c r="D1582" s="33" t="s">
        <v>239</v>
      </c>
      <c r="E1582" s="34">
        <v>239.398</v>
      </c>
      <c r="F1582" s="36">
        <v>0.16499999999999199</v>
      </c>
      <c r="G1582" s="34">
        <v>0.16499999999999199</v>
      </c>
      <c r="H1582" s="35">
        <v>48</v>
      </c>
      <c r="I1582" s="37">
        <f t="shared" si="24"/>
        <v>4.477862566934717E-3</v>
      </c>
      <c r="J1582" s="33"/>
    </row>
    <row r="1583" spans="1:10">
      <c r="A1583" s="33" t="s">
        <v>97</v>
      </c>
      <c r="B1583" s="34">
        <v>239.56299999999999</v>
      </c>
      <c r="C1583" s="35">
        <v>10719.4</v>
      </c>
      <c r="D1583" s="33" t="s">
        <v>297</v>
      </c>
      <c r="E1583" s="34">
        <v>239.40799999999999</v>
      </c>
      <c r="F1583" s="36">
        <v>0.155000000000001</v>
      </c>
      <c r="G1583" s="34">
        <v>0.155000000000001</v>
      </c>
      <c r="H1583" s="35">
        <v>1.9</v>
      </c>
      <c r="I1583" s="37">
        <f t="shared" si="24"/>
        <v>1.7724872660783252E-4</v>
      </c>
      <c r="J1583" s="33"/>
    </row>
    <row r="1584" spans="1:10">
      <c r="A1584" s="33" t="s">
        <v>97</v>
      </c>
      <c r="B1584" s="34">
        <v>239.56299999999999</v>
      </c>
      <c r="C1584" s="35">
        <v>10719.4</v>
      </c>
      <c r="D1584" s="33" t="s">
        <v>274</v>
      </c>
      <c r="E1584" s="34">
        <v>239.416</v>
      </c>
      <c r="F1584" s="36">
        <v>0.146999999999991</v>
      </c>
      <c r="G1584" s="34">
        <v>0.146999999999991</v>
      </c>
      <c r="H1584" s="35">
        <v>38.6</v>
      </c>
      <c r="I1584" s="37">
        <f t="shared" si="24"/>
        <v>3.6009478142433348E-3</v>
      </c>
      <c r="J1584" s="33"/>
    </row>
    <row r="1585" spans="1:10">
      <c r="A1585" s="33" t="s">
        <v>97</v>
      </c>
      <c r="B1585" s="34">
        <v>239.56299999999999</v>
      </c>
      <c r="C1585" s="35">
        <v>10719.4</v>
      </c>
      <c r="D1585" s="33" t="s">
        <v>54</v>
      </c>
      <c r="E1585" s="34">
        <v>239.423</v>
      </c>
      <c r="F1585" s="36">
        <v>0.139999999999986</v>
      </c>
      <c r="G1585" s="34">
        <v>0.139999999999986</v>
      </c>
      <c r="H1585" s="35">
        <v>9.1999999999999993</v>
      </c>
      <c r="I1585" s="37">
        <f t="shared" si="24"/>
        <v>8.5825699199582061E-4</v>
      </c>
      <c r="J1585" s="33"/>
    </row>
    <row r="1586" spans="1:10">
      <c r="A1586" s="33" t="s">
        <v>97</v>
      </c>
      <c r="B1586" s="34">
        <v>239.56299999999999</v>
      </c>
      <c r="C1586" s="35">
        <v>10719.4</v>
      </c>
      <c r="D1586" s="33" t="s">
        <v>284</v>
      </c>
      <c r="E1586" s="34">
        <v>239.429</v>
      </c>
      <c r="F1586" s="36">
        <v>0.13399999999998599</v>
      </c>
      <c r="G1586" s="34">
        <v>0.13399999999998599</v>
      </c>
      <c r="H1586" s="35">
        <v>1.9</v>
      </c>
      <c r="I1586" s="37">
        <f t="shared" si="24"/>
        <v>1.7724872660783252E-4</v>
      </c>
      <c r="J1586" s="33"/>
    </row>
    <row r="1587" spans="1:10">
      <c r="A1587" s="33" t="s">
        <v>97</v>
      </c>
      <c r="B1587" s="34">
        <v>239.56299999999999</v>
      </c>
      <c r="C1587" s="35">
        <v>10719.4</v>
      </c>
      <c r="D1587" s="33" t="s">
        <v>279</v>
      </c>
      <c r="E1587" s="34">
        <v>239.43700000000001</v>
      </c>
      <c r="F1587" s="36">
        <v>0.12599999999997599</v>
      </c>
      <c r="G1587" s="34">
        <v>0.12599999999997599</v>
      </c>
      <c r="H1587" s="35">
        <v>13.1</v>
      </c>
      <c r="I1587" s="37">
        <f t="shared" si="24"/>
        <v>1.2220833255592663E-3</v>
      </c>
      <c r="J1587" s="33"/>
    </row>
    <row r="1588" spans="1:10">
      <c r="A1588" s="33" t="s">
        <v>97</v>
      </c>
      <c r="B1588" s="34">
        <v>239.56299999999999</v>
      </c>
      <c r="C1588" s="35">
        <v>10719.4</v>
      </c>
      <c r="D1588" s="33" t="s">
        <v>165</v>
      </c>
      <c r="E1588" s="34">
        <v>239.452</v>
      </c>
      <c r="F1588" s="36">
        <v>0.11099999999999</v>
      </c>
      <c r="G1588" s="34">
        <v>0.11099999999999</v>
      </c>
      <c r="H1588" s="35">
        <v>2370.3000000000002</v>
      </c>
      <c r="I1588" s="37">
        <f t="shared" si="24"/>
        <v>0.22112245088344498</v>
      </c>
      <c r="J1588" s="33"/>
    </row>
    <row r="1589" spans="1:10">
      <c r="A1589" s="33" t="s">
        <v>97</v>
      </c>
      <c r="B1589" s="34">
        <v>239.56299999999999</v>
      </c>
      <c r="C1589" s="35">
        <v>10719.4</v>
      </c>
      <c r="D1589" s="33" t="s">
        <v>165</v>
      </c>
      <c r="E1589" s="34">
        <v>239.48400000000001</v>
      </c>
      <c r="F1589" s="36">
        <v>7.8999999999979295E-2</v>
      </c>
      <c r="G1589" s="34">
        <v>7.8999999999979295E-2</v>
      </c>
      <c r="H1589" s="35">
        <v>49.7</v>
      </c>
      <c r="I1589" s="37">
        <f t="shared" si="24"/>
        <v>4.6364535328469883E-3</v>
      </c>
      <c r="J1589" s="33"/>
    </row>
    <row r="1590" spans="1:10">
      <c r="A1590" s="33" t="s">
        <v>97</v>
      </c>
      <c r="B1590" s="34">
        <v>239.56299999999999</v>
      </c>
      <c r="C1590" s="35">
        <v>10719.4</v>
      </c>
      <c r="D1590" s="33" t="s">
        <v>97</v>
      </c>
      <c r="E1590" s="34">
        <v>239.489</v>
      </c>
      <c r="F1590" s="36">
        <v>7.3999999999983898E-2</v>
      </c>
      <c r="G1590" s="34">
        <v>7.3999999999983898E-2</v>
      </c>
      <c r="H1590" s="35">
        <v>11.7</v>
      </c>
      <c r="I1590" s="37">
        <f t="shared" si="24"/>
        <v>1.0914790006903371E-3</v>
      </c>
      <c r="J1590" s="33"/>
    </row>
    <row r="1591" spans="1:10">
      <c r="A1591" s="33" t="s">
        <v>97</v>
      </c>
      <c r="B1591" s="34">
        <v>239.56299999999999</v>
      </c>
      <c r="C1591" s="35">
        <v>10719.4</v>
      </c>
      <c r="D1591" s="33" t="s">
        <v>193</v>
      </c>
      <c r="E1591" s="34">
        <v>239.50399999999999</v>
      </c>
      <c r="F1591" s="36">
        <v>5.8999999999997499E-2</v>
      </c>
      <c r="G1591" s="34">
        <v>5.8999999999997499E-2</v>
      </c>
      <c r="H1591" s="35">
        <v>28.9</v>
      </c>
      <c r="I1591" s="37">
        <f t="shared" si="24"/>
        <v>2.6960464205086107E-3</v>
      </c>
      <c r="J1591" s="33"/>
    </row>
    <row r="1592" spans="1:10">
      <c r="A1592" s="33" t="s">
        <v>97</v>
      </c>
      <c r="B1592" s="34">
        <v>239.56299999999999</v>
      </c>
      <c r="C1592" s="35">
        <v>10719.4</v>
      </c>
      <c r="D1592" s="33" t="s">
        <v>274</v>
      </c>
      <c r="E1592" s="34">
        <v>239.51</v>
      </c>
      <c r="F1592" s="36">
        <v>5.2999999999997299E-2</v>
      </c>
      <c r="G1592" s="34">
        <v>5.2999999999997299E-2</v>
      </c>
      <c r="H1592" s="35">
        <v>46.4</v>
      </c>
      <c r="I1592" s="37">
        <f t="shared" si="24"/>
        <v>4.328600481370226E-3</v>
      </c>
      <c r="J1592" s="33"/>
    </row>
    <row r="1593" spans="1:10">
      <c r="A1593" s="33" t="s">
        <v>97</v>
      </c>
      <c r="B1593" s="34">
        <v>239.56299999999999</v>
      </c>
      <c r="C1593" s="35">
        <v>10719.4</v>
      </c>
      <c r="D1593" s="33" t="s">
        <v>291</v>
      </c>
      <c r="E1593" s="34">
        <v>239.52199999999999</v>
      </c>
      <c r="F1593" s="36">
        <v>4.0999999999996803E-2</v>
      </c>
      <c r="G1593" s="34">
        <v>4.0999999999996803E-2</v>
      </c>
      <c r="H1593" s="35">
        <v>1.3</v>
      </c>
      <c r="I1593" s="37">
        <f t="shared" si="24"/>
        <v>1.2127544452114858E-4</v>
      </c>
      <c r="J1593" s="33"/>
    </row>
    <row r="1594" spans="1:10">
      <c r="A1594" s="33" t="s">
        <v>97</v>
      </c>
      <c r="B1594" s="34">
        <v>239.56299999999999</v>
      </c>
      <c r="C1594" s="35">
        <v>10719.4</v>
      </c>
      <c r="D1594" s="33" t="s">
        <v>273</v>
      </c>
      <c r="E1594" s="34">
        <v>239.53200000000001</v>
      </c>
      <c r="F1594" s="36">
        <v>3.09999999999775E-2</v>
      </c>
      <c r="G1594" s="34">
        <v>3.09999999999775E-2</v>
      </c>
      <c r="H1594" s="35">
        <v>70.599999999999994</v>
      </c>
      <c r="I1594" s="37">
        <f t="shared" si="24"/>
        <v>6.5861895255331449E-3</v>
      </c>
      <c r="J1594" s="33"/>
    </row>
    <row r="1595" spans="1:10">
      <c r="A1595" s="33" t="s">
        <v>97</v>
      </c>
      <c r="B1595" s="34">
        <v>239.56299999999999</v>
      </c>
      <c r="C1595" s="35">
        <v>10719.4</v>
      </c>
      <c r="D1595" s="33" t="s">
        <v>240</v>
      </c>
      <c r="E1595" s="34">
        <v>239.53800000000001</v>
      </c>
      <c r="F1595" s="36">
        <v>2.4999999999977301E-2</v>
      </c>
      <c r="G1595" s="34">
        <v>2.4999999999977301E-2</v>
      </c>
      <c r="H1595" s="35">
        <v>9.8000000000000007</v>
      </c>
      <c r="I1595" s="37">
        <f t="shared" si="24"/>
        <v>9.1423027408250466E-4</v>
      </c>
      <c r="J1595" s="33"/>
    </row>
    <row r="1596" spans="1:10">
      <c r="A1596" s="33" t="s">
        <v>97</v>
      </c>
      <c r="B1596" s="34">
        <v>239.56299999999999</v>
      </c>
      <c r="C1596" s="35">
        <v>10719.4</v>
      </c>
      <c r="D1596" s="33" t="s">
        <v>284</v>
      </c>
      <c r="E1596" s="34">
        <v>239.53800000000001</v>
      </c>
      <c r="F1596" s="36">
        <v>2.4999999999977301E-2</v>
      </c>
      <c r="G1596" s="34">
        <v>2.4999999999977301E-2</v>
      </c>
      <c r="H1596" s="35">
        <v>25</v>
      </c>
      <c r="I1596" s="37">
        <f t="shared" si="24"/>
        <v>2.3322200869451649E-3</v>
      </c>
      <c r="J1596" s="33"/>
    </row>
    <row r="1597" spans="1:10">
      <c r="A1597" s="33" t="s">
        <v>97</v>
      </c>
      <c r="B1597" s="34">
        <v>239.56299999999999</v>
      </c>
      <c r="C1597" s="35">
        <v>10719.4</v>
      </c>
      <c r="D1597" s="33" t="s">
        <v>54</v>
      </c>
      <c r="E1597" s="34">
        <v>239.55099999999999</v>
      </c>
      <c r="F1597" s="36">
        <v>1.20000000000005E-2</v>
      </c>
      <c r="G1597" s="34">
        <v>1.20000000000005E-2</v>
      </c>
      <c r="H1597" s="35">
        <v>34.1</v>
      </c>
      <c r="I1597" s="37">
        <f t="shared" si="24"/>
        <v>3.1811481985932052E-3</v>
      </c>
      <c r="J1597" s="33"/>
    </row>
    <row r="1598" spans="1:10">
      <c r="A1598" s="33" t="s">
        <v>97</v>
      </c>
      <c r="B1598" s="34">
        <v>239.56299999999999</v>
      </c>
      <c r="C1598" s="35">
        <v>10719.4</v>
      </c>
      <c r="D1598" s="33" t="s">
        <v>274</v>
      </c>
      <c r="E1598" s="34">
        <v>239.57300000000001</v>
      </c>
      <c r="F1598" s="36">
        <v>1.0000000000019301E-2</v>
      </c>
      <c r="G1598" s="34">
        <v>1.0000000000019301E-2</v>
      </c>
      <c r="H1598" s="35">
        <v>28.1</v>
      </c>
      <c r="I1598" s="37">
        <f t="shared" si="24"/>
        <v>2.6214153777263656E-3</v>
      </c>
      <c r="J1598" s="33"/>
    </row>
    <row r="1599" spans="1:10">
      <c r="A1599" s="33" t="s">
        <v>97</v>
      </c>
      <c r="B1599" s="34">
        <v>239.56299999999999</v>
      </c>
      <c r="C1599" s="35">
        <v>10719.4</v>
      </c>
      <c r="D1599" s="33" t="s">
        <v>239</v>
      </c>
      <c r="E1599" s="34">
        <v>239.578</v>
      </c>
      <c r="F1599" s="36">
        <v>1.50000000000148E-2</v>
      </c>
      <c r="G1599" s="34">
        <v>1.50000000000148E-2</v>
      </c>
      <c r="H1599" s="35">
        <v>2.4</v>
      </c>
      <c r="I1599" s="37">
        <f t="shared" si="24"/>
        <v>2.2389312834673582E-4</v>
      </c>
      <c r="J1599" s="33"/>
    </row>
    <row r="1600" spans="1:10">
      <c r="A1600" s="33" t="s">
        <v>97</v>
      </c>
      <c r="B1600" s="34">
        <v>239.56299999999999</v>
      </c>
      <c r="C1600" s="35">
        <v>10719.4</v>
      </c>
      <c r="D1600" s="33" t="s">
        <v>284</v>
      </c>
      <c r="E1600" s="34">
        <v>239.58799999999999</v>
      </c>
      <c r="F1600" s="36">
        <v>2.5000000000005702E-2</v>
      </c>
      <c r="G1600" s="34">
        <v>2.5000000000005702E-2</v>
      </c>
      <c r="H1600" s="35">
        <v>3</v>
      </c>
      <c r="I1600" s="37">
        <f t="shared" si="24"/>
        <v>2.7986641043341982E-4</v>
      </c>
      <c r="J1600" s="33"/>
    </row>
    <row r="1601" spans="1:10">
      <c r="A1601" s="33" t="s">
        <v>97</v>
      </c>
      <c r="B1601" s="34">
        <v>239.56299999999999</v>
      </c>
      <c r="C1601" s="35">
        <v>10719.4</v>
      </c>
      <c r="D1601" s="33" t="s">
        <v>290</v>
      </c>
      <c r="E1601" s="34">
        <v>239.589</v>
      </c>
      <c r="F1601" s="36">
        <v>2.6000000000010501E-2</v>
      </c>
      <c r="G1601" s="34">
        <v>2.6000000000010501E-2</v>
      </c>
      <c r="H1601" s="35">
        <v>23</v>
      </c>
      <c r="I1601" s="37">
        <f t="shared" si="24"/>
        <v>2.1456424799895517E-3</v>
      </c>
      <c r="J1601" s="33"/>
    </row>
    <row r="1602" spans="1:10">
      <c r="A1602" s="33" t="s">
        <v>97</v>
      </c>
      <c r="B1602" s="34">
        <v>239.56299999999999</v>
      </c>
      <c r="C1602" s="35">
        <v>10719.4</v>
      </c>
      <c r="D1602" s="33" t="s">
        <v>290</v>
      </c>
      <c r="E1602" s="34">
        <v>239.60900000000001</v>
      </c>
      <c r="F1602" s="36">
        <v>4.6000000000020698E-2</v>
      </c>
      <c r="G1602" s="34">
        <v>4.6000000000020698E-2</v>
      </c>
      <c r="H1602" s="35">
        <v>5.3</v>
      </c>
      <c r="I1602" s="37">
        <f t="shared" ref="I1602:I1665" si="25">H1602/C1602</f>
        <v>4.9443065843237494E-4</v>
      </c>
      <c r="J1602" s="33"/>
    </row>
    <row r="1603" spans="1:10">
      <c r="A1603" s="33" t="s">
        <v>97</v>
      </c>
      <c r="B1603" s="34">
        <v>239.56299999999999</v>
      </c>
      <c r="C1603" s="35">
        <v>10719.4</v>
      </c>
      <c r="D1603" s="33" t="s">
        <v>54</v>
      </c>
      <c r="E1603" s="34">
        <v>239.61500000000001</v>
      </c>
      <c r="F1603" s="36">
        <v>5.2000000000020898E-2</v>
      </c>
      <c r="G1603" s="34">
        <v>5.2000000000020898E-2</v>
      </c>
      <c r="H1603" s="35">
        <v>1</v>
      </c>
      <c r="I1603" s="37">
        <f t="shared" si="25"/>
        <v>9.3288803477806591E-5</v>
      </c>
      <c r="J1603" s="33"/>
    </row>
    <row r="1604" spans="1:10">
      <c r="A1604" s="33" t="s">
        <v>97</v>
      </c>
      <c r="B1604" s="34">
        <v>239.56299999999999</v>
      </c>
      <c r="C1604" s="35">
        <v>10719.4</v>
      </c>
      <c r="D1604" s="33" t="s">
        <v>294</v>
      </c>
      <c r="E1604" s="34">
        <v>239.61699999999999</v>
      </c>
      <c r="F1604" s="36">
        <v>5.4000000000002102E-2</v>
      </c>
      <c r="G1604" s="34">
        <v>5.4000000000002102E-2</v>
      </c>
      <c r="H1604" s="35">
        <v>11.1</v>
      </c>
      <c r="I1604" s="37">
        <f t="shared" si="25"/>
        <v>1.0355057186036533E-3</v>
      </c>
      <c r="J1604" s="33"/>
    </row>
    <row r="1605" spans="1:10">
      <c r="A1605" s="33" t="s">
        <v>97</v>
      </c>
      <c r="B1605" s="34">
        <v>239.56299999999999</v>
      </c>
      <c r="C1605" s="35">
        <v>10719.4</v>
      </c>
      <c r="D1605" s="33" t="s">
        <v>274</v>
      </c>
      <c r="E1605" s="34">
        <v>239.62200000000001</v>
      </c>
      <c r="F1605" s="36">
        <v>5.90000000000259E-2</v>
      </c>
      <c r="G1605" s="34">
        <v>5.90000000000259E-2</v>
      </c>
      <c r="H1605" s="35">
        <v>28.1</v>
      </c>
      <c r="I1605" s="37">
        <f t="shared" si="25"/>
        <v>2.6214153777263656E-3</v>
      </c>
      <c r="J1605" s="33"/>
    </row>
    <row r="1606" spans="1:10">
      <c r="A1606" s="33" t="s">
        <v>97</v>
      </c>
      <c r="B1606" s="34">
        <v>239.56299999999999</v>
      </c>
      <c r="C1606" s="35">
        <v>10719.4</v>
      </c>
      <c r="D1606" s="33" t="s">
        <v>193</v>
      </c>
      <c r="E1606" s="34">
        <v>239.62899999999999</v>
      </c>
      <c r="F1606" s="36">
        <v>6.6000000000002501E-2</v>
      </c>
      <c r="G1606" s="34">
        <v>6.6000000000002501E-2</v>
      </c>
      <c r="H1606" s="35">
        <v>3.1</v>
      </c>
      <c r="I1606" s="37">
        <f t="shared" si="25"/>
        <v>2.8919529078120045E-4</v>
      </c>
      <c r="J1606" s="33"/>
    </row>
    <row r="1607" spans="1:10">
      <c r="A1607" s="33" t="s">
        <v>97</v>
      </c>
      <c r="B1607" s="34">
        <v>239.56299999999999</v>
      </c>
      <c r="C1607" s="35">
        <v>10719.4</v>
      </c>
      <c r="D1607" s="33" t="s">
        <v>239</v>
      </c>
      <c r="E1607" s="34">
        <v>239.636</v>
      </c>
      <c r="F1607" s="36">
        <v>7.3000000000007503E-2</v>
      </c>
      <c r="G1607" s="34">
        <v>7.3000000000007503E-2</v>
      </c>
      <c r="H1607" s="35">
        <v>6.2</v>
      </c>
      <c r="I1607" s="37">
        <f t="shared" si="25"/>
        <v>5.7839058156240091E-4</v>
      </c>
      <c r="J1607" s="33"/>
    </row>
    <row r="1608" spans="1:10">
      <c r="A1608" s="33" t="s">
        <v>97</v>
      </c>
      <c r="B1608" s="34">
        <v>239.56299999999999</v>
      </c>
      <c r="C1608" s="35">
        <v>10719.4</v>
      </c>
      <c r="D1608" s="33" t="s">
        <v>165</v>
      </c>
      <c r="E1608" s="34">
        <v>239.63800000000001</v>
      </c>
      <c r="F1608" s="36">
        <v>7.5000000000017095E-2</v>
      </c>
      <c r="G1608" s="34">
        <v>7.5000000000017095E-2</v>
      </c>
      <c r="H1608" s="35">
        <v>1.8</v>
      </c>
      <c r="I1608" s="37">
        <f t="shared" si="25"/>
        <v>1.6791984626005188E-4</v>
      </c>
      <c r="J1608" s="33"/>
    </row>
    <row r="1609" spans="1:10">
      <c r="A1609" s="33" t="s">
        <v>97</v>
      </c>
      <c r="B1609" s="34">
        <v>239.56299999999999</v>
      </c>
      <c r="C1609" s="35">
        <v>10719.4</v>
      </c>
      <c r="D1609" s="33" t="s">
        <v>282</v>
      </c>
      <c r="E1609" s="34">
        <v>239.655</v>
      </c>
      <c r="F1609" s="36">
        <v>9.2000000000013002E-2</v>
      </c>
      <c r="G1609" s="34">
        <v>9.2000000000013002E-2</v>
      </c>
      <c r="H1609" s="35">
        <v>54.5</v>
      </c>
      <c r="I1609" s="37">
        <f t="shared" si="25"/>
        <v>5.0842397895404599E-3</v>
      </c>
      <c r="J1609" s="33"/>
    </row>
    <row r="1610" spans="1:10">
      <c r="A1610" s="33" t="s">
        <v>97</v>
      </c>
      <c r="B1610" s="34">
        <v>239.56299999999999</v>
      </c>
      <c r="C1610" s="35">
        <v>10719.4</v>
      </c>
      <c r="D1610" s="33" t="s">
        <v>165</v>
      </c>
      <c r="E1610" s="34">
        <v>239.66300000000001</v>
      </c>
      <c r="F1610" s="36">
        <v>0.100000000000023</v>
      </c>
      <c r="G1610" s="34">
        <v>0.100000000000023</v>
      </c>
      <c r="H1610" s="35">
        <v>3</v>
      </c>
      <c r="I1610" s="37">
        <f t="shared" si="25"/>
        <v>2.7986641043341982E-4</v>
      </c>
      <c r="J1610" s="33"/>
    </row>
    <row r="1611" spans="1:10">
      <c r="A1611" s="33" t="s">
        <v>97</v>
      </c>
      <c r="B1611" s="34">
        <v>239.56299999999999</v>
      </c>
      <c r="C1611" s="35">
        <v>10719.4</v>
      </c>
      <c r="D1611" s="33" t="s">
        <v>97</v>
      </c>
      <c r="E1611" s="34">
        <v>239.672</v>
      </c>
      <c r="F1611" s="36">
        <v>0.10900000000000901</v>
      </c>
      <c r="G1611" s="34">
        <v>0.10900000000000901</v>
      </c>
      <c r="H1611" s="35">
        <v>11.2</v>
      </c>
      <c r="I1611" s="37">
        <f t="shared" si="25"/>
        <v>1.0448345989514337E-3</v>
      </c>
      <c r="J1611" s="33"/>
    </row>
    <row r="1612" spans="1:10">
      <c r="A1612" s="33" t="s">
        <v>97</v>
      </c>
      <c r="B1612" s="34">
        <v>239.56299999999999</v>
      </c>
      <c r="C1612" s="35">
        <v>10719.4</v>
      </c>
      <c r="D1612" s="33" t="s">
        <v>268</v>
      </c>
      <c r="E1612" s="34">
        <v>239.672</v>
      </c>
      <c r="F1612" s="36">
        <v>0.10900000000000901</v>
      </c>
      <c r="G1612" s="34">
        <v>0.10900000000000901</v>
      </c>
      <c r="H1612" s="35">
        <v>202.1</v>
      </c>
      <c r="I1612" s="37">
        <f t="shared" si="25"/>
        <v>1.8853667182864714E-2</v>
      </c>
      <c r="J1612" s="33"/>
    </row>
    <row r="1613" spans="1:10">
      <c r="A1613" s="33" t="s">
        <v>97</v>
      </c>
      <c r="B1613" s="34">
        <v>239.56299999999999</v>
      </c>
      <c r="C1613" s="35">
        <v>10719.4</v>
      </c>
      <c r="D1613" s="33" t="s">
        <v>284</v>
      </c>
      <c r="E1613" s="34">
        <v>239.678</v>
      </c>
      <c r="F1613" s="36">
        <v>0.115000000000009</v>
      </c>
      <c r="G1613" s="34">
        <v>0.115000000000009</v>
      </c>
      <c r="H1613" s="35">
        <v>0.6</v>
      </c>
      <c r="I1613" s="37">
        <f t="shared" si="25"/>
        <v>5.5973282086683955E-5</v>
      </c>
      <c r="J1613" s="33"/>
    </row>
    <row r="1614" spans="1:10">
      <c r="A1614" s="33" t="s">
        <v>97</v>
      </c>
      <c r="B1614" s="34">
        <v>239.56299999999999</v>
      </c>
      <c r="C1614" s="35">
        <v>10719.4</v>
      </c>
      <c r="D1614" s="33" t="s">
        <v>279</v>
      </c>
      <c r="E1614" s="34">
        <v>239.679</v>
      </c>
      <c r="F1614" s="36">
        <v>0.11600000000001399</v>
      </c>
      <c r="G1614" s="34">
        <v>0.11600000000001399</v>
      </c>
      <c r="H1614" s="35">
        <v>8</v>
      </c>
      <c r="I1614" s="37">
        <f t="shared" si="25"/>
        <v>7.4631042782245273E-4</v>
      </c>
      <c r="J1614" s="33"/>
    </row>
    <row r="1615" spans="1:10">
      <c r="A1615" s="33" t="s">
        <v>97</v>
      </c>
      <c r="B1615" s="34">
        <v>239.56299999999999</v>
      </c>
      <c r="C1615" s="35">
        <v>10719.4</v>
      </c>
      <c r="D1615" s="33" t="s">
        <v>274</v>
      </c>
      <c r="E1615" s="34">
        <v>239.708</v>
      </c>
      <c r="F1615" s="36">
        <v>0.14500000000001001</v>
      </c>
      <c r="G1615" s="34">
        <v>0.14500000000001001</v>
      </c>
      <c r="H1615" s="35">
        <v>1317.2</v>
      </c>
      <c r="I1615" s="37">
        <f t="shared" si="25"/>
        <v>0.12288001194096686</v>
      </c>
      <c r="J1615" s="33"/>
    </row>
    <row r="1616" spans="1:10">
      <c r="A1616" s="33" t="s">
        <v>97</v>
      </c>
      <c r="B1616" s="34">
        <v>239.56299999999999</v>
      </c>
      <c r="C1616" s="35">
        <v>10719.4</v>
      </c>
      <c r="D1616" s="33" t="s">
        <v>279</v>
      </c>
      <c r="E1616" s="34">
        <v>239.73400000000001</v>
      </c>
      <c r="F1616" s="36">
        <v>0.171000000000021</v>
      </c>
      <c r="G1616" s="34">
        <v>0.171000000000021</v>
      </c>
      <c r="H1616" s="35">
        <v>5.67</v>
      </c>
      <c r="I1616" s="37">
        <f t="shared" si="25"/>
        <v>5.2894751571916344E-4</v>
      </c>
      <c r="J1616" s="33"/>
    </row>
    <row r="1617" spans="1:10">
      <c r="A1617" s="33" t="s">
        <v>97</v>
      </c>
      <c r="B1617" s="34">
        <v>240.489</v>
      </c>
      <c r="C1617" s="35">
        <v>10535</v>
      </c>
      <c r="D1617" s="33" t="s">
        <v>279</v>
      </c>
      <c r="E1617" s="34">
        <v>240.303</v>
      </c>
      <c r="F1617" s="36">
        <v>0.18600000000000699</v>
      </c>
      <c r="G1617" s="34">
        <v>0.18600000000000699</v>
      </c>
      <c r="H1617" s="35">
        <v>27.8</v>
      </c>
      <c r="I1617" s="37">
        <f t="shared" si="25"/>
        <v>2.6388229710488848E-3</v>
      </c>
      <c r="J1617" s="33"/>
    </row>
    <row r="1618" spans="1:10">
      <c r="A1618" s="33" t="s">
        <v>97</v>
      </c>
      <c r="B1618" s="34">
        <v>240.489</v>
      </c>
      <c r="C1618" s="35">
        <v>10535</v>
      </c>
      <c r="D1618" s="33" t="s">
        <v>294</v>
      </c>
      <c r="E1618" s="34">
        <v>240.309</v>
      </c>
      <c r="F1618" s="36">
        <v>0.18000000000000699</v>
      </c>
      <c r="G1618" s="34">
        <v>0.18000000000000699</v>
      </c>
      <c r="H1618" s="35">
        <v>59.4</v>
      </c>
      <c r="I1618" s="37">
        <f t="shared" si="25"/>
        <v>5.6383483626008543E-3</v>
      </c>
      <c r="J1618" s="33"/>
    </row>
    <row r="1619" spans="1:10">
      <c r="A1619" s="33" t="s">
        <v>97</v>
      </c>
      <c r="B1619" s="34">
        <v>240.489</v>
      </c>
      <c r="C1619" s="35">
        <v>10535</v>
      </c>
      <c r="D1619" s="33" t="s">
        <v>274</v>
      </c>
      <c r="E1619" s="34">
        <v>240.322</v>
      </c>
      <c r="F1619" s="36">
        <v>0.16700000000000201</v>
      </c>
      <c r="G1619" s="34">
        <v>0.16700000000000201</v>
      </c>
      <c r="H1619" s="35">
        <v>61.7</v>
      </c>
      <c r="I1619" s="37">
        <f t="shared" si="25"/>
        <v>5.8566682486948267E-3</v>
      </c>
      <c r="J1619" s="33"/>
    </row>
    <row r="1620" spans="1:10">
      <c r="A1620" s="33" t="s">
        <v>97</v>
      </c>
      <c r="B1620" s="34">
        <v>240.489</v>
      </c>
      <c r="C1620" s="35">
        <v>10535</v>
      </c>
      <c r="D1620" s="33" t="s">
        <v>275</v>
      </c>
      <c r="E1620" s="34">
        <v>240.34200000000001</v>
      </c>
      <c r="F1620" s="36">
        <v>0.146999999999991</v>
      </c>
      <c r="G1620" s="34">
        <v>0.146999999999991</v>
      </c>
      <c r="H1620" s="35">
        <v>70.3</v>
      </c>
      <c r="I1620" s="37">
        <f t="shared" si="25"/>
        <v>6.6729947793070718E-3</v>
      </c>
      <c r="J1620" s="33"/>
    </row>
    <row r="1621" spans="1:10">
      <c r="A1621" s="33" t="s">
        <v>97</v>
      </c>
      <c r="B1621" s="34">
        <v>240.489</v>
      </c>
      <c r="C1621" s="35">
        <v>10535</v>
      </c>
      <c r="D1621" s="33" t="s">
        <v>284</v>
      </c>
      <c r="E1621" s="34">
        <v>240.35400000000001</v>
      </c>
      <c r="F1621" s="36">
        <v>0.13499999999999099</v>
      </c>
      <c r="G1621" s="34">
        <v>0.13499999999999099</v>
      </c>
      <c r="H1621" s="35">
        <v>0.8</v>
      </c>
      <c r="I1621" s="37">
        <f t="shared" si="25"/>
        <v>7.5937351684860001E-5</v>
      </c>
      <c r="J1621" s="33"/>
    </row>
    <row r="1622" spans="1:10">
      <c r="A1622" s="33" t="s">
        <v>97</v>
      </c>
      <c r="B1622" s="34">
        <v>240.489</v>
      </c>
      <c r="C1622" s="35">
        <v>10535</v>
      </c>
      <c r="D1622" s="33" t="s">
        <v>275</v>
      </c>
      <c r="E1622" s="34">
        <v>240.35900000000001</v>
      </c>
      <c r="F1622" s="36">
        <v>0.12999999999999601</v>
      </c>
      <c r="G1622" s="34">
        <v>0.12999999999999601</v>
      </c>
      <c r="H1622" s="35">
        <v>97.8</v>
      </c>
      <c r="I1622" s="37">
        <f t="shared" si="25"/>
        <v>9.2833412434741337E-3</v>
      </c>
      <c r="J1622" s="33"/>
    </row>
    <row r="1623" spans="1:10">
      <c r="A1623" s="33" t="s">
        <v>97</v>
      </c>
      <c r="B1623" s="34">
        <v>240.489</v>
      </c>
      <c r="C1623" s="35">
        <v>10535</v>
      </c>
      <c r="D1623" s="33" t="s">
        <v>269</v>
      </c>
      <c r="E1623" s="34">
        <v>240.36099999999999</v>
      </c>
      <c r="F1623" s="36">
        <v>0.12800000000001399</v>
      </c>
      <c r="G1623" s="34">
        <v>0.12800000000001399</v>
      </c>
      <c r="H1623" s="35">
        <v>447</v>
      </c>
      <c r="I1623" s="37">
        <f t="shared" si="25"/>
        <v>4.2429995253915519E-2</v>
      </c>
      <c r="J1623" s="33"/>
    </row>
    <row r="1624" spans="1:10">
      <c r="A1624" s="33" t="s">
        <v>97</v>
      </c>
      <c r="B1624" s="34">
        <v>240.489</v>
      </c>
      <c r="C1624" s="35">
        <v>10535</v>
      </c>
      <c r="D1624" s="33" t="s">
        <v>193</v>
      </c>
      <c r="E1624" s="34">
        <v>240.36699999999999</v>
      </c>
      <c r="F1624" s="36">
        <v>0.122000000000014</v>
      </c>
      <c r="G1624" s="34">
        <v>0.122000000000014</v>
      </c>
      <c r="H1624" s="35">
        <v>165.3</v>
      </c>
      <c r="I1624" s="37">
        <f t="shared" si="25"/>
        <v>1.5690555291884196E-2</v>
      </c>
      <c r="J1624" s="33"/>
    </row>
    <row r="1625" spans="1:10">
      <c r="A1625" s="33" t="s">
        <v>97</v>
      </c>
      <c r="B1625" s="34">
        <v>240.489</v>
      </c>
      <c r="C1625" s="35">
        <v>10535</v>
      </c>
      <c r="D1625" s="33" t="s">
        <v>54</v>
      </c>
      <c r="E1625" s="34">
        <v>240.38</v>
      </c>
      <c r="F1625" s="36">
        <v>0.10900000000000901</v>
      </c>
      <c r="G1625" s="34">
        <v>0.10900000000000901</v>
      </c>
      <c r="H1625" s="35">
        <v>27</v>
      </c>
      <c r="I1625" s="37">
        <f t="shared" si="25"/>
        <v>2.5628856193640245E-3</v>
      </c>
      <c r="J1625" s="33"/>
    </row>
    <row r="1626" spans="1:10">
      <c r="A1626" s="33" t="s">
        <v>97</v>
      </c>
      <c r="B1626" s="34">
        <v>240.489</v>
      </c>
      <c r="C1626" s="35">
        <v>10535</v>
      </c>
      <c r="D1626" s="33" t="s">
        <v>284</v>
      </c>
      <c r="E1626" s="34">
        <v>240.386</v>
      </c>
      <c r="F1626" s="36">
        <v>0.103000000000009</v>
      </c>
      <c r="G1626" s="34">
        <v>0.103000000000009</v>
      </c>
      <c r="H1626" s="35">
        <v>25</v>
      </c>
      <c r="I1626" s="37">
        <f t="shared" si="25"/>
        <v>2.3730422401518746E-3</v>
      </c>
      <c r="J1626" s="33"/>
    </row>
    <row r="1627" spans="1:10">
      <c r="A1627" s="33" t="s">
        <v>97</v>
      </c>
      <c r="B1627" s="34">
        <v>240.489</v>
      </c>
      <c r="C1627" s="35">
        <v>10535</v>
      </c>
      <c r="D1627" s="33" t="s">
        <v>54</v>
      </c>
      <c r="E1627" s="34">
        <v>240.417</v>
      </c>
      <c r="F1627" s="36">
        <v>7.2000000000002701E-2</v>
      </c>
      <c r="G1627" s="34">
        <v>7.2000000000002701E-2</v>
      </c>
      <c r="H1627" s="35">
        <v>1631.5</v>
      </c>
      <c r="I1627" s="37">
        <f t="shared" si="25"/>
        <v>0.15486473659231134</v>
      </c>
      <c r="J1627" s="33"/>
    </row>
    <row r="1628" spans="1:10">
      <c r="A1628" s="33" t="s">
        <v>97</v>
      </c>
      <c r="B1628" s="34">
        <v>240.489</v>
      </c>
      <c r="C1628" s="35">
        <v>10535</v>
      </c>
      <c r="D1628" s="33" t="s">
        <v>271</v>
      </c>
      <c r="E1628" s="34">
        <v>240.417</v>
      </c>
      <c r="F1628" s="36">
        <v>7.2000000000002701E-2</v>
      </c>
      <c r="G1628" s="34">
        <v>7.2000000000002701E-2</v>
      </c>
      <c r="H1628" s="35">
        <v>237.4</v>
      </c>
      <c r="I1628" s="37">
        <f t="shared" si="25"/>
        <v>2.2534409112482202E-2</v>
      </c>
      <c r="J1628" s="33"/>
    </row>
    <row r="1629" spans="1:10">
      <c r="A1629" s="33" t="s">
        <v>97</v>
      </c>
      <c r="B1629" s="34">
        <v>240.489</v>
      </c>
      <c r="C1629" s="35">
        <v>10535</v>
      </c>
      <c r="D1629" s="33" t="s">
        <v>274</v>
      </c>
      <c r="E1629" s="34">
        <v>240.42099999999999</v>
      </c>
      <c r="F1629" s="36">
        <v>6.8000000000012106E-2</v>
      </c>
      <c r="G1629" s="34">
        <v>6.8000000000012106E-2</v>
      </c>
      <c r="H1629" s="35">
        <v>18.899999999999999</v>
      </c>
      <c r="I1629" s="37">
        <f t="shared" si="25"/>
        <v>1.7940199335548172E-3</v>
      </c>
      <c r="J1629" s="33"/>
    </row>
    <row r="1630" spans="1:10">
      <c r="A1630" s="33" t="s">
        <v>97</v>
      </c>
      <c r="B1630" s="34">
        <v>240.489</v>
      </c>
      <c r="C1630" s="35">
        <v>10535</v>
      </c>
      <c r="D1630" s="33" t="s">
        <v>97</v>
      </c>
      <c r="E1630" s="34">
        <v>240.44300000000001</v>
      </c>
      <c r="F1630" s="36">
        <v>4.5999999999992297E-2</v>
      </c>
      <c r="G1630" s="34">
        <v>4.5999999999992297E-2</v>
      </c>
      <c r="H1630" s="35">
        <v>710.5</v>
      </c>
      <c r="I1630" s="37">
        <f t="shared" si="25"/>
        <v>6.7441860465116285E-2</v>
      </c>
      <c r="J1630" s="33"/>
    </row>
    <row r="1631" spans="1:10">
      <c r="A1631" s="33" t="s">
        <v>97</v>
      </c>
      <c r="B1631" s="34">
        <v>240.489</v>
      </c>
      <c r="C1631" s="35">
        <v>10535</v>
      </c>
      <c r="D1631" s="33" t="s">
        <v>193</v>
      </c>
      <c r="E1631" s="34">
        <v>240.44800000000001</v>
      </c>
      <c r="F1631" s="36">
        <v>4.0999999999996803E-2</v>
      </c>
      <c r="G1631" s="34">
        <v>4.0999999999996803E-2</v>
      </c>
      <c r="H1631" s="35">
        <v>51.4</v>
      </c>
      <c r="I1631" s="37">
        <f t="shared" si="25"/>
        <v>4.8789748457522542E-3</v>
      </c>
      <c r="J1631" s="33"/>
    </row>
    <row r="1632" spans="1:10">
      <c r="A1632" s="33" t="s">
        <v>97</v>
      </c>
      <c r="B1632" s="34">
        <v>240.489</v>
      </c>
      <c r="C1632" s="35">
        <v>10535</v>
      </c>
      <c r="D1632" s="33" t="s">
        <v>271</v>
      </c>
      <c r="E1632" s="34">
        <v>240.45</v>
      </c>
      <c r="F1632" s="36">
        <v>3.9000000000015703E-2</v>
      </c>
      <c r="G1632" s="34">
        <v>3.9000000000015703E-2</v>
      </c>
      <c r="H1632" s="35">
        <v>201.7</v>
      </c>
      <c r="I1632" s="37">
        <f t="shared" si="25"/>
        <v>1.9145704793545323E-2</v>
      </c>
      <c r="J1632" s="33"/>
    </row>
    <row r="1633" spans="1:10">
      <c r="A1633" s="33" t="s">
        <v>97</v>
      </c>
      <c r="B1633" s="34">
        <v>240.489</v>
      </c>
      <c r="C1633" s="35">
        <v>10535</v>
      </c>
      <c r="D1633" s="33" t="s">
        <v>54</v>
      </c>
      <c r="E1633" s="34">
        <v>240.452</v>
      </c>
      <c r="F1633" s="36">
        <v>3.7000000000006097E-2</v>
      </c>
      <c r="G1633" s="34">
        <v>3.7000000000006097E-2</v>
      </c>
      <c r="H1633" s="35">
        <v>143.80000000000001</v>
      </c>
      <c r="I1633" s="37">
        <f t="shared" si="25"/>
        <v>1.3649738965353585E-2</v>
      </c>
      <c r="J1633" s="33"/>
    </row>
    <row r="1634" spans="1:10">
      <c r="A1634" s="33" t="s">
        <v>97</v>
      </c>
      <c r="B1634" s="34">
        <v>240.489</v>
      </c>
      <c r="C1634" s="35">
        <v>10535</v>
      </c>
      <c r="D1634" s="33" t="s">
        <v>269</v>
      </c>
      <c r="E1634" s="34">
        <v>240.45699999999999</v>
      </c>
      <c r="F1634" s="36">
        <v>3.20000000000107E-2</v>
      </c>
      <c r="G1634" s="34">
        <v>3.20000000000107E-2</v>
      </c>
      <c r="H1634" s="35">
        <v>205.4</v>
      </c>
      <c r="I1634" s="37">
        <f t="shared" si="25"/>
        <v>1.9496915045087802E-2</v>
      </c>
      <c r="J1634" s="33"/>
    </row>
    <row r="1635" spans="1:10">
      <c r="A1635" s="33" t="s">
        <v>97</v>
      </c>
      <c r="B1635" s="34">
        <v>240.489</v>
      </c>
      <c r="C1635" s="35">
        <v>10535</v>
      </c>
      <c r="D1635" s="33" t="s">
        <v>275</v>
      </c>
      <c r="E1635" s="34">
        <v>240.46700000000001</v>
      </c>
      <c r="F1635" s="36">
        <v>2.1999999999991401E-2</v>
      </c>
      <c r="G1635" s="34">
        <v>2.1999999999991401E-2</v>
      </c>
      <c r="H1635" s="35">
        <v>93.3</v>
      </c>
      <c r="I1635" s="37">
        <f t="shared" si="25"/>
        <v>8.8561936402467966E-3</v>
      </c>
      <c r="J1635" s="33"/>
    </row>
    <row r="1636" spans="1:10">
      <c r="A1636" s="33" t="s">
        <v>97</v>
      </c>
      <c r="B1636" s="34">
        <v>240.489</v>
      </c>
      <c r="C1636" s="35">
        <v>10535</v>
      </c>
      <c r="D1636" s="33" t="s">
        <v>193</v>
      </c>
      <c r="E1636" s="34">
        <v>240.48</v>
      </c>
      <c r="F1636" s="36">
        <v>9.0000000000145502E-3</v>
      </c>
      <c r="G1636" s="34">
        <v>9.0000000000145502E-3</v>
      </c>
      <c r="H1636" s="35">
        <v>16.899999999999999</v>
      </c>
      <c r="I1636" s="37">
        <f t="shared" si="25"/>
        <v>1.6041765543426672E-3</v>
      </c>
      <c r="J1636" s="33"/>
    </row>
    <row r="1637" spans="1:10">
      <c r="A1637" s="33" t="s">
        <v>97</v>
      </c>
      <c r="B1637" s="34">
        <v>240.489</v>
      </c>
      <c r="C1637" s="35">
        <v>10535</v>
      </c>
      <c r="D1637" s="33" t="s">
        <v>279</v>
      </c>
      <c r="E1637" s="34">
        <v>240.506</v>
      </c>
      <c r="F1637" s="36">
        <v>1.69999999999959E-2</v>
      </c>
      <c r="G1637" s="34">
        <v>1.69999999999959E-2</v>
      </c>
      <c r="H1637" s="35">
        <v>84.6</v>
      </c>
      <c r="I1637" s="37">
        <f t="shared" si="25"/>
        <v>8.0303749406739431E-3</v>
      </c>
      <c r="J1637" s="33"/>
    </row>
    <row r="1638" spans="1:10">
      <c r="A1638" s="33" t="s">
        <v>97</v>
      </c>
      <c r="B1638" s="34">
        <v>240.489</v>
      </c>
      <c r="C1638" s="35">
        <v>10535</v>
      </c>
      <c r="D1638" s="33" t="s">
        <v>284</v>
      </c>
      <c r="E1638" s="34">
        <v>240.50800000000001</v>
      </c>
      <c r="F1638" s="36">
        <v>1.9000000000005499E-2</v>
      </c>
      <c r="G1638" s="34">
        <v>1.9000000000005499E-2</v>
      </c>
      <c r="H1638" s="35">
        <v>19.399999999999999</v>
      </c>
      <c r="I1638" s="37">
        <f t="shared" si="25"/>
        <v>1.8414807783578547E-3</v>
      </c>
      <c r="J1638" s="33"/>
    </row>
    <row r="1639" spans="1:10">
      <c r="A1639" s="33" t="s">
        <v>97</v>
      </c>
      <c r="B1639" s="34">
        <v>240.489</v>
      </c>
      <c r="C1639" s="35">
        <v>10535</v>
      </c>
      <c r="D1639" s="33" t="s">
        <v>165</v>
      </c>
      <c r="E1639" s="34">
        <v>240.517</v>
      </c>
      <c r="F1639" s="36">
        <v>2.7999999999991601E-2</v>
      </c>
      <c r="G1639" s="34">
        <v>2.7999999999991601E-2</v>
      </c>
      <c r="H1639" s="35">
        <v>25.7</v>
      </c>
      <c r="I1639" s="37">
        <f t="shared" si="25"/>
        <v>2.4394874228761271E-3</v>
      </c>
      <c r="J1639" s="33"/>
    </row>
    <row r="1640" spans="1:10">
      <c r="A1640" s="33" t="s">
        <v>97</v>
      </c>
      <c r="B1640" s="34">
        <v>240.489</v>
      </c>
      <c r="C1640" s="35">
        <v>10535</v>
      </c>
      <c r="D1640" s="33" t="s">
        <v>25</v>
      </c>
      <c r="E1640" s="34">
        <v>240.52</v>
      </c>
      <c r="F1640" s="36">
        <v>3.1000000000005901E-2</v>
      </c>
      <c r="G1640" s="34">
        <v>3.1000000000005901E-2</v>
      </c>
      <c r="H1640" s="35">
        <v>5.2</v>
      </c>
      <c r="I1640" s="37">
        <f t="shared" si="25"/>
        <v>4.9359278595159E-4</v>
      </c>
      <c r="J1640" s="33" t="s">
        <v>116</v>
      </c>
    </row>
    <row r="1641" spans="1:10">
      <c r="A1641" s="33" t="s">
        <v>97</v>
      </c>
      <c r="B1641" s="34">
        <v>240.489</v>
      </c>
      <c r="C1641" s="35">
        <v>10535</v>
      </c>
      <c r="D1641" s="33" t="s">
        <v>282</v>
      </c>
      <c r="E1641" s="34">
        <v>240.52099999999999</v>
      </c>
      <c r="F1641" s="36">
        <v>3.19999999999823E-2</v>
      </c>
      <c r="G1641" s="34">
        <v>3.19999999999823E-2</v>
      </c>
      <c r="H1641" s="35">
        <v>419</v>
      </c>
      <c r="I1641" s="37">
        <f t="shared" si="25"/>
        <v>3.9772187944945421E-2</v>
      </c>
      <c r="J1641" s="33"/>
    </row>
    <row r="1642" spans="1:10">
      <c r="A1642" s="33" t="s">
        <v>97</v>
      </c>
      <c r="B1642" s="34">
        <v>240.489</v>
      </c>
      <c r="C1642" s="35">
        <v>10535</v>
      </c>
      <c r="D1642" s="33" t="s">
        <v>274</v>
      </c>
      <c r="E1642" s="34">
        <v>240.52500000000001</v>
      </c>
      <c r="F1642" s="36">
        <v>3.6000000000001399E-2</v>
      </c>
      <c r="G1642" s="34">
        <v>3.6000000000001399E-2</v>
      </c>
      <c r="H1642" s="35">
        <v>64.2</v>
      </c>
      <c r="I1642" s="37">
        <f t="shared" si="25"/>
        <v>6.0939724727100148E-3</v>
      </c>
      <c r="J1642" s="33"/>
    </row>
    <row r="1643" spans="1:10">
      <c r="A1643" s="33" t="s">
        <v>97</v>
      </c>
      <c r="B1643" s="34">
        <v>240.489</v>
      </c>
      <c r="C1643" s="35">
        <v>10535</v>
      </c>
      <c r="D1643" s="33" t="s">
        <v>273</v>
      </c>
      <c r="E1643" s="34">
        <v>240.53399999999999</v>
      </c>
      <c r="F1643" s="36">
        <v>4.4999999999987501E-2</v>
      </c>
      <c r="G1643" s="34">
        <v>4.4999999999987501E-2</v>
      </c>
      <c r="H1643" s="35">
        <v>143.30000000000001</v>
      </c>
      <c r="I1643" s="37">
        <f t="shared" si="25"/>
        <v>1.3602278120550548E-2</v>
      </c>
      <c r="J1643" s="33"/>
    </row>
    <row r="1644" spans="1:10">
      <c r="A1644" s="33" t="s">
        <v>97</v>
      </c>
      <c r="B1644" s="34">
        <v>240.489</v>
      </c>
      <c r="C1644" s="35">
        <v>10535</v>
      </c>
      <c r="D1644" s="33" t="s">
        <v>269</v>
      </c>
      <c r="E1644" s="34">
        <v>240.54300000000001</v>
      </c>
      <c r="F1644" s="36">
        <v>5.4000000000002102E-2</v>
      </c>
      <c r="G1644" s="34">
        <v>5.4000000000002102E-2</v>
      </c>
      <c r="H1644" s="35">
        <v>3661.1</v>
      </c>
      <c r="I1644" s="37">
        <f t="shared" si="25"/>
        <v>0.34751779781680114</v>
      </c>
      <c r="J1644" s="33"/>
    </row>
    <row r="1645" spans="1:10">
      <c r="A1645" s="33" t="s">
        <v>97</v>
      </c>
      <c r="B1645" s="34">
        <v>240.489</v>
      </c>
      <c r="C1645" s="35">
        <v>10535</v>
      </c>
      <c r="D1645" s="33" t="s">
        <v>284</v>
      </c>
      <c r="E1645" s="34">
        <v>240.54499999999999</v>
      </c>
      <c r="F1645" s="36">
        <v>5.5999999999983202E-2</v>
      </c>
      <c r="G1645" s="34">
        <v>5.5999999999983202E-2</v>
      </c>
      <c r="H1645" s="35">
        <v>1.6</v>
      </c>
      <c r="I1645" s="37">
        <f t="shared" si="25"/>
        <v>1.5187470336972E-4</v>
      </c>
      <c r="J1645" s="33"/>
    </row>
    <row r="1646" spans="1:10">
      <c r="A1646" s="33" t="s">
        <v>97</v>
      </c>
      <c r="B1646" s="34">
        <v>240.489</v>
      </c>
      <c r="C1646" s="35">
        <v>10535</v>
      </c>
      <c r="D1646" s="33" t="s">
        <v>236</v>
      </c>
      <c r="E1646" s="34">
        <v>240.55199999999999</v>
      </c>
      <c r="F1646" s="36">
        <v>6.2999999999988204E-2</v>
      </c>
      <c r="G1646" s="34">
        <v>6.2999999999988204E-2</v>
      </c>
      <c r="H1646" s="35">
        <v>5.6</v>
      </c>
      <c r="I1646" s="37">
        <f t="shared" si="25"/>
        <v>5.3156146179401985E-4</v>
      </c>
      <c r="J1646" s="33"/>
    </row>
    <row r="1647" spans="1:10">
      <c r="A1647" s="33" t="s">
        <v>97</v>
      </c>
      <c r="B1647" s="34">
        <v>240.489</v>
      </c>
      <c r="C1647" s="35">
        <v>10535</v>
      </c>
      <c r="D1647" s="33" t="s">
        <v>274</v>
      </c>
      <c r="E1647" s="34">
        <v>240.55799999999999</v>
      </c>
      <c r="F1647" s="36">
        <v>6.8999999999988404E-2</v>
      </c>
      <c r="G1647" s="34">
        <v>6.8999999999988404E-2</v>
      </c>
      <c r="H1647" s="35">
        <v>147.80000000000001</v>
      </c>
      <c r="I1647" s="37">
        <f t="shared" si="25"/>
        <v>1.4029425723777885E-2</v>
      </c>
      <c r="J1647" s="33"/>
    </row>
    <row r="1648" spans="1:10">
      <c r="A1648" s="33" t="s">
        <v>97</v>
      </c>
      <c r="B1648" s="34">
        <v>240.489</v>
      </c>
      <c r="C1648" s="35">
        <v>10535</v>
      </c>
      <c r="D1648" s="33" t="s">
        <v>279</v>
      </c>
      <c r="E1648" s="34">
        <v>240.56</v>
      </c>
      <c r="F1648" s="36">
        <v>7.0999999999997995E-2</v>
      </c>
      <c r="G1648" s="34">
        <v>7.0999999999997995E-2</v>
      </c>
      <c r="H1648" s="35">
        <v>46.8</v>
      </c>
      <c r="I1648" s="37">
        <f t="shared" si="25"/>
        <v>4.4423350735643095E-3</v>
      </c>
      <c r="J1648" s="33"/>
    </row>
    <row r="1649" spans="1:10">
      <c r="A1649" s="33" t="s">
        <v>97</v>
      </c>
      <c r="B1649" s="34">
        <v>240.489</v>
      </c>
      <c r="C1649" s="35">
        <v>10535</v>
      </c>
      <c r="D1649" s="33" t="s">
        <v>273</v>
      </c>
      <c r="E1649" s="34">
        <v>240.58500000000001</v>
      </c>
      <c r="F1649" s="36">
        <v>9.6000000000003596E-2</v>
      </c>
      <c r="G1649" s="34">
        <v>9.6000000000003596E-2</v>
      </c>
      <c r="H1649" s="35">
        <v>182.2</v>
      </c>
      <c r="I1649" s="37">
        <f t="shared" si="25"/>
        <v>1.729473184622686E-2</v>
      </c>
      <c r="J1649" s="33"/>
    </row>
    <row r="1650" spans="1:10">
      <c r="A1650" s="33" t="s">
        <v>97</v>
      </c>
      <c r="B1650" s="34">
        <v>240.489</v>
      </c>
      <c r="C1650" s="35">
        <v>10535</v>
      </c>
      <c r="D1650" s="33" t="s">
        <v>275</v>
      </c>
      <c r="E1650" s="34">
        <v>240.58600000000001</v>
      </c>
      <c r="F1650" s="36">
        <v>9.7000000000008399E-2</v>
      </c>
      <c r="G1650" s="34">
        <v>9.7000000000008399E-2</v>
      </c>
      <c r="H1650" s="35">
        <v>9.6999999999999993</v>
      </c>
      <c r="I1650" s="37">
        <f t="shared" si="25"/>
        <v>9.2074038917892734E-4</v>
      </c>
      <c r="J1650" s="33"/>
    </row>
    <row r="1651" spans="1:10">
      <c r="A1651" s="33" t="s">
        <v>97</v>
      </c>
      <c r="B1651" s="34">
        <v>240.489</v>
      </c>
      <c r="C1651" s="35">
        <v>10535</v>
      </c>
      <c r="D1651" s="33" t="s">
        <v>284</v>
      </c>
      <c r="E1651" s="34">
        <v>240.59700000000001</v>
      </c>
      <c r="F1651" s="36">
        <v>0.108000000000004</v>
      </c>
      <c r="G1651" s="34">
        <v>0.108000000000004</v>
      </c>
      <c r="H1651" s="35">
        <v>0.8</v>
      </c>
      <c r="I1651" s="37">
        <f t="shared" si="25"/>
        <v>7.5937351684860001E-5</v>
      </c>
      <c r="J1651" s="33"/>
    </row>
    <row r="1652" spans="1:10">
      <c r="A1652" s="33" t="s">
        <v>97</v>
      </c>
      <c r="B1652" s="34">
        <v>240.489</v>
      </c>
      <c r="C1652" s="35">
        <v>10535</v>
      </c>
      <c r="D1652" s="33" t="s">
        <v>237</v>
      </c>
      <c r="E1652" s="34">
        <v>240.608</v>
      </c>
      <c r="F1652" s="36">
        <v>0.11899999999999999</v>
      </c>
      <c r="G1652" s="34">
        <v>0.11899999999999999</v>
      </c>
      <c r="H1652" s="35">
        <v>25</v>
      </c>
      <c r="I1652" s="37">
        <f t="shared" si="25"/>
        <v>2.3730422401518746E-3</v>
      </c>
      <c r="J1652" s="33"/>
    </row>
    <row r="1653" spans="1:10">
      <c r="A1653" s="33" t="s">
        <v>97</v>
      </c>
      <c r="B1653" s="34">
        <v>240.489</v>
      </c>
      <c r="C1653" s="35">
        <v>10535</v>
      </c>
      <c r="D1653" s="33" t="s">
        <v>54</v>
      </c>
      <c r="E1653" s="34">
        <v>240.62700000000001</v>
      </c>
      <c r="F1653" s="36">
        <v>0.13800000000000501</v>
      </c>
      <c r="G1653" s="34">
        <v>0.13800000000000501</v>
      </c>
      <c r="H1653" s="35">
        <v>13.6</v>
      </c>
      <c r="I1653" s="37">
        <f t="shared" si="25"/>
        <v>1.2909349786426197E-3</v>
      </c>
      <c r="J1653" s="33"/>
    </row>
    <row r="1654" spans="1:10">
      <c r="A1654" s="33" t="s">
        <v>97</v>
      </c>
      <c r="B1654" s="34">
        <v>240.489</v>
      </c>
      <c r="C1654" s="35">
        <v>10535</v>
      </c>
      <c r="D1654" s="33" t="s">
        <v>269</v>
      </c>
      <c r="E1654" s="34">
        <v>240.64500000000001</v>
      </c>
      <c r="F1654" s="36">
        <v>0.15600000000000599</v>
      </c>
      <c r="G1654" s="34">
        <v>0.15600000000000599</v>
      </c>
      <c r="H1654" s="35">
        <v>666.2</v>
      </c>
      <c r="I1654" s="37">
        <f t="shared" si="25"/>
        <v>6.3236829615567161E-2</v>
      </c>
      <c r="J1654" s="33"/>
    </row>
    <row r="1655" spans="1:10">
      <c r="A1655" s="33" t="s">
        <v>97</v>
      </c>
      <c r="B1655" s="34">
        <v>240.489</v>
      </c>
      <c r="C1655" s="35">
        <v>10535</v>
      </c>
      <c r="D1655" s="33" t="s">
        <v>193</v>
      </c>
      <c r="E1655" s="34">
        <v>240.655</v>
      </c>
      <c r="F1655" s="36">
        <v>0.16599999999999701</v>
      </c>
      <c r="G1655" s="34">
        <v>0.16599999999999701</v>
      </c>
      <c r="H1655" s="35">
        <v>14.4</v>
      </c>
      <c r="I1655" s="37">
        <f t="shared" si="25"/>
        <v>1.3668723303274799E-3</v>
      </c>
      <c r="J1655" s="33"/>
    </row>
    <row r="1656" spans="1:10">
      <c r="A1656" s="33" t="s">
        <v>97</v>
      </c>
      <c r="B1656" s="34">
        <v>240.489</v>
      </c>
      <c r="C1656" s="35">
        <v>10535</v>
      </c>
      <c r="D1656" s="33" t="s">
        <v>97</v>
      </c>
      <c r="E1656" s="34">
        <v>240.666</v>
      </c>
      <c r="F1656" s="36">
        <v>0.176999999999993</v>
      </c>
      <c r="G1656" s="34">
        <v>0.176999999999993</v>
      </c>
      <c r="H1656" s="35">
        <v>4667.07</v>
      </c>
      <c r="I1656" s="37">
        <f t="shared" si="25"/>
        <v>0.44300616990982439</v>
      </c>
      <c r="J1656" s="33"/>
    </row>
    <row r="1657" spans="1:10">
      <c r="A1657" s="33" t="s">
        <v>97</v>
      </c>
      <c r="B1657" s="34">
        <v>258.58800000000002</v>
      </c>
      <c r="C1657" s="35">
        <v>20375</v>
      </c>
      <c r="D1657" s="33" t="s">
        <v>240</v>
      </c>
      <c r="E1657" s="34">
        <v>258.43099999999998</v>
      </c>
      <c r="F1657" s="36">
        <v>0.157000000000039</v>
      </c>
      <c r="G1657" s="34">
        <v>0.157000000000039</v>
      </c>
      <c r="H1657" s="35">
        <v>708.4</v>
      </c>
      <c r="I1657" s="37">
        <f t="shared" si="25"/>
        <v>3.4768098159509202E-2</v>
      </c>
      <c r="J1657" s="33"/>
    </row>
    <row r="1658" spans="1:10">
      <c r="A1658" s="33" t="s">
        <v>97</v>
      </c>
      <c r="B1658" s="34">
        <v>258.58800000000002</v>
      </c>
      <c r="C1658" s="35">
        <v>20375</v>
      </c>
      <c r="D1658" s="33" t="s">
        <v>274</v>
      </c>
      <c r="E1658" s="34">
        <v>258.43900000000002</v>
      </c>
      <c r="F1658" s="36">
        <v>0.14900000000000099</v>
      </c>
      <c r="G1658" s="34">
        <v>0.14900000000000099</v>
      </c>
      <c r="H1658" s="35">
        <v>103.3</v>
      </c>
      <c r="I1658" s="37">
        <f t="shared" si="25"/>
        <v>5.0699386503067481E-3</v>
      </c>
      <c r="J1658" s="33"/>
    </row>
    <row r="1659" spans="1:10">
      <c r="A1659" s="33" t="s">
        <v>97</v>
      </c>
      <c r="B1659" s="34">
        <v>258.58800000000002</v>
      </c>
      <c r="C1659" s="35">
        <v>20375</v>
      </c>
      <c r="D1659" s="33" t="s">
        <v>277</v>
      </c>
      <c r="E1659" s="34">
        <v>258.44200000000001</v>
      </c>
      <c r="F1659" s="36">
        <v>0.14600000000001501</v>
      </c>
      <c r="G1659" s="34">
        <v>0.14600000000001501</v>
      </c>
      <c r="H1659" s="35">
        <v>223.6</v>
      </c>
      <c r="I1659" s="37">
        <f t="shared" si="25"/>
        <v>1.0974233128834356E-2</v>
      </c>
      <c r="J1659" s="33"/>
    </row>
    <row r="1660" spans="1:10">
      <c r="A1660" s="33" t="s">
        <v>97</v>
      </c>
      <c r="B1660" s="34">
        <v>258.58800000000002</v>
      </c>
      <c r="C1660" s="35">
        <v>20375</v>
      </c>
      <c r="D1660" s="33" t="s">
        <v>193</v>
      </c>
      <c r="E1660" s="34">
        <v>258.44900000000001</v>
      </c>
      <c r="F1660" s="36">
        <v>0.13900000000001</v>
      </c>
      <c r="G1660" s="34">
        <v>0.13900000000001</v>
      </c>
      <c r="H1660" s="35">
        <v>708.1</v>
      </c>
      <c r="I1660" s="37">
        <f t="shared" si="25"/>
        <v>3.4753374233128832E-2</v>
      </c>
      <c r="J1660" s="33"/>
    </row>
    <row r="1661" spans="1:10">
      <c r="A1661" s="33" t="s">
        <v>97</v>
      </c>
      <c r="B1661" s="34">
        <v>258.58800000000002</v>
      </c>
      <c r="C1661" s="35">
        <v>20375</v>
      </c>
      <c r="D1661" s="33" t="s">
        <v>240</v>
      </c>
      <c r="E1661" s="34">
        <v>258.45100000000002</v>
      </c>
      <c r="F1661" s="36">
        <v>0.13700000000000101</v>
      </c>
      <c r="G1661" s="34">
        <v>0.13700000000000101</v>
      </c>
      <c r="H1661" s="35">
        <v>34.1</v>
      </c>
      <c r="I1661" s="37">
        <f t="shared" si="25"/>
        <v>1.6736196319018406E-3</v>
      </c>
      <c r="J1661" s="33"/>
    </row>
    <row r="1662" spans="1:10">
      <c r="A1662" s="33" t="s">
        <v>97</v>
      </c>
      <c r="B1662" s="34">
        <v>258.58800000000002</v>
      </c>
      <c r="C1662" s="35">
        <v>20375</v>
      </c>
      <c r="D1662" s="33" t="s">
        <v>97</v>
      </c>
      <c r="E1662" s="34">
        <v>258.45400000000001</v>
      </c>
      <c r="F1662" s="36">
        <v>0.134000000000015</v>
      </c>
      <c r="G1662" s="34">
        <v>0.134000000000015</v>
      </c>
      <c r="H1662" s="35">
        <v>249.8</v>
      </c>
      <c r="I1662" s="37">
        <f t="shared" si="25"/>
        <v>1.2260122699386504E-2</v>
      </c>
      <c r="J1662" s="33"/>
    </row>
    <row r="1663" spans="1:10">
      <c r="A1663" s="33" t="s">
        <v>97</v>
      </c>
      <c r="B1663" s="34">
        <v>258.58800000000002</v>
      </c>
      <c r="C1663" s="35">
        <v>20375</v>
      </c>
      <c r="D1663" s="33" t="s">
        <v>201</v>
      </c>
      <c r="E1663" s="34">
        <v>258.46100000000001</v>
      </c>
      <c r="F1663" s="36">
        <v>0.12700000000000999</v>
      </c>
      <c r="G1663" s="34">
        <v>0.12700000000000999</v>
      </c>
      <c r="H1663" s="35">
        <v>463.8</v>
      </c>
      <c r="I1663" s="37">
        <f t="shared" si="25"/>
        <v>2.2763190184049081E-2</v>
      </c>
      <c r="J1663" s="33"/>
    </row>
    <row r="1664" spans="1:10">
      <c r="A1664" s="33" t="s">
        <v>97</v>
      </c>
      <c r="B1664" s="34">
        <v>258.58800000000002</v>
      </c>
      <c r="C1664" s="35">
        <v>20375</v>
      </c>
      <c r="D1664" s="33" t="s">
        <v>239</v>
      </c>
      <c r="E1664" s="34">
        <v>258.46600000000001</v>
      </c>
      <c r="F1664" s="36">
        <v>0.122000000000014</v>
      </c>
      <c r="G1664" s="34">
        <v>0.122000000000014</v>
      </c>
      <c r="H1664" s="35">
        <v>11</v>
      </c>
      <c r="I1664" s="37">
        <f t="shared" si="25"/>
        <v>5.398773006134969E-4</v>
      </c>
      <c r="J1664" s="33"/>
    </row>
    <row r="1665" spans="1:10">
      <c r="A1665" s="33" t="s">
        <v>97</v>
      </c>
      <c r="B1665" s="34">
        <v>258.58800000000002</v>
      </c>
      <c r="C1665" s="35">
        <v>20375</v>
      </c>
      <c r="D1665" s="33" t="s">
        <v>193</v>
      </c>
      <c r="E1665" s="34">
        <v>258.46899999999999</v>
      </c>
      <c r="F1665" s="36">
        <v>0.119000000000028</v>
      </c>
      <c r="G1665" s="34">
        <v>0.119000000000028</v>
      </c>
      <c r="H1665" s="35">
        <v>51.4</v>
      </c>
      <c r="I1665" s="37">
        <f t="shared" si="25"/>
        <v>2.5226993865030676E-3</v>
      </c>
      <c r="J1665" s="33"/>
    </row>
    <row r="1666" spans="1:10">
      <c r="A1666" s="33" t="s">
        <v>97</v>
      </c>
      <c r="B1666" s="34">
        <v>258.58800000000002</v>
      </c>
      <c r="C1666" s="35">
        <v>20375</v>
      </c>
      <c r="D1666" s="33" t="s">
        <v>279</v>
      </c>
      <c r="E1666" s="34">
        <v>258.47699999999998</v>
      </c>
      <c r="F1666" s="36">
        <v>0.11100000000004701</v>
      </c>
      <c r="G1666" s="34">
        <v>0.11100000000004701</v>
      </c>
      <c r="H1666" s="35">
        <v>9.3000000000000007</v>
      </c>
      <c r="I1666" s="37">
        <f t="shared" ref="I1666:I1729" si="26">H1666/C1666</f>
        <v>4.5644171779141108E-4</v>
      </c>
      <c r="J1666" s="33"/>
    </row>
    <row r="1667" spans="1:10">
      <c r="A1667" s="33" t="s">
        <v>97</v>
      </c>
      <c r="B1667" s="34">
        <v>258.58800000000002</v>
      </c>
      <c r="C1667" s="35">
        <v>20375</v>
      </c>
      <c r="D1667" s="33" t="s">
        <v>277</v>
      </c>
      <c r="E1667" s="34">
        <v>258.49</v>
      </c>
      <c r="F1667" s="36">
        <v>9.8000000000013202E-2</v>
      </c>
      <c r="G1667" s="34">
        <v>9.8000000000013202E-2</v>
      </c>
      <c r="H1667" s="35">
        <v>113.3</v>
      </c>
      <c r="I1667" s="37">
        <f t="shared" si="26"/>
        <v>5.5607361963190185E-3</v>
      </c>
      <c r="J1667" s="33"/>
    </row>
    <row r="1668" spans="1:10">
      <c r="A1668" s="33" t="s">
        <v>97</v>
      </c>
      <c r="B1668" s="34">
        <v>258.58800000000002</v>
      </c>
      <c r="C1668" s="35">
        <v>20375</v>
      </c>
      <c r="D1668" s="33" t="s">
        <v>278</v>
      </c>
      <c r="E1668" s="34">
        <v>258.49599999999998</v>
      </c>
      <c r="F1668" s="36">
        <v>9.2000000000041396E-2</v>
      </c>
      <c r="G1668" s="34">
        <v>9.2000000000041396E-2</v>
      </c>
      <c r="H1668" s="35">
        <v>214.9</v>
      </c>
      <c r="I1668" s="37">
        <f t="shared" si="26"/>
        <v>1.0547239263803682E-2</v>
      </c>
      <c r="J1668" s="33"/>
    </row>
    <row r="1669" spans="1:10">
      <c r="A1669" s="33" t="s">
        <v>97</v>
      </c>
      <c r="B1669" s="34">
        <v>258.58800000000002</v>
      </c>
      <c r="C1669" s="35">
        <v>20375</v>
      </c>
      <c r="D1669" s="33" t="s">
        <v>240</v>
      </c>
      <c r="E1669" s="34">
        <v>258.51299999999998</v>
      </c>
      <c r="F1669" s="36">
        <v>7.5000000000045502E-2</v>
      </c>
      <c r="G1669" s="34">
        <v>7.5000000000045502E-2</v>
      </c>
      <c r="H1669" s="35">
        <v>21.2</v>
      </c>
      <c r="I1669" s="37">
        <f t="shared" si="26"/>
        <v>1.0404907975460123E-3</v>
      </c>
      <c r="J1669" s="33"/>
    </row>
    <row r="1670" spans="1:10">
      <c r="A1670" s="33" t="s">
        <v>97</v>
      </c>
      <c r="B1670" s="34">
        <v>258.58800000000002</v>
      </c>
      <c r="C1670" s="35">
        <v>20375</v>
      </c>
      <c r="D1670" s="33" t="s">
        <v>54</v>
      </c>
      <c r="E1670" s="34">
        <v>258.53300000000002</v>
      </c>
      <c r="F1670" s="36">
        <v>5.50000000000068E-2</v>
      </c>
      <c r="G1670" s="34">
        <v>5.50000000000068E-2</v>
      </c>
      <c r="H1670" s="35">
        <v>30.7</v>
      </c>
      <c r="I1670" s="37">
        <f t="shared" si="26"/>
        <v>1.5067484662576686E-3</v>
      </c>
      <c r="J1670" s="33"/>
    </row>
    <row r="1671" spans="1:10">
      <c r="A1671" s="33" t="s">
        <v>97</v>
      </c>
      <c r="B1671" s="34">
        <v>258.58800000000002</v>
      </c>
      <c r="C1671" s="35">
        <v>20375</v>
      </c>
      <c r="D1671" s="33" t="s">
        <v>274</v>
      </c>
      <c r="E1671" s="34">
        <v>258.54300000000001</v>
      </c>
      <c r="F1671" s="36">
        <v>4.5000000000015902E-2</v>
      </c>
      <c r="G1671" s="34">
        <v>4.5000000000015902E-2</v>
      </c>
      <c r="H1671" s="35">
        <v>36.4</v>
      </c>
      <c r="I1671" s="37">
        <f t="shared" si="26"/>
        <v>1.7865030674846624E-3</v>
      </c>
      <c r="J1671" s="33"/>
    </row>
    <row r="1672" spans="1:10">
      <c r="A1672" s="33" t="s">
        <v>97</v>
      </c>
      <c r="B1672" s="34">
        <v>258.58800000000002</v>
      </c>
      <c r="C1672" s="35">
        <v>20375</v>
      </c>
      <c r="D1672" s="33" t="s">
        <v>240</v>
      </c>
      <c r="E1672" s="34">
        <v>258.54399999999998</v>
      </c>
      <c r="F1672" s="36">
        <v>4.4000000000039598E-2</v>
      </c>
      <c r="G1672" s="34">
        <v>4.4000000000039598E-2</v>
      </c>
      <c r="H1672" s="35">
        <v>86.9</v>
      </c>
      <c r="I1672" s="37">
        <f t="shared" si="26"/>
        <v>4.265030674846626E-3</v>
      </c>
      <c r="J1672" s="33"/>
    </row>
    <row r="1673" spans="1:10">
      <c r="A1673" s="33" t="s">
        <v>97</v>
      </c>
      <c r="B1673" s="34">
        <v>258.58800000000002</v>
      </c>
      <c r="C1673" s="35">
        <v>20375</v>
      </c>
      <c r="D1673" s="33" t="s">
        <v>239</v>
      </c>
      <c r="E1673" s="34">
        <v>258.56099999999998</v>
      </c>
      <c r="F1673" s="36">
        <v>2.7000000000043701E-2</v>
      </c>
      <c r="G1673" s="34">
        <v>2.7000000000043701E-2</v>
      </c>
      <c r="H1673" s="35">
        <v>5.6</v>
      </c>
      <c r="I1673" s="37">
        <f t="shared" si="26"/>
        <v>2.7484662576687113E-4</v>
      </c>
      <c r="J1673" s="33"/>
    </row>
    <row r="1674" spans="1:10">
      <c r="A1674" s="33" t="s">
        <v>97</v>
      </c>
      <c r="B1674" s="34">
        <v>258.58800000000002</v>
      </c>
      <c r="C1674" s="35">
        <v>20375</v>
      </c>
      <c r="D1674" s="33" t="s">
        <v>193</v>
      </c>
      <c r="E1674" s="34">
        <v>258.56099999999998</v>
      </c>
      <c r="F1674" s="36">
        <v>2.7000000000043701E-2</v>
      </c>
      <c r="G1674" s="34">
        <v>2.7000000000043701E-2</v>
      </c>
      <c r="H1674" s="35">
        <v>28.1</v>
      </c>
      <c r="I1674" s="37">
        <f t="shared" si="26"/>
        <v>1.3791411042944786E-3</v>
      </c>
      <c r="J1674" s="33"/>
    </row>
    <row r="1675" spans="1:10">
      <c r="A1675" s="33" t="s">
        <v>97</v>
      </c>
      <c r="B1675" s="34">
        <v>258.58800000000002</v>
      </c>
      <c r="C1675" s="35">
        <v>20375</v>
      </c>
      <c r="D1675" s="33" t="s">
        <v>268</v>
      </c>
      <c r="E1675" s="34">
        <v>258.57299999999998</v>
      </c>
      <c r="F1675" s="36">
        <v>1.5000000000043199E-2</v>
      </c>
      <c r="G1675" s="34">
        <v>1.5000000000043199E-2</v>
      </c>
      <c r="H1675" s="35">
        <v>13.1</v>
      </c>
      <c r="I1675" s="37">
        <f t="shared" si="26"/>
        <v>6.4294478527607355E-4</v>
      </c>
      <c r="J1675" s="33"/>
    </row>
    <row r="1676" spans="1:10">
      <c r="A1676" s="33" t="s">
        <v>97</v>
      </c>
      <c r="B1676" s="34">
        <v>258.58800000000002</v>
      </c>
      <c r="C1676" s="35">
        <v>20375</v>
      </c>
      <c r="D1676" s="33" t="s">
        <v>239</v>
      </c>
      <c r="E1676" s="34">
        <v>258.58600000000001</v>
      </c>
      <c r="F1676" s="36">
        <v>2.0000000000095501E-3</v>
      </c>
      <c r="G1676" s="34">
        <v>2.0000000000095501E-3</v>
      </c>
      <c r="H1676" s="35">
        <v>3.2</v>
      </c>
      <c r="I1676" s="37">
        <f t="shared" si="26"/>
        <v>1.5705521472392638E-4</v>
      </c>
      <c r="J1676" s="33"/>
    </row>
    <row r="1677" spans="1:10">
      <c r="A1677" s="33" t="s">
        <v>97</v>
      </c>
      <c r="B1677" s="34">
        <v>258.58800000000002</v>
      </c>
      <c r="C1677" s="35">
        <v>20375</v>
      </c>
      <c r="D1677" s="33" t="s">
        <v>240</v>
      </c>
      <c r="E1677" s="34">
        <v>258.589</v>
      </c>
      <c r="F1677" s="36">
        <v>9.9999999997635292E-4</v>
      </c>
      <c r="G1677" s="34">
        <v>9.9999999997635292E-4</v>
      </c>
      <c r="H1677" s="35">
        <v>156</v>
      </c>
      <c r="I1677" s="37">
        <f t="shared" si="26"/>
        <v>7.6564417177914113E-3</v>
      </c>
      <c r="J1677" s="33"/>
    </row>
    <row r="1678" spans="1:10">
      <c r="A1678" s="33" t="s">
        <v>97</v>
      </c>
      <c r="B1678" s="34">
        <v>258.58800000000002</v>
      </c>
      <c r="C1678" s="35">
        <v>20375</v>
      </c>
      <c r="D1678" s="33" t="s">
        <v>274</v>
      </c>
      <c r="E1678" s="34">
        <v>258.59300000000002</v>
      </c>
      <c r="F1678" s="36">
        <v>4.9999999999954499E-3</v>
      </c>
      <c r="G1678" s="34">
        <v>4.9999999999954499E-3</v>
      </c>
      <c r="H1678" s="35">
        <v>89.2</v>
      </c>
      <c r="I1678" s="37">
        <f t="shared" si="26"/>
        <v>4.3779141104294478E-3</v>
      </c>
      <c r="J1678" s="33"/>
    </row>
    <row r="1679" spans="1:10">
      <c r="A1679" s="33" t="s">
        <v>97</v>
      </c>
      <c r="B1679" s="34">
        <v>258.58800000000002</v>
      </c>
      <c r="C1679" s="35">
        <v>20375</v>
      </c>
      <c r="D1679" s="33" t="s">
        <v>275</v>
      </c>
      <c r="E1679" s="34">
        <v>258.59500000000003</v>
      </c>
      <c r="F1679" s="36">
        <v>7.0000000000049996E-3</v>
      </c>
      <c r="G1679" s="34">
        <v>7.0000000000049996E-3</v>
      </c>
      <c r="H1679" s="35">
        <v>254.4</v>
      </c>
      <c r="I1679" s="37">
        <f t="shared" si="26"/>
        <v>1.2485889570552147E-2</v>
      </c>
      <c r="J1679" s="33"/>
    </row>
    <row r="1680" spans="1:10">
      <c r="A1680" s="33" t="s">
        <v>97</v>
      </c>
      <c r="B1680" s="34">
        <v>258.58800000000002</v>
      </c>
      <c r="C1680" s="35">
        <v>20375</v>
      </c>
      <c r="D1680" s="33" t="s">
        <v>290</v>
      </c>
      <c r="E1680" s="34">
        <v>258.60599999999999</v>
      </c>
      <c r="F1680" s="36">
        <v>1.7999999999972299E-2</v>
      </c>
      <c r="G1680" s="34">
        <v>1.7999999999972299E-2</v>
      </c>
      <c r="H1680" s="35">
        <v>353.3</v>
      </c>
      <c r="I1680" s="37">
        <f t="shared" si="26"/>
        <v>1.7339877300613496E-2</v>
      </c>
      <c r="J1680" s="33"/>
    </row>
    <row r="1681" spans="1:10">
      <c r="A1681" s="33" t="s">
        <v>97</v>
      </c>
      <c r="B1681" s="34">
        <v>258.58800000000002</v>
      </c>
      <c r="C1681" s="35">
        <v>20375</v>
      </c>
      <c r="D1681" s="33" t="s">
        <v>284</v>
      </c>
      <c r="E1681" s="34">
        <v>258.608</v>
      </c>
      <c r="F1681" s="36">
        <v>1.99999999999818E-2</v>
      </c>
      <c r="G1681" s="34">
        <v>1.99999999999818E-2</v>
      </c>
      <c r="H1681" s="35">
        <v>27</v>
      </c>
      <c r="I1681" s="37">
        <f t="shared" si="26"/>
        <v>1.3251533742331288E-3</v>
      </c>
      <c r="J1681" s="33"/>
    </row>
    <row r="1682" spans="1:10">
      <c r="A1682" s="33" t="s">
        <v>97</v>
      </c>
      <c r="B1682" s="34">
        <v>258.58800000000002</v>
      </c>
      <c r="C1682" s="35">
        <v>20375</v>
      </c>
      <c r="D1682" s="33" t="s">
        <v>271</v>
      </c>
      <c r="E1682" s="34">
        <v>258.61500000000001</v>
      </c>
      <c r="F1682" s="36">
        <v>2.6999999999986798E-2</v>
      </c>
      <c r="G1682" s="34">
        <v>2.6999999999986798E-2</v>
      </c>
      <c r="H1682" s="35">
        <v>69.2</v>
      </c>
      <c r="I1682" s="37">
        <f t="shared" si="26"/>
        <v>3.3963190184049083E-3</v>
      </c>
      <c r="J1682" s="33"/>
    </row>
    <row r="1683" spans="1:10">
      <c r="A1683" s="33" t="s">
        <v>97</v>
      </c>
      <c r="B1683" s="34">
        <v>258.58800000000002</v>
      </c>
      <c r="C1683" s="35">
        <v>20375</v>
      </c>
      <c r="D1683" s="33" t="s">
        <v>97</v>
      </c>
      <c r="E1683" s="34">
        <v>258.649</v>
      </c>
      <c r="F1683" s="36">
        <v>6.0999999999978599E-2</v>
      </c>
      <c r="G1683" s="34">
        <v>6.0999999999978599E-2</v>
      </c>
      <c r="H1683" s="35">
        <v>11</v>
      </c>
      <c r="I1683" s="37">
        <f t="shared" si="26"/>
        <v>5.398773006134969E-4</v>
      </c>
      <c r="J1683" s="33"/>
    </row>
    <row r="1684" spans="1:10">
      <c r="A1684" s="33" t="s">
        <v>97</v>
      </c>
      <c r="B1684" s="34">
        <v>258.58800000000002</v>
      </c>
      <c r="C1684" s="35">
        <v>20375</v>
      </c>
      <c r="D1684" s="33" t="s">
        <v>279</v>
      </c>
      <c r="E1684" s="34">
        <v>258.678</v>
      </c>
      <c r="F1684" s="36">
        <v>8.9999999999975003E-2</v>
      </c>
      <c r="G1684" s="34">
        <v>8.9999999999975003E-2</v>
      </c>
      <c r="H1684" s="35">
        <v>29.7</v>
      </c>
      <c r="I1684" s="37">
        <f t="shared" si="26"/>
        <v>1.4576687116564417E-3</v>
      </c>
      <c r="J1684" s="33"/>
    </row>
    <row r="1685" spans="1:10">
      <c r="A1685" s="33" t="s">
        <v>97</v>
      </c>
      <c r="B1685" s="34">
        <v>258.58800000000002</v>
      </c>
      <c r="C1685" s="35">
        <v>20375</v>
      </c>
      <c r="D1685" s="33" t="s">
        <v>54</v>
      </c>
      <c r="E1685" s="34">
        <v>258.685</v>
      </c>
      <c r="F1685" s="36">
        <v>9.6999999999980005E-2</v>
      </c>
      <c r="G1685" s="34">
        <v>9.6999999999980005E-2</v>
      </c>
      <c r="H1685" s="35">
        <v>31.9</v>
      </c>
      <c r="I1685" s="37">
        <f t="shared" si="26"/>
        <v>1.565644171779141E-3</v>
      </c>
      <c r="J1685" s="33"/>
    </row>
    <row r="1686" spans="1:10">
      <c r="A1686" s="33" t="s">
        <v>97</v>
      </c>
      <c r="B1686" s="34">
        <v>258.58800000000002</v>
      </c>
      <c r="C1686" s="35">
        <v>20375</v>
      </c>
      <c r="D1686" s="33" t="s">
        <v>236</v>
      </c>
      <c r="E1686" s="34">
        <v>258.68599999999998</v>
      </c>
      <c r="F1686" s="36">
        <v>9.7999999999956303E-2</v>
      </c>
      <c r="G1686" s="34">
        <v>9.7999999999956303E-2</v>
      </c>
      <c r="H1686" s="35">
        <v>61.8</v>
      </c>
      <c r="I1686" s="37">
        <f t="shared" si="26"/>
        <v>3.0331288343558279E-3</v>
      </c>
      <c r="J1686" s="33"/>
    </row>
    <row r="1687" spans="1:10">
      <c r="A1687" s="33" t="s">
        <v>97</v>
      </c>
      <c r="B1687" s="34">
        <v>258.58800000000002</v>
      </c>
      <c r="C1687" s="35">
        <v>20375</v>
      </c>
      <c r="D1687" s="33" t="s">
        <v>274</v>
      </c>
      <c r="E1687" s="34">
        <v>258.69400000000002</v>
      </c>
      <c r="F1687" s="36">
        <v>0.105999999999995</v>
      </c>
      <c r="G1687" s="34">
        <v>0.105999999999995</v>
      </c>
      <c r="H1687" s="35">
        <v>19.399999999999999</v>
      </c>
      <c r="I1687" s="37">
        <f t="shared" si="26"/>
        <v>9.5214723926380362E-4</v>
      </c>
      <c r="J1687" s="33"/>
    </row>
    <row r="1688" spans="1:10">
      <c r="A1688" s="33" t="s">
        <v>97</v>
      </c>
      <c r="B1688" s="34">
        <v>258.58800000000002</v>
      </c>
      <c r="C1688" s="35">
        <v>20375</v>
      </c>
      <c r="D1688" s="33" t="s">
        <v>193</v>
      </c>
      <c r="E1688" s="34">
        <v>258.69799999999998</v>
      </c>
      <c r="F1688" s="36">
        <v>0.10999999999995699</v>
      </c>
      <c r="G1688" s="34">
        <v>0.10999999999995699</v>
      </c>
      <c r="H1688" s="35">
        <v>40.299999999999997</v>
      </c>
      <c r="I1688" s="37">
        <f t="shared" si="26"/>
        <v>1.9779141104294476E-3</v>
      </c>
      <c r="J1688" s="33"/>
    </row>
    <row r="1689" spans="1:10">
      <c r="A1689" s="33" t="s">
        <v>97</v>
      </c>
      <c r="B1689" s="34">
        <v>258.58800000000002</v>
      </c>
      <c r="C1689" s="35">
        <v>20375</v>
      </c>
      <c r="D1689" s="33" t="s">
        <v>279</v>
      </c>
      <c r="E1689" s="34">
        <v>258.7</v>
      </c>
      <c r="F1689" s="36">
        <v>0.111999999999966</v>
      </c>
      <c r="G1689" s="34">
        <v>0.111999999999966</v>
      </c>
      <c r="H1689" s="35">
        <v>15.4</v>
      </c>
      <c r="I1689" s="37">
        <f t="shared" si="26"/>
        <v>7.5582822085889568E-4</v>
      </c>
      <c r="J1689" s="33"/>
    </row>
    <row r="1690" spans="1:10">
      <c r="A1690" s="33" t="s">
        <v>97</v>
      </c>
      <c r="B1690" s="34">
        <v>258.58800000000002</v>
      </c>
      <c r="C1690" s="35">
        <v>20375</v>
      </c>
      <c r="D1690" s="33" t="s">
        <v>54</v>
      </c>
      <c r="E1690" s="34">
        <v>258.72199999999998</v>
      </c>
      <c r="F1690" s="36">
        <v>0.13399999999995801</v>
      </c>
      <c r="G1690" s="34">
        <v>0.13399999999995801</v>
      </c>
      <c r="H1690" s="35">
        <v>4492.5</v>
      </c>
      <c r="I1690" s="37">
        <f t="shared" si="26"/>
        <v>0.22049079754601228</v>
      </c>
      <c r="J1690" s="33"/>
    </row>
    <row r="1691" spans="1:10">
      <c r="A1691" s="33" t="s">
        <v>97</v>
      </c>
      <c r="B1691" s="34">
        <v>258.58800000000002</v>
      </c>
      <c r="C1691" s="35">
        <v>20375</v>
      </c>
      <c r="D1691" s="33" t="s">
        <v>282</v>
      </c>
      <c r="E1691" s="34">
        <v>258.726</v>
      </c>
      <c r="F1691" s="36">
        <v>0.137999999999977</v>
      </c>
      <c r="G1691" s="34">
        <v>0.137999999999977</v>
      </c>
      <c r="H1691" s="35">
        <v>85.6</v>
      </c>
      <c r="I1691" s="37">
        <f t="shared" si="26"/>
        <v>4.2012269938650308E-3</v>
      </c>
      <c r="J1691" s="33"/>
    </row>
    <row r="1692" spans="1:10">
      <c r="A1692" s="33" t="s">
        <v>97</v>
      </c>
      <c r="B1692" s="34">
        <v>258.58800000000002</v>
      </c>
      <c r="C1692" s="35">
        <v>20375</v>
      </c>
      <c r="D1692" s="33" t="s">
        <v>165</v>
      </c>
      <c r="E1692" s="34">
        <v>258.72800000000001</v>
      </c>
      <c r="F1692" s="36">
        <v>0.139999999999986</v>
      </c>
      <c r="G1692" s="34">
        <v>0.139999999999986</v>
      </c>
      <c r="H1692" s="35">
        <v>47</v>
      </c>
      <c r="I1692" s="37">
        <f t="shared" si="26"/>
        <v>2.3067484662576687E-3</v>
      </c>
      <c r="J1692" s="33"/>
    </row>
    <row r="1693" spans="1:10">
      <c r="A1693" s="33" t="s">
        <v>97</v>
      </c>
      <c r="B1693" s="34">
        <v>259.94</v>
      </c>
      <c r="C1693" s="35">
        <v>27160</v>
      </c>
      <c r="D1693" s="33" t="s">
        <v>193</v>
      </c>
      <c r="E1693" s="34">
        <v>259.77499999999998</v>
      </c>
      <c r="F1693" s="36">
        <v>0.16500000000002099</v>
      </c>
      <c r="G1693" s="34">
        <v>0.16500000000002099</v>
      </c>
      <c r="H1693" s="35">
        <v>40</v>
      </c>
      <c r="I1693" s="37">
        <f t="shared" si="26"/>
        <v>1.4727540500736377E-3</v>
      </c>
      <c r="J1693" s="33"/>
    </row>
    <row r="1694" spans="1:10">
      <c r="A1694" s="33" t="s">
        <v>97</v>
      </c>
      <c r="B1694" s="34">
        <v>259.94</v>
      </c>
      <c r="C1694" s="35">
        <v>27160</v>
      </c>
      <c r="D1694" s="33" t="s">
        <v>274</v>
      </c>
      <c r="E1694" s="34">
        <v>259.78699999999998</v>
      </c>
      <c r="F1694" s="36">
        <v>0.15300000000002001</v>
      </c>
      <c r="G1694" s="34">
        <v>0.15300000000002001</v>
      </c>
      <c r="H1694" s="35">
        <v>15.3</v>
      </c>
      <c r="I1694" s="37">
        <f t="shared" si="26"/>
        <v>5.6332842415316646E-4</v>
      </c>
      <c r="J1694" s="33"/>
    </row>
    <row r="1695" spans="1:10">
      <c r="A1695" s="33" t="s">
        <v>97</v>
      </c>
      <c r="B1695" s="34">
        <v>259.94</v>
      </c>
      <c r="C1695" s="35">
        <v>27160</v>
      </c>
      <c r="D1695" s="33" t="s">
        <v>273</v>
      </c>
      <c r="E1695" s="34">
        <v>259.80399999999997</v>
      </c>
      <c r="F1695" s="36">
        <v>0.13600000000002399</v>
      </c>
      <c r="G1695" s="34">
        <v>0.13600000000002399</v>
      </c>
      <c r="H1695" s="35">
        <v>29.2</v>
      </c>
      <c r="I1695" s="37">
        <f t="shared" si="26"/>
        <v>1.0751104565537555E-3</v>
      </c>
      <c r="J1695" s="33"/>
    </row>
    <row r="1696" spans="1:10">
      <c r="A1696" s="33" t="s">
        <v>97</v>
      </c>
      <c r="B1696" s="34">
        <v>259.94</v>
      </c>
      <c r="C1696" s="35">
        <v>27160</v>
      </c>
      <c r="D1696" s="33" t="s">
        <v>291</v>
      </c>
      <c r="E1696" s="34">
        <v>259.80399999999997</v>
      </c>
      <c r="F1696" s="36">
        <v>0.13600000000002399</v>
      </c>
      <c r="G1696" s="34">
        <v>0.13600000000002399</v>
      </c>
      <c r="H1696" s="35">
        <v>779.3</v>
      </c>
      <c r="I1696" s="37">
        <f t="shared" si="26"/>
        <v>2.8692930780559643E-2</v>
      </c>
      <c r="J1696" s="33"/>
    </row>
    <row r="1697" spans="1:10">
      <c r="A1697" s="33" t="s">
        <v>97</v>
      </c>
      <c r="B1697" s="34">
        <v>259.94</v>
      </c>
      <c r="C1697" s="35">
        <v>27160</v>
      </c>
      <c r="D1697" s="33" t="s">
        <v>193</v>
      </c>
      <c r="E1697" s="34">
        <v>259.82100000000003</v>
      </c>
      <c r="F1697" s="36">
        <v>0.118999999999971</v>
      </c>
      <c r="G1697" s="34">
        <v>0.118999999999971</v>
      </c>
      <c r="H1697" s="35">
        <v>155</v>
      </c>
      <c r="I1697" s="37">
        <f t="shared" si="26"/>
        <v>5.7069219440353458E-3</v>
      </c>
      <c r="J1697" s="33"/>
    </row>
    <row r="1698" spans="1:10">
      <c r="A1698" s="33" t="s">
        <v>97</v>
      </c>
      <c r="B1698" s="34">
        <v>259.94</v>
      </c>
      <c r="C1698" s="35">
        <v>27160</v>
      </c>
      <c r="D1698" s="33" t="s">
        <v>97</v>
      </c>
      <c r="E1698" s="34">
        <v>259.83699999999999</v>
      </c>
      <c r="F1698" s="36">
        <v>0.103000000000009</v>
      </c>
      <c r="G1698" s="34">
        <v>0.103000000000009</v>
      </c>
      <c r="H1698" s="35">
        <v>8761.5</v>
      </c>
      <c r="I1698" s="37">
        <f t="shared" si="26"/>
        <v>0.32258836524300444</v>
      </c>
      <c r="J1698" s="33"/>
    </row>
    <row r="1699" spans="1:10">
      <c r="A1699" s="33" t="s">
        <v>97</v>
      </c>
      <c r="B1699" s="34">
        <v>259.94</v>
      </c>
      <c r="C1699" s="35">
        <v>27160</v>
      </c>
      <c r="D1699" s="33" t="s">
        <v>240</v>
      </c>
      <c r="E1699" s="34">
        <v>259.84199999999998</v>
      </c>
      <c r="F1699" s="36">
        <v>9.8000000000013202E-2</v>
      </c>
      <c r="G1699" s="34">
        <v>9.8000000000013202E-2</v>
      </c>
      <c r="H1699" s="35">
        <v>16.5</v>
      </c>
      <c r="I1699" s="37">
        <f t="shared" si="26"/>
        <v>6.0751104565537556E-4</v>
      </c>
      <c r="J1699" s="33"/>
    </row>
    <row r="1700" spans="1:10">
      <c r="A1700" s="33" t="s">
        <v>97</v>
      </c>
      <c r="B1700" s="34">
        <v>259.94</v>
      </c>
      <c r="C1700" s="35">
        <v>27160</v>
      </c>
      <c r="D1700" s="33" t="s">
        <v>274</v>
      </c>
      <c r="E1700" s="34">
        <v>259.84199999999998</v>
      </c>
      <c r="F1700" s="36">
        <v>9.8000000000013202E-2</v>
      </c>
      <c r="G1700" s="34">
        <v>9.8000000000013202E-2</v>
      </c>
      <c r="H1700" s="35">
        <v>78</v>
      </c>
      <c r="I1700" s="37">
        <f t="shared" si="26"/>
        <v>2.8718703976435937E-3</v>
      </c>
      <c r="J1700" s="33"/>
    </row>
    <row r="1701" spans="1:10">
      <c r="A1701" s="33" t="s">
        <v>97</v>
      </c>
      <c r="B1701" s="34">
        <v>259.94</v>
      </c>
      <c r="C1701" s="35">
        <v>27160</v>
      </c>
      <c r="D1701" s="33" t="s">
        <v>193</v>
      </c>
      <c r="E1701" s="34">
        <v>259.87400000000002</v>
      </c>
      <c r="F1701" s="36">
        <v>6.5999999999974093E-2</v>
      </c>
      <c r="G1701" s="34">
        <v>6.5999999999974093E-2</v>
      </c>
      <c r="H1701" s="35">
        <v>47</v>
      </c>
      <c r="I1701" s="37">
        <f t="shared" si="26"/>
        <v>1.7304860088365242E-3</v>
      </c>
      <c r="J1701" s="33"/>
    </row>
    <row r="1702" spans="1:10">
      <c r="A1702" s="33" t="s">
        <v>97</v>
      </c>
      <c r="B1702" s="34">
        <v>259.94</v>
      </c>
      <c r="C1702" s="35">
        <v>27160</v>
      </c>
      <c r="D1702" s="33" t="s">
        <v>274</v>
      </c>
      <c r="E1702" s="34">
        <v>259.87400000000002</v>
      </c>
      <c r="F1702" s="36">
        <v>6.5999999999974093E-2</v>
      </c>
      <c r="G1702" s="34">
        <v>6.5999999999974093E-2</v>
      </c>
      <c r="H1702" s="35">
        <v>186.7</v>
      </c>
      <c r="I1702" s="37">
        <f t="shared" si="26"/>
        <v>6.8740795287187033E-3</v>
      </c>
      <c r="J1702" s="33"/>
    </row>
    <row r="1703" spans="1:10">
      <c r="A1703" s="33" t="s">
        <v>97</v>
      </c>
      <c r="B1703" s="34">
        <v>259.94</v>
      </c>
      <c r="C1703" s="35">
        <v>27160</v>
      </c>
      <c r="D1703" s="33" t="s">
        <v>268</v>
      </c>
      <c r="E1703" s="34">
        <v>259.88</v>
      </c>
      <c r="F1703" s="36">
        <v>6.0000000000002301E-2</v>
      </c>
      <c r="G1703" s="34">
        <v>6.0000000000002301E-2</v>
      </c>
      <c r="H1703" s="35">
        <v>12.7</v>
      </c>
      <c r="I1703" s="37">
        <f t="shared" si="26"/>
        <v>4.6759941089837996E-4</v>
      </c>
      <c r="J1703" s="33"/>
    </row>
    <row r="1704" spans="1:10">
      <c r="A1704" s="33" t="s">
        <v>97</v>
      </c>
      <c r="B1704" s="34">
        <v>259.94</v>
      </c>
      <c r="C1704" s="35">
        <v>27160</v>
      </c>
      <c r="D1704" s="33" t="s">
        <v>277</v>
      </c>
      <c r="E1704" s="34">
        <v>259.88600000000002</v>
      </c>
      <c r="F1704" s="36">
        <v>5.3999999999973597E-2</v>
      </c>
      <c r="G1704" s="34">
        <v>5.3999999999973597E-2</v>
      </c>
      <c r="H1704" s="35">
        <v>35.1</v>
      </c>
      <c r="I1704" s="37">
        <f t="shared" si="26"/>
        <v>1.2923416789396172E-3</v>
      </c>
      <c r="J1704" s="33"/>
    </row>
    <row r="1705" spans="1:10">
      <c r="A1705" s="33" t="s">
        <v>97</v>
      </c>
      <c r="B1705" s="34">
        <v>259.94</v>
      </c>
      <c r="C1705" s="35">
        <v>27160</v>
      </c>
      <c r="D1705" s="33" t="s">
        <v>240</v>
      </c>
      <c r="E1705" s="34">
        <v>259.88900000000001</v>
      </c>
      <c r="F1705" s="36">
        <v>5.0999999999987701E-2</v>
      </c>
      <c r="G1705" s="34">
        <v>5.0999999999987701E-2</v>
      </c>
      <c r="H1705" s="35">
        <v>2396.1</v>
      </c>
      <c r="I1705" s="37">
        <f t="shared" si="26"/>
        <v>8.8221649484536077E-2</v>
      </c>
      <c r="J1705" s="33"/>
    </row>
    <row r="1706" spans="1:10">
      <c r="A1706" s="33" t="s">
        <v>97</v>
      </c>
      <c r="B1706" s="34">
        <v>259.94</v>
      </c>
      <c r="C1706" s="35">
        <v>27160</v>
      </c>
      <c r="D1706" s="33" t="s">
        <v>290</v>
      </c>
      <c r="E1706" s="34">
        <v>259.904</v>
      </c>
      <c r="F1706" s="36">
        <v>3.6000000000001399E-2</v>
      </c>
      <c r="G1706" s="34">
        <v>3.6000000000001399E-2</v>
      </c>
      <c r="H1706" s="35">
        <v>38</v>
      </c>
      <c r="I1706" s="37">
        <f t="shared" si="26"/>
        <v>1.3991163475699558E-3</v>
      </c>
      <c r="J1706" s="33"/>
    </row>
    <row r="1707" spans="1:10">
      <c r="A1707" s="33" t="s">
        <v>97</v>
      </c>
      <c r="B1707" s="34">
        <v>259.94</v>
      </c>
      <c r="C1707" s="35">
        <v>27160</v>
      </c>
      <c r="D1707" s="33" t="s">
        <v>275</v>
      </c>
      <c r="E1707" s="34">
        <v>259.91800000000001</v>
      </c>
      <c r="F1707" s="36">
        <v>2.1999999999991401E-2</v>
      </c>
      <c r="G1707" s="34">
        <v>2.1999999999991401E-2</v>
      </c>
      <c r="H1707" s="35">
        <v>24.4</v>
      </c>
      <c r="I1707" s="37">
        <f t="shared" si="26"/>
        <v>8.9837997054491899E-4</v>
      </c>
      <c r="J1707" s="33"/>
    </row>
    <row r="1708" spans="1:10">
      <c r="A1708" s="33" t="s">
        <v>97</v>
      </c>
      <c r="B1708" s="34">
        <v>259.94</v>
      </c>
      <c r="C1708" s="35">
        <v>27160</v>
      </c>
      <c r="D1708" s="33" t="s">
        <v>54</v>
      </c>
      <c r="E1708" s="34">
        <v>259.92</v>
      </c>
      <c r="F1708" s="36">
        <v>1.99999999999818E-2</v>
      </c>
      <c r="G1708" s="34">
        <v>1.99999999999818E-2</v>
      </c>
      <c r="H1708" s="35">
        <v>1.6</v>
      </c>
      <c r="I1708" s="37">
        <f t="shared" si="26"/>
        <v>5.8910162002945513E-5</v>
      </c>
      <c r="J1708" s="33"/>
    </row>
    <row r="1709" spans="1:10">
      <c r="A1709" s="33" t="s">
        <v>97</v>
      </c>
      <c r="B1709" s="34">
        <v>259.94</v>
      </c>
      <c r="C1709" s="35">
        <v>27160</v>
      </c>
      <c r="D1709" s="33" t="s">
        <v>269</v>
      </c>
      <c r="E1709" s="34">
        <v>259.92</v>
      </c>
      <c r="F1709" s="36">
        <v>1.99999999999818E-2</v>
      </c>
      <c r="G1709" s="34">
        <v>1.99999999999818E-2</v>
      </c>
      <c r="H1709" s="35">
        <v>145.19999999999999</v>
      </c>
      <c r="I1709" s="37">
        <f t="shared" si="26"/>
        <v>5.3460972017673044E-3</v>
      </c>
      <c r="J1709" s="33"/>
    </row>
    <row r="1710" spans="1:10">
      <c r="A1710" s="33" t="s">
        <v>97</v>
      </c>
      <c r="B1710" s="34">
        <v>259.94</v>
      </c>
      <c r="C1710" s="35">
        <v>27160</v>
      </c>
      <c r="D1710" s="33" t="s">
        <v>273</v>
      </c>
      <c r="E1710" s="34">
        <v>259.928</v>
      </c>
      <c r="F1710" s="36">
        <v>1.20000000000005E-2</v>
      </c>
      <c r="G1710" s="34">
        <v>1.20000000000005E-2</v>
      </c>
      <c r="H1710" s="35">
        <v>2</v>
      </c>
      <c r="I1710" s="37">
        <f t="shared" si="26"/>
        <v>7.3637702503681881E-5</v>
      </c>
      <c r="J1710" s="33"/>
    </row>
    <row r="1711" spans="1:10">
      <c r="A1711" s="33" t="s">
        <v>97</v>
      </c>
      <c r="B1711" s="34">
        <v>259.94</v>
      </c>
      <c r="C1711" s="35">
        <v>27160</v>
      </c>
      <c r="D1711" s="33" t="s">
        <v>278</v>
      </c>
      <c r="E1711" s="34">
        <v>259.93200000000002</v>
      </c>
      <c r="F1711" s="36">
        <v>7.9999999999813606E-3</v>
      </c>
      <c r="G1711" s="34">
        <v>7.9999999999813606E-3</v>
      </c>
      <c r="H1711" s="35">
        <v>5.3</v>
      </c>
      <c r="I1711" s="37">
        <f t="shared" si="26"/>
        <v>1.9513991163475699E-4</v>
      </c>
      <c r="J1711" s="33"/>
    </row>
    <row r="1712" spans="1:10">
      <c r="A1712" s="33" t="s">
        <v>97</v>
      </c>
      <c r="B1712" s="34">
        <v>259.94</v>
      </c>
      <c r="C1712" s="35">
        <v>27160</v>
      </c>
      <c r="D1712" s="33" t="s">
        <v>193</v>
      </c>
      <c r="E1712" s="34">
        <v>259.93900000000002</v>
      </c>
      <c r="F1712" s="36">
        <v>9.9999999997635292E-4</v>
      </c>
      <c r="G1712" s="34">
        <v>9.9999999997635292E-4</v>
      </c>
      <c r="H1712" s="35">
        <v>13.9</v>
      </c>
      <c r="I1712" s="37">
        <f t="shared" si="26"/>
        <v>5.1178203240058906E-4</v>
      </c>
      <c r="J1712" s="33"/>
    </row>
    <row r="1713" spans="1:10">
      <c r="A1713" s="33" t="s">
        <v>97</v>
      </c>
      <c r="B1713" s="34">
        <v>259.94</v>
      </c>
      <c r="C1713" s="35">
        <v>27160</v>
      </c>
      <c r="D1713" s="33" t="s">
        <v>273</v>
      </c>
      <c r="E1713" s="34">
        <v>259.952</v>
      </c>
      <c r="F1713" s="36">
        <v>1.20000000000005E-2</v>
      </c>
      <c r="G1713" s="34">
        <v>1.20000000000005E-2</v>
      </c>
      <c r="H1713" s="35">
        <v>24.2</v>
      </c>
      <c r="I1713" s="37">
        <f t="shared" si="26"/>
        <v>8.9101620029455081E-4</v>
      </c>
      <c r="J1713" s="33"/>
    </row>
    <row r="1714" spans="1:10">
      <c r="A1714" s="33" t="s">
        <v>97</v>
      </c>
      <c r="B1714" s="34">
        <v>259.94</v>
      </c>
      <c r="C1714" s="35">
        <v>27160</v>
      </c>
      <c r="D1714" s="33" t="s">
        <v>275</v>
      </c>
      <c r="E1714" s="34">
        <v>259.95299999999997</v>
      </c>
      <c r="F1714" s="36">
        <v>1.2999999999976799E-2</v>
      </c>
      <c r="G1714" s="34">
        <v>1.2999999999976799E-2</v>
      </c>
      <c r="H1714" s="35">
        <v>14.5</v>
      </c>
      <c r="I1714" s="37">
        <f t="shared" si="26"/>
        <v>5.3387334315169361E-4</v>
      </c>
      <c r="J1714" s="33"/>
    </row>
    <row r="1715" spans="1:10">
      <c r="A1715" s="33" t="s">
        <v>97</v>
      </c>
      <c r="B1715" s="34">
        <v>259.94</v>
      </c>
      <c r="C1715" s="35">
        <v>27160</v>
      </c>
      <c r="D1715" s="33" t="s">
        <v>279</v>
      </c>
      <c r="E1715" s="34">
        <v>259.95299999999997</v>
      </c>
      <c r="F1715" s="36">
        <v>1.2999999999976799E-2</v>
      </c>
      <c r="G1715" s="34">
        <v>1.2999999999976799E-2</v>
      </c>
      <c r="H1715" s="35">
        <v>23</v>
      </c>
      <c r="I1715" s="37">
        <f t="shared" si="26"/>
        <v>8.4683357879234171E-4</v>
      </c>
      <c r="J1715" s="33"/>
    </row>
    <row r="1716" spans="1:10">
      <c r="A1716" s="33" t="s">
        <v>97</v>
      </c>
      <c r="B1716" s="34">
        <v>259.94</v>
      </c>
      <c r="C1716" s="35">
        <v>27160</v>
      </c>
      <c r="D1716" s="33" t="s">
        <v>240</v>
      </c>
      <c r="E1716" s="34">
        <v>259.95499999999998</v>
      </c>
      <c r="F1716" s="36">
        <v>1.4999999999986399E-2</v>
      </c>
      <c r="G1716" s="34">
        <v>1.4999999999986399E-2</v>
      </c>
      <c r="H1716" s="35">
        <v>23</v>
      </c>
      <c r="I1716" s="37">
        <f t="shared" si="26"/>
        <v>8.4683357879234171E-4</v>
      </c>
      <c r="J1716" s="33"/>
    </row>
    <row r="1717" spans="1:10">
      <c r="A1717" s="33" t="s">
        <v>97</v>
      </c>
      <c r="B1717" s="34">
        <v>259.94</v>
      </c>
      <c r="C1717" s="35">
        <v>27160</v>
      </c>
      <c r="D1717" s="33" t="s">
        <v>274</v>
      </c>
      <c r="E1717" s="34">
        <v>259.964</v>
      </c>
      <c r="F1717" s="36">
        <v>2.4000000000000899E-2</v>
      </c>
      <c r="G1717" s="34">
        <v>2.4000000000000899E-2</v>
      </c>
      <c r="H1717" s="35">
        <v>9.1999999999999993</v>
      </c>
      <c r="I1717" s="37">
        <f t="shared" si="26"/>
        <v>3.3873343151693663E-4</v>
      </c>
      <c r="J1717" s="33"/>
    </row>
    <row r="1718" spans="1:10">
      <c r="A1718" s="33" t="s">
        <v>97</v>
      </c>
      <c r="B1718" s="34">
        <v>259.94</v>
      </c>
      <c r="C1718" s="35">
        <v>27160</v>
      </c>
      <c r="D1718" s="33" t="s">
        <v>268</v>
      </c>
      <c r="E1718" s="34">
        <v>259.96800000000002</v>
      </c>
      <c r="F1718" s="36">
        <v>2.8000000000019998E-2</v>
      </c>
      <c r="G1718" s="34">
        <v>2.8000000000019998E-2</v>
      </c>
      <c r="H1718" s="35">
        <v>28.2</v>
      </c>
      <c r="I1718" s="37">
        <f t="shared" si="26"/>
        <v>1.0382916053019145E-3</v>
      </c>
      <c r="J1718" s="33"/>
    </row>
    <row r="1719" spans="1:10">
      <c r="A1719" s="33" t="s">
        <v>97</v>
      </c>
      <c r="B1719" s="34">
        <v>259.94</v>
      </c>
      <c r="C1719" s="35">
        <v>27160</v>
      </c>
      <c r="D1719" s="33" t="s">
        <v>274</v>
      </c>
      <c r="E1719" s="34">
        <v>259.97699999999998</v>
      </c>
      <c r="F1719" s="36">
        <v>3.6999999999977697E-2</v>
      </c>
      <c r="G1719" s="34">
        <v>3.6999999999977697E-2</v>
      </c>
      <c r="H1719" s="35">
        <v>24.4</v>
      </c>
      <c r="I1719" s="37">
        <f t="shared" si="26"/>
        <v>8.9837997054491899E-4</v>
      </c>
      <c r="J1719" s="33"/>
    </row>
    <row r="1720" spans="1:10">
      <c r="A1720" s="33" t="s">
        <v>97</v>
      </c>
      <c r="B1720" s="34">
        <v>259.94</v>
      </c>
      <c r="C1720" s="35">
        <v>27160</v>
      </c>
      <c r="D1720" s="33" t="s">
        <v>279</v>
      </c>
      <c r="E1720" s="34">
        <v>259.98599999999999</v>
      </c>
      <c r="F1720" s="36">
        <v>4.5999999999992297E-2</v>
      </c>
      <c r="G1720" s="34">
        <v>4.5999999999992297E-2</v>
      </c>
      <c r="H1720" s="35">
        <v>17.7</v>
      </c>
      <c r="I1720" s="37">
        <f t="shared" si="26"/>
        <v>6.5169366715758467E-4</v>
      </c>
      <c r="J1720" s="33"/>
    </row>
    <row r="1721" spans="1:10">
      <c r="A1721" s="33" t="s">
        <v>97</v>
      </c>
      <c r="B1721" s="34">
        <v>259.94</v>
      </c>
      <c r="C1721" s="35">
        <v>27160</v>
      </c>
      <c r="D1721" s="33" t="s">
        <v>284</v>
      </c>
      <c r="E1721" s="34">
        <v>259.99099999999999</v>
      </c>
      <c r="F1721" s="36">
        <v>5.0999999999987701E-2</v>
      </c>
      <c r="G1721" s="34">
        <v>5.0999999999987701E-2</v>
      </c>
      <c r="H1721" s="35">
        <v>0.8</v>
      </c>
      <c r="I1721" s="37">
        <f t="shared" si="26"/>
        <v>2.9455081001472756E-5</v>
      </c>
      <c r="J1721" s="33"/>
    </row>
    <row r="1722" spans="1:10">
      <c r="A1722" s="33" t="s">
        <v>97</v>
      </c>
      <c r="B1722" s="34">
        <v>259.94</v>
      </c>
      <c r="C1722" s="35">
        <v>27160</v>
      </c>
      <c r="D1722" s="33" t="s">
        <v>237</v>
      </c>
      <c r="E1722" s="34">
        <v>259.99099999999999</v>
      </c>
      <c r="F1722" s="36">
        <v>5.0999999999987701E-2</v>
      </c>
      <c r="G1722" s="34">
        <v>5.0999999999987701E-2</v>
      </c>
      <c r="H1722" s="35">
        <v>88.6</v>
      </c>
      <c r="I1722" s="37">
        <f t="shared" si="26"/>
        <v>3.2621502209131074E-3</v>
      </c>
      <c r="J1722" s="33"/>
    </row>
    <row r="1723" spans="1:10">
      <c r="A1723" s="33" t="s">
        <v>97</v>
      </c>
      <c r="B1723" s="34">
        <v>259.94</v>
      </c>
      <c r="C1723" s="35">
        <v>27160</v>
      </c>
      <c r="D1723" s="33" t="s">
        <v>193</v>
      </c>
      <c r="E1723" s="34">
        <v>260.01400000000001</v>
      </c>
      <c r="F1723" s="36">
        <v>7.4000000000012306E-2</v>
      </c>
      <c r="G1723" s="34">
        <v>7.4000000000012306E-2</v>
      </c>
      <c r="H1723" s="35">
        <v>25.6</v>
      </c>
      <c r="I1723" s="37">
        <f t="shared" si="26"/>
        <v>9.4256259204712821E-4</v>
      </c>
      <c r="J1723" s="33"/>
    </row>
    <row r="1724" spans="1:10">
      <c r="A1724" s="33" t="s">
        <v>97</v>
      </c>
      <c r="B1724" s="34">
        <v>259.94</v>
      </c>
      <c r="C1724" s="35">
        <v>27160</v>
      </c>
      <c r="D1724" s="33" t="s">
        <v>273</v>
      </c>
      <c r="E1724" s="34">
        <v>260.01499999999999</v>
      </c>
      <c r="F1724" s="36">
        <v>7.4999999999988604E-2</v>
      </c>
      <c r="G1724" s="34">
        <v>7.4999999999988604E-2</v>
      </c>
      <c r="H1724" s="35">
        <v>48.6</v>
      </c>
      <c r="I1724" s="37">
        <f t="shared" si="26"/>
        <v>1.7893961708394699E-3</v>
      </c>
      <c r="J1724" s="33"/>
    </row>
    <row r="1725" spans="1:10">
      <c r="A1725" s="33" t="s">
        <v>97</v>
      </c>
      <c r="B1725" s="34">
        <v>259.94</v>
      </c>
      <c r="C1725" s="35">
        <v>27160</v>
      </c>
      <c r="D1725" s="33" t="s">
        <v>33</v>
      </c>
      <c r="E1725" s="34">
        <v>260.01600000000002</v>
      </c>
      <c r="F1725" s="36">
        <v>7.60000000000218E-2</v>
      </c>
      <c r="G1725" s="34">
        <v>7.60000000000218E-2</v>
      </c>
      <c r="H1725" s="35">
        <v>143.5</v>
      </c>
      <c r="I1725" s="37">
        <f t="shared" si="26"/>
        <v>5.2835051546391756E-3</v>
      </c>
      <c r="J1725" s="33" t="s">
        <v>116</v>
      </c>
    </row>
    <row r="1726" spans="1:10">
      <c r="A1726" s="33" t="s">
        <v>97</v>
      </c>
      <c r="B1726" s="34">
        <v>259.94</v>
      </c>
      <c r="C1726" s="35">
        <v>27160</v>
      </c>
      <c r="D1726" s="33" t="s">
        <v>240</v>
      </c>
      <c r="E1726" s="34">
        <v>260.02199999999999</v>
      </c>
      <c r="F1726" s="36">
        <v>8.1999999999993606E-2</v>
      </c>
      <c r="G1726" s="34">
        <v>8.1999999999993606E-2</v>
      </c>
      <c r="H1726" s="35">
        <v>12.9</v>
      </c>
      <c r="I1726" s="37">
        <f t="shared" si="26"/>
        <v>4.749631811487482E-4</v>
      </c>
      <c r="J1726" s="33"/>
    </row>
    <row r="1727" spans="1:10">
      <c r="A1727" s="33" t="s">
        <v>97</v>
      </c>
      <c r="B1727" s="34">
        <v>259.94</v>
      </c>
      <c r="C1727" s="35">
        <v>27160</v>
      </c>
      <c r="D1727" s="33" t="s">
        <v>284</v>
      </c>
      <c r="E1727" s="34">
        <v>260.04500000000002</v>
      </c>
      <c r="F1727" s="36">
        <v>0.105000000000018</v>
      </c>
      <c r="G1727" s="34">
        <v>0.105000000000018</v>
      </c>
      <c r="H1727" s="35">
        <v>0.4</v>
      </c>
      <c r="I1727" s="37">
        <f t="shared" si="26"/>
        <v>1.4727540500736378E-5</v>
      </c>
      <c r="J1727" s="33"/>
    </row>
    <row r="1728" spans="1:10">
      <c r="A1728" s="33" t="s">
        <v>97</v>
      </c>
      <c r="B1728" s="34">
        <v>259.94</v>
      </c>
      <c r="C1728" s="35">
        <v>27160</v>
      </c>
      <c r="D1728" s="33" t="s">
        <v>193</v>
      </c>
      <c r="E1728" s="34">
        <v>260.07299999999998</v>
      </c>
      <c r="F1728" s="36">
        <v>0.13299999999998099</v>
      </c>
      <c r="G1728" s="34">
        <v>0.13299999999998099</v>
      </c>
      <c r="H1728" s="35">
        <v>217.8</v>
      </c>
      <c r="I1728" s="37">
        <f t="shared" si="26"/>
        <v>8.0191458026509579E-3</v>
      </c>
      <c r="J1728" s="33"/>
    </row>
    <row r="1729" spans="1:10">
      <c r="A1729" s="33" t="s">
        <v>97</v>
      </c>
      <c r="B1729" s="34">
        <v>259.94</v>
      </c>
      <c r="C1729" s="35">
        <v>27160</v>
      </c>
      <c r="D1729" s="33" t="s">
        <v>274</v>
      </c>
      <c r="E1729" s="34">
        <v>260.07400000000001</v>
      </c>
      <c r="F1729" s="36">
        <v>0.134000000000015</v>
      </c>
      <c r="G1729" s="34">
        <v>0.134000000000015</v>
      </c>
      <c r="H1729" s="35">
        <v>78</v>
      </c>
      <c r="I1729" s="37">
        <f t="shared" si="26"/>
        <v>2.8718703976435937E-3</v>
      </c>
      <c r="J1729" s="33"/>
    </row>
    <row r="1730" spans="1:10">
      <c r="A1730" s="33" t="s">
        <v>97</v>
      </c>
      <c r="B1730" s="34">
        <v>259.94</v>
      </c>
      <c r="C1730" s="35">
        <v>27160</v>
      </c>
      <c r="D1730" s="33" t="s">
        <v>33</v>
      </c>
      <c r="E1730" s="34">
        <v>260.07600000000002</v>
      </c>
      <c r="F1730" s="36">
        <v>0.13600000000002399</v>
      </c>
      <c r="G1730" s="34">
        <v>0.13600000000002399</v>
      </c>
      <c r="H1730" s="35">
        <v>88.3</v>
      </c>
      <c r="I1730" s="37">
        <f t="shared" ref="I1730:I1793" si="27">H1730/C1730</f>
        <v>3.251104565537555E-3</v>
      </c>
      <c r="J1730" s="33" t="s">
        <v>116</v>
      </c>
    </row>
    <row r="1731" spans="1:10">
      <c r="A1731" s="33" t="s">
        <v>97</v>
      </c>
      <c r="B1731" s="34">
        <v>259.94</v>
      </c>
      <c r="C1731" s="35">
        <v>27160</v>
      </c>
      <c r="D1731" s="33" t="s">
        <v>279</v>
      </c>
      <c r="E1731" s="34">
        <v>260.08600000000001</v>
      </c>
      <c r="F1731" s="36">
        <v>0.14600000000001501</v>
      </c>
      <c r="G1731" s="34">
        <v>0.14600000000001501</v>
      </c>
      <c r="H1731" s="35">
        <v>1.9</v>
      </c>
      <c r="I1731" s="37">
        <f t="shared" si="27"/>
        <v>6.9955817378497789E-5</v>
      </c>
      <c r="J1731" s="33"/>
    </row>
    <row r="1732" spans="1:10">
      <c r="A1732" s="33" t="s">
        <v>97</v>
      </c>
      <c r="B1732" s="34">
        <v>259.94</v>
      </c>
      <c r="C1732" s="35">
        <v>27160</v>
      </c>
      <c r="D1732" s="33" t="s">
        <v>271</v>
      </c>
      <c r="E1732" s="34">
        <v>260.08800000000002</v>
      </c>
      <c r="F1732" s="36">
        <v>0.148000000000025</v>
      </c>
      <c r="G1732" s="34">
        <v>0.148000000000025</v>
      </c>
      <c r="H1732" s="35">
        <v>680.07</v>
      </c>
      <c r="I1732" s="37">
        <f t="shared" si="27"/>
        <v>2.5039396170839473E-2</v>
      </c>
      <c r="J1732" s="33"/>
    </row>
    <row r="1733" spans="1:10">
      <c r="A1733" s="33" t="s">
        <v>97</v>
      </c>
      <c r="B1733" s="34">
        <v>260.709</v>
      </c>
      <c r="C1733" s="35">
        <v>6040</v>
      </c>
      <c r="D1733" s="33" t="s">
        <v>54</v>
      </c>
      <c r="E1733" s="34">
        <v>260.58999999999997</v>
      </c>
      <c r="F1733" s="36">
        <v>0.119000000000028</v>
      </c>
      <c r="G1733" s="34">
        <v>0.119000000000028</v>
      </c>
      <c r="H1733" s="35">
        <v>30</v>
      </c>
      <c r="I1733" s="37">
        <f t="shared" si="27"/>
        <v>4.9668874172185433E-3</v>
      </c>
      <c r="J1733" s="33"/>
    </row>
    <row r="1734" spans="1:10">
      <c r="A1734" s="33" t="s">
        <v>97</v>
      </c>
      <c r="B1734" s="34">
        <v>260.709</v>
      </c>
      <c r="C1734" s="35">
        <v>6040</v>
      </c>
      <c r="D1734" s="33" t="s">
        <v>275</v>
      </c>
      <c r="E1734" s="34">
        <v>260.59100000000001</v>
      </c>
      <c r="F1734" s="36">
        <v>0.117999999999995</v>
      </c>
      <c r="G1734" s="34">
        <v>0.117999999999995</v>
      </c>
      <c r="H1734" s="35">
        <v>48.1</v>
      </c>
      <c r="I1734" s="37">
        <f t="shared" si="27"/>
        <v>7.9635761589403973E-3</v>
      </c>
      <c r="J1734" s="33"/>
    </row>
    <row r="1735" spans="1:10">
      <c r="A1735" s="33" t="s">
        <v>97</v>
      </c>
      <c r="B1735" s="34">
        <v>260.709</v>
      </c>
      <c r="C1735" s="35">
        <v>6040</v>
      </c>
      <c r="D1735" s="33" t="s">
        <v>274</v>
      </c>
      <c r="E1735" s="34">
        <v>260.59699999999998</v>
      </c>
      <c r="F1735" s="36">
        <v>0.112000000000023</v>
      </c>
      <c r="G1735" s="34">
        <v>0.112000000000023</v>
      </c>
      <c r="H1735" s="35">
        <v>28.9</v>
      </c>
      <c r="I1735" s="37">
        <f t="shared" si="27"/>
        <v>4.7847682119205297E-3</v>
      </c>
      <c r="J1735" s="33"/>
    </row>
    <row r="1736" spans="1:10">
      <c r="A1736" s="33" t="s">
        <v>97</v>
      </c>
      <c r="B1736" s="34">
        <v>260.709</v>
      </c>
      <c r="C1736" s="35">
        <v>6040</v>
      </c>
      <c r="D1736" s="33" t="s">
        <v>294</v>
      </c>
      <c r="E1736" s="34">
        <v>260.601</v>
      </c>
      <c r="F1736" s="36">
        <v>0.108000000000004</v>
      </c>
      <c r="G1736" s="34">
        <v>0.108000000000004</v>
      </c>
      <c r="H1736" s="35">
        <v>0.2</v>
      </c>
      <c r="I1736" s="37">
        <f t="shared" si="27"/>
        <v>3.3112582781456954E-5</v>
      </c>
      <c r="J1736" s="33"/>
    </row>
    <row r="1737" spans="1:10">
      <c r="A1737" s="33" t="s">
        <v>97</v>
      </c>
      <c r="B1737" s="34">
        <v>260.709</v>
      </c>
      <c r="C1737" s="35">
        <v>6040</v>
      </c>
      <c r="D1737" s="33" t="s">
        <v>239</v>
      </c>
      <c r="E1737" s="34">
        <v>260.60700000000003</v>
      </c>
      <c r="F1737" s="36">
        <v>0.101999999999975</v>
      </c>
      <c r="G1737" s="34">
        <v>0.101999999999975</v>
      </c>
      <c r="H1737" s="35">
        <v>8.6999999999999993</v>
      </c>
      <c r="I1737" s="37">
        <f t="shared" si="27"/>
        <v>1.4403973509933773E-3</v>
      </c>
      <c r="J1737" s="33"/>
    </row>
    <row r="1738" spans="1:10">
      <c r="A1738" s="33" t="s">
        <v>97</v>
      </c>
      <c r="B1738" s="34">
        <v>260.709</v>
      </c>
      <c r="C1738" s="35">
        <v>6040</v>
      </c>
      <c r="D1738" s="33" t="s">
        <v>269</v>
      </c>
      <c r="E1738" s="34">
        <v>260.63799999999998</v>
      </c>
      <c r="F1738" s="36">
        <v>7.1000000000026403E-2</v>
      </c>
      <c r="G1738" s="34">
        <v>7.1000000000026403E-2</v>
      </c>
      <c r="H1738" s="35">
        <v>2361.1</v>
      </c>
      <c r="I1738" s="37">
        <f t="shared" si="27"/>
        <v>0.39091059602649003</v>
      </c>
      <c r="J1738" s="33"/>
    </row>
    <row r="1739" spans="1:10">
      <c r="A1739" s="33" t="s">
        <v>97</v>
      </c>
      <c r="B1739" s="34">
        <v>260.709</v>
      </c>
      <c r="C1739" s="35">
        <v>6040</v>
      </c>
      <c r="D1739" s="33" t="s">
        <v>274</v>
      </c>
      <c r="E1739" s="34">
        <v>260.63900000000001</v>
      </c>
      <c r="F1739" s="36">
        <v>6.9999999999993207E-2</v>
      </c>
      <c r="G1739" s="34">
        <v>6.9999999999993207E-2</v>
      </c>
      <c r="H1739" s="35">
        <v>77.8</v>
      </c>
      <c r="I1739" s="37">
        <f t="shared" si="27"/>
        <v>1.2880794701986754E-2</v>
      </c>
      <c r="J1739" s="33"/>
    </row>
    <row r="1740" spans="1:10">
      <c r="A1740" s="33" t="s">
        <v>97</v>
      </c>
      <c r="B1740" s="34">
        <v>260.709</v>
      </c>
      <c r="C1740" s="35">
        <v>6040</v>
      </c>
      <c r="D1740" s="33" t="s">
        <v>193</v>
      </c>
      <c r="E1740" s="34">
        <v>260.64100000000002</v>
      </c>
      <c r="F1740" s="36">
        <v>6.7999999999983601E-2</v>
      </c>
      <c r="G1740" s="34">
        <v>6.7999999999983601E-2</v>
      </c>
      <c r="H1740" s="35">
        <v>129.69999999999999</v>
      </c>
      <c r="I1740" s="37">
        <f t="shared" si="27"/>
        <v>2.1473509933774833E-2</v>
      </c>
      <c r="J1740" s="33"/>
    </row>
    <row r="1741" spans="1:10">
      <c r="A1741" s="33" t="s">
        <v>97</v>
      </c>
      <c r="B1741" s="34">
        <v>260.709</v>
      </c>
      <c r="C1741" s="35">
        <v>6040</v>
      </c>
      <c r="D1741" s="33" t="s">
        <v>282</v>
      </c>
      <c r="E1741" s="34">
        <v>260.64400000000001</v>
      </c>
      <c r="F1741" s="36">
        <v>6.4999999999997699E-2</v>
      </c>
      <c r="G1741" s="34">
        <v>6.4999999999997699E-2</v>
      </c>
      <c r="H1741" s="35">
        <v>15.1</v>
      </c>
      <c r="I1741" s="37">
        <f t="shared" si="27"/>
        <v>2.5000000000000001E-3</v>
      </c>
      <c r="J1741" s="33"/>
    </row>
    <row r="1742" spans="1:10">
      <c r="A1742" s="33" t="s">
        <v>97</v>
      </c>
      <c r="B1742" s="34">
        <v>260.709</v>
      </c>
      <c r="C1742" s="35">
        <v>6040</v>
      </c>
      <c r="D1742" s="33" t="s">
        <v>97</v>
      </c>
      <c r="E1742" s="34">
        <v>260.65199999999999</v>
      </c>
      <c r="F1742" s="36">
        <v>5.7000000000016399E-2</v>
      </c>
      <c r="G1742" s="34">
        <v>5.7000000000016399E-2</v>
      </c>
      <c r="H1742" s="35">
        <v>15.6</v>
      </c>
      <c r="I1742" s="37">
        <f t="shared" si="27"/>
        <v>2.5827814569536422E-3</v>
      </c>
      <c r="J1742" s="33"/>
    </row>
    <row r="1743" spans="1:10">
      <c r="A1743" s="33" t="s">
        <v>97</v>
      </c>
      <c r="B1743" s="34">
        <v>260.709</v>
      </c>
      <c r="C1743" s="35">
        <v>6040</v>
      </c>
      <c r="D1743" s="33" t="s">
        <v>277</v>
      </c>
      <c r="E1743" s="34">
        <v>260.65199999999999</v>
      </c>
      <c r="F1743" s="36">
        <v>5.7000000000016399E-2</v>
      </c>
      <c r="G1743" s="34">
        <v>5.7000000000016399E-2</v>
      </c>
      <c r="H1743" s="35">
        <v>89.8</v>
      </c>
      <c r="I1743" s="37">
        <f t="shared" si="27"/>
        <v>1.4867549668874172E-2</v>
      </c>
      <c r="J1743" s="33"/>
    </row>
    <row r="1744" spans="1:10">
      <c r="A1744" s="33" t="s">
        <v>97</v>
      </c>
      <c r="B1744" s="34">
        <v>260.709</v>
      </c>
      <c r="C1744" s="35">
        <v>6040</v>
      </c>
      <c r="D1744" s="33" t="s">
        <v>239</v>
      </c>
      <c r="E1744" s="34">
        <v>260.65300000000002</v>
      </c>
      <c r="F1744" s="36">
        <v>5.5999999999983202E-2</v>
      </c>
      <c r="G1744" s="34">
        <v>5.5999999999983202E-2</v>
      </c>
      <c r="H1744" s="35">
        <v>21</v>
      </c>
      <c r="I1744" s="37">
        <f t="shared" si="27"/>
        <v>3.47682119205298E-3</v>
      </c>
      <c r="J1744" s="33"/>
    </row>
    <row r="1745" spans="1:10">
      <c r="A1745" s="33" t="s">
        <v>97</v>
      </c>
      <c r="B1745" s="34">
        <v>260.709</v>
      </c>
      <c r="C1745" s="35">
        <v>6040</v>
      </c>
      <c r="D1745" s="33" t="s">
        <v>277</v>
      </c>
      <c r="E1745" s="34">
        <v>260.673</v>
      </c>
      <c r="F1745" s="36">
        <v>3.6000000000001399E-2</v>
      </c>
      <c r="G1745" s="34">
        <v>3.6000000000001399E-2</v>
      </c>
      <c r="H1745" s="35">
        <v>86.9</v>
      </c>
      <c r="I1745" s="37">
        <f t="shared" si="27"/>
        <v>1.4387417218543048E-2</v>
      </c>
      <c r="J1745" s="33"/>
    </row>
    <row r="1746" spans="1:10">
      <c r="A1746" s="33" t="s">
        <v>97</v>
      </c>
      <c r="B1746" s="34">
        <v>260.709</v>
      </c>
      <c r="C1746" s="35">
        <v>6040</v>
      </c>
      <c r="D1746" s="33" t="s">
        <v>240</v>
      </c>
      <c r="E1746" s="34">
        <v>260.68400000000003</v>
      </c>
      <c r="F1746" s="36">
        <v>2.4999999999977301E-2</v>
      </c>
      <c r="G1746" s="34">
        <v>2.4999999999977301E-2</v>
      </c>
      <c r="H1746" s="35">
        <v>13.1</v>
      </c>
      <c r="I1746" s="37">
        <f t="shared" si="27"/>
        <v>2.1688741721854303E-3</v>
      </c>
      <c r="J1746" s="33"/>
    </row>
    <row r="1747" spans="1:10">
      <c r="A1747" s="33" t="s">
        <v>97</v>
      </c>
      <c r="B1747" s="34">
        <v>260.709</v>
      </c>
      <c r="C1747" s="35">
        <v>6040</v>
      </c>
      <c r="D1747" s="33" t="s">
        <v>274</v>
      </c>
      <c r="E1747" s="34">
        <v>260.69</v>
      </c>
      <c r="F1747" s="36">
        <v>1.9000000000005499E-2</v>
      </c>
      <c r="G1747" s="34">
        <v>1.9000000000005499E-2</v>
      </c>
      <c r="H1747" s="35">
        <v>40</v>
      </c>
      <c r="I1747" s="37">
        <f t="shared" si="27"/>
        <v>6.6225165562913907E-3</v>
      </c>
      <c r="J1747" s="33"/>
    </row>
    <row r="1748" spans="1:10">
      <c r="A1748" s="33" t="s">
        <v>97</v>
      </c>
      <c r="B1748" s="34">
        <v>260.709</v>
      </c>
      <c r="C1748" s="35">
        <v>6040</v>
      </c>
      <c r="D1748" s="33" t="s">
        <v>269</v>
      </c>
      <c r="E1748" s="34">
        <v>260.70299999999997</v>
      </c>
      <c r="F1748" s="36">
        <v>6.00000000002865E-3</v>
      </c>
      <c r="G1748" s="34">
        <v>6.00000000002865E-3</v>
      </c>
      <c r="H1748" s="35">
        <v>3631.5</v>
      </c>
      <c r="I1748" s="37">
        <f t="shared" si="27"/>
        <v>0.60124172185430469</v>
      </c>
      <c r="J1748" s="33"/>
    </row>
    <row r="1749" spans="1:10">
      <c r="A1749" s="33" t="s">
        <v>97</v>
      </c>
      <c r="B1749" s="34">
        <v>260.709</v>
      </c>
      <c r="C1749" s="35">
        <v>6040</v>
      </c>
      <c r="D1749" s="33" t="s">
        <v>239</v>
      </c>
      <c r="E1749" s="34">
        <v>260.70600000000002</v>
      </c>
      <c r="F1749" s="36">
        <v>2.9999999999858998E-3</v>
      </c>
      <c r="G1749" s="34">
        <v>2.9999999999858998E-3</v>
      </c>
      <c r="H1749" s="35">
        <v>12.4</v>
      </c>
      <c r="I1749" s="37">
        <f t="shared" si="27"/>
        <v>2.0529801324503313E-3</v>
      </c>
      <c r="J1749" s="33"/>
    </row>
    <row r="1750" spans="1:10">
      <c r="A1750" s="33" t="s">
        <v>97</v>
      </c>
      <c r="B1750" s="34">
        <v>260.709</v>
      </c>
      <c r="C1750" s="35">
        <v>6040</v>
      </c>
      <c r="D1750" s="33" t="s">
        <v>275</v>
      </c>
      <c r="E1750" s="34">
        <v>260.738</v>
      </c>
      <c r="F1750" s="36">
        <v>2.89999999999964E-2</v>
      </c>
      <c r="G1750" s="34">
        <v>2.89999999999964E-2</v>
      </c>
      <c r="H1750" s="35">
        <v>17.8</v>
      </c>
      <c r="I1750" s="37">
        <f t="shared" si="27"/>
        <v>2.9470198675496692E-3</v>
      </c>
      <c r="J1750" s="33"/>
    </row>
    <row r="1751" spans="1:10">
      <c r="A1751" s="33" t="s">
        <v>97</v>
      </c>
      <c r="B1751" s="34">
        <v>260.709</v>
      </c>
      <c r="C1751" s="35">
        <v>6040</v>
      </c>
      <c r="D1751" s="33" t="s">
        <v>274</v>
      </c>
      <c r="E1751" s="34">
        <v>260.738</v>
      </c>
      <c r="F1751" s="36">
        <v>2.89999999999964E-2</v>
      </c>
      <c r="G1751" s="34">
        <v>2.89999999999964E-2</v>
      </c>
      <c r="H1751" s="35">
        <v>27.8</v>
      </c>
      <c r="I1751" s="37">
        <f t="shared" si="27"/>
        <v>4.6026490066225171E-3</v>
      </c>
      <c r="J1751" s="33"/>
    </row>
    <row r="1752" spans="1:10">
      <c r="A1752" s="33" t="s">
        <v>97</v>
      </c>
      <c r="B1752" s="34">
        <v>260.709</v>
      </c>
      <c r="C1752" s="35">
        <v>6040</v>
      </c>
      <c r="D1752" s="33" t="s">
        <v>271</v>
      </c>
      <c r="E1752" s="34">
        <v>260.74799999999999</v>
      </c>
      <c r="F1752" s="36">
        <v>3.8999999999987302E-2</v>
      </c>
      <c r="G1752" s="34">
        <v>3.8999999999987302E-2</v>
      </c>
      <c r="H1752" s="35">
        <v>419</v>
      </c>
      <c r="I1752" s="37">
        <f t="shared" si="27"/>
        <v>6.937086092715232E-2</v>
      </c>
      <c r="J1752" s="33"/>
    </row>
    <row r="1753" spans="1:10">
      <c r="A1753" s="33" t="s">
        <v>97</v>
      </c>
      <c r="B1753" s="34">
        <v>260.709</v>
      </c>
      <c r="C1753" s="35">
        <v>6040</v>
      </c>
      <c r="D1753" s="33" t="s">
        <v>290</v>
      </c>
      <c r="E1753" s="34">
        <v>260.75099999999998</v>
      </c>
      <c r="F1753" s="36">
        <v>4.1999999999973198E-2</v>
      </c>
      <c r="G1753" s="34">
        <v>4.1999999999973198E-2</v>
      </c>
      <c r="H1753" s="35">
        <v>8.1</v>
      </c>
      <c r="I1753" s="37">
        <f t="shared" si="27"/>
        <v>1.3410596026490066E-3</v>
      </c>
      <c r="J1753" s="33"/>
    </row>
    <row r="1754" spans="1:10">
      <c r="A1754" s="33" t="s">
        <v>97</v>
      </c>
      <c r="B1754" s="34">
        <v>260.709</v>
      </c>
      <c r="C1754" s="35">
        <v>6040</v>
      </c>
      <c r="D1754" s="33" t="s">
        <v>193</v>
      </c>
      <c r="E1754" s="34">
        <v>260.78399999999999</v>
      </c>
      <c r="F1754" s="36">
        <v>7.4999999999988604E-2</v>
      </c>
      <c r="G1754" s="34">
        <v>7.4999999999988604E-2</v>
      </c>
      <c r="H1754" s="35">
        <v>268.89999999999998</v>
      </c>
      <c r="I1754" s="37">
        <f t="shared" si="27"/>
        <v>4.4519867549668871E-2</v>
      </c>
      <c r="J1754" s="33"/>
    </row>
    <row r="1755" spans="1:10">
      <c r="A1755" s="33" t="s">
        <v>97</v>
      </c>
      <c r="B1755" s="34">
        <v>260.709</v>
      </c>
      <c r="C1755" s="35">
        <v>6040</v>
      </c>
      <c r="D1755" s="33" t="s">
        <v>239</v>
      </c>
      <c r="E1755" s="34">
        <v>260.79000000000002</v>
      </c>
      <c r="F1755" s="36">
        <v>8.1000000000017294E-2</v>
      </c>
      <c r="G1755" s="34">
        <v>8.1000000000017294E-2</v>
      </c>
      <c r="H1755" s="35">
        <v>85.3</v>
      </c>
      <c r="I1755" s="37">
        <f t="shared" si="27"/>
        <v>1.412251655629139E-2</v>
      </c>
      <c r="J1755" s="33"/>
    </row>
    <row r="1756" spans="1:10">
      <c r="A1756" s="33" t="s">
        <v>97</v>
      </c>
      <c r="B1756" s="34">
        <v>260.709</v>
      </c>
      <c r="C1756" s="35">
        <v>6040</v>
      </c>
      <c r="D1756" s="33" t="s">
        <v>268</v>
      </c>
      <c r="E1756" s="34">
        <v>260.79199999999997</v>
      </c>
      <c r="F1756" s="36">
        <v>8.2999999999970001E-2</v>
      </c>
      <c r="G1756" s="34">
        <v>8.2999999999970001E-2</v>
      </c>
      <c r="H1756" s="35">
        <v>28.5</v>
      </c>
      <c r="I1756" s="37">
        <f t="shared" si="27"/>
        <v>4.7185430463576161E-3</v>
      </c>
      <c r="J1756" s="33"/>
    </row>
    <row r="1757" spans="1:10">
      <c r="A1757" s="33" t="s">
        <v>97</v>
      </c>
      <c r="B1757" s="34">
        <v>260.709</v>
      </c>
      <c r="C1757" s="35">
        <v>6040</v>
      </c>
      <c r="D1757" s="33" t="s">
        <v>278</v>
      </c>
      <c r="E1757" s="34">
        <v>260.79700000000003</v>
      </c>
      <c r="F1757" s="36">
        <v>8.8000000000022296E-2</v>
      </c>
      <c r="G1757" s="34">
        <v>8.8000000000022296E-2</v>
      </c>
      <c r="H1757" s="35">
        <v>13.8</v>
      </c>
      <c r="I1757" s="37">
        <f t="shared" si="27"/>
        <v>2.2847682119205301E-3</v>
      </c>
      <c r="J1757" s="33"/>
    </row>
    <row r="1758" spans="1:10">
      <c r="A1758" s="33" t="s">
        <v>97</v>
      </c>
      <c r="B1758" s="34">
        <v>260.709</v>
      </c>
      <c r="C1758" s="35">
        <v>6040</v>
      </c>
      <c r="D1758" s="33" t="s">
        <v>239</v>
      </c>
      <c r="E1758" s="34">
        <v>260.81599999999997</v>
      </c>
      <c r="F1758" s="36">
        <v>0.10699999999997099</v>
      </c>
      <c r="G1758" s="34">
        <v>0.10699999999997099</v>
      </c>
      <c r="H1758" s="35">
        <v>8</v>
      </c>
      <c r="I1758" s="37">
        <f t="shared" si="27"/>
        <v>1.3245033112582781E-3</v>
      </c>
      <c r="J1758" s="33"/>
    </row>
    <row r="1759" spans="1:10">
      <c r="A1759" s="33" t="s">
        <v>97</v>
      </c>
      <c r="B1759" s="34">
        <v>260.709</v>
      </c>
      <c r="C1759" s="35">
        <v>6040</v>
      </c>
      <c r="D1759" s="33" t="s">
        <v>277</v>
      </c>
      <c r="E1759" s="34">
        <v>260.82</v>
      </c>
      <c r="F1759" s="36">
        <v>0.11099999999999</v>
      </c>
      <c r="G1759" s="34">
        <v>0.11099999999999</v>
      </c>
      <c r="H1759" s="35">
        <v>59.8</v>
      </c>
      <c r="I1759" s="37">
        <f t="shared" si="27"/>
        <v>9.9006622516556279E-3</v>
      </c>
      <c r="J1759" s="33"/>
    </row>
    <row r="1760" spans="1:10">
      <c r="A1760" s="33" t="s">
        <v>97</v>
      </c>
      <c r="B1760" s="34">
        <v>260.709</v>
      </c>
      <c r="C1760" s="35">
        <v>6040</v>
      </c>
      <c r="D1760" s="33" t="s">
        <v>290</v>
      </c>
      <c r="E1760" s="34">
        <v>260.82499999999999</v>
      </c>
      <c r="F1760" s="36">
        <v>0.115999999999985</v>
      </c>
      <c r="G1760" s="34">
        <v>0.115999999999985</v>
      </c>
      <c r="H1760" s="35">
        <v>19.7</v>
      </c>
      <c r="I1760" s="37">
        <f t="shared" si="27"/>
        <v>3.2615894039735097E-3</v>
      </c>
      <c r="J1760" s="33"/>
    </row>
    <row r="1761" spans="1:10">
      <c r="A1761" s="33" t="s">
        <v>97</v>
      </c>
      <c r="B1761" s="34">
        <v>260.709</v>
      </c>
      <c r="C1761" s="35">
        <v>6040</v>
      </c>
      <c r="D1761" s="33" t="s">
        <v>271</v>
      </c>
      <c r="E1761" s="34">
        <v>260.83199999999999</v>
      </c>
      <c r="F1761" s="36">
        <v>0.12299999999999101</v>
      </c>
      <c r="G1761" s="34">
        <v>0.12299999999999101</v>
      </c>
      <c r="H1761" s="35">
        <v>37.200000000000003</v>
      </c>
      <c r="I1761" s="37">
        <f t="shared" si="27"/>
        <v>6.158940397350994E-3</v>
      </c>
      <c r="J1761" s="33"/>
    </row>
    <row r="1762" spans="1:10">
      <c r="A1762" s="33" t="s">
        <v>97</v>
      </c>
      <c r="B1762" s="34">
        <v>260.709</v>
      </c>
      <c r="C1762" s="35">
        <v>6040</v>
      </c>
      <c r="D1762" s="33" t="s">
        <v>274</v>
      </c>
      <c r="E1762" s="34">
        <v>260.83199999999999</v>
      </c>
      <c r="F1762" s="36">
        <v>0.12299999999999101</v>
      </c>
      <c r="G1762" s="34">
        <v>0.12299999999999101</v>
      </c>
      <c r="H1762" s="35">
        <v>29.2</v>
      </c>
      <c r="I1762" s="37">
        <f t="shared" si="27"/>
        <v>4.834437086092715E-3</v>
      </c>
      <c r="J1762" s="33"/>
    </row>
    <row r="1763" spans="1:10">
      <c r="A1763" s="33" t="s">
        <v>97</v>
      </c>
      <c r="B1763" s="34">
        <v>260.709</v>
      </c>
      <c r="C1763" s="35">
        <v>6040</v>
      </c>
      <c r="D1763" s="33" t="s">
        <v>269</v>
      </c>
      <c r="E1763" s="34">
        <v>260.84500000000003</v>
      </c>
      <c r="F1763" s="36">
        <v>0.13600000000002399</v>
      </c>
      <c r="G1763" s="34">
        <v>0.13600000000002399</v>
      </c>
      <c r="H1763" s="35">
        <v>11.3</v>
      </c>
      <c r="I1763" s="37">
        <f t="shared" si="27"/>
        <v>1.870860927152318E-3</v>
      </c>
      <c r="J1763" s="33"/>
    </row>
    <row r="1764" spans="1:10">
      <c r="A1764" s="33" t="s">
        <v>97</v>
      </c>
      <c r="B1764" s="34">
        <v>260.709</v>
      </c>
      <c r="C1764" s="35">
        <v>6040</v>
      </c>
      <c r="D1764" s="33" t="s">
        <v>279</v>
      </c>
      <c r="E1764" s="34">
        <v>260.85000000000002</v>
      </c>
      <c r="F1764" s="36">
        <v>0.14100000000002</v>
      </c>
      <c r="G1764" s="34">
        <v>0.14100000000002</v>
      </c>
      <c r="H1764" s="35">
        <v>288.7</v>
      </c>
      <c r="I1764" s="37">
        <f t="shared" si="27"/>
        <v>4.7798013245033112E-2</v>
      </c>
      <c r="J1764" s="33"/>
    </row>
    <row r="1765" spans="1:10">
      <c r="A1765" s="33" t="s">
        <v>97</v>
      </c>
      <c r="B1765" s="34">
        <v>260.709</v>
      </c>
      <c r="C1765" s="35">
        <v>6040</v>
      </c>
      <c r="D1765" s="33" t="s">
        <v>279</v>
      </c>
      <c r="E1765" s="34">
        <v>260.85000000000002</v>
      </c>
      <c r="F1765" s="36">
        <v>0.14100000000002</v>
      </c>
      <c r="G1765" s="34">
        <v>0.14100000000002</v>
      </c>
      <c r="H1765" s="35">
        <v>354.9</v>
      </c>
      <c r="I1765" s="37">
        <f t="shared" si="27"/>
        <v>5.8758278145695363E-2</v>
      </c>
      <c r="J1765" s="33"/>
    </row>
    <row r="1766" spans="1:10">
      <c r="A1766" s="33" t="s">
        <v>97</v>
      </c>
      <c r="B1766" s="34">
        <v>260.709</v>
      </c>
      <c r="C1766" s="35">
        <v>6040</v>
      </c>
      <c r="D1766" s="33" t="s">
        <v>306</v>
      </c>
      <c r="E1766" s="34">
        <v>260.85599999999999</v>
      </c>
      <c r="F1766" s="36">
        <v>0.146999999999991</v>
      </c>
      <c r="G1766" s="34">
        <v>0.146999999999991</v>
      </c>
      <c r="H1766" s="35">
        <v>9.4</v>
      </c>
      <c r="I1766" s="37">
        <f t="shared" si="27"/>
        <v>1.5562913907284769E-3</v>
      </c>
      <c r="J1766" s="33"/>
    </row>
    <row r="1767" spans="1:10">
      <c r="A1767" s="33" t="s">
        <v>97</v>
      </c>
      <c r="B1767" s="34">
        <v>260.709</v>
      </c>
      <c r="C1767" s="35">
        <v>6040</v>
      </c>
      <c r="D1767" s="33" t="s">
        <v>306</v>
      </c>
      <c r="E1767" s="34">
        <v>260.85599999999999</v>
      </c>
      <c r="F1767" s="36">
        <v>0.146999999999991</v>
      </c>
      <c r="G1767" s="34">
        <v>0.146999999999991</v>
      </c>
      <c r="H1767" s="35">
        <v>16</v>
      </c>
      <c r="I1767" s="37">
        <f t="shared" si="27"/>
        <v>2.6490066225165563E-3</v>
      </c>
      <c r="J1767" s="33"/>
    </row>
    <row r="1768" spans="1:10">
      <c r="A1768" s="33" t="s">
        <v>97</v>
      </c>
      <c r="B1768" s="34">
        <v>260.709</v>
      </c>
      <c r="C1768" s="35">
        <v>6040</v>
      </c>
      <c r="D1768" s="33" t="s">
        <v>201</v>
      </c>
      <c r="E1768" s="34">
        <v>260.85700000000003</v>
      </c>
      <c r="F1768" s="36">
        <v>0.148000000000025</v>
      </c>
      <c r="G1768" s="34">
        <v>0.148000000000025</v>
      </c>
      <c r="H1768" s="35">
        <v>90.9</v>
      </c>
      <c r="I1768" s="37">
        <f t="shared" si="27"/>
        <v>1.5049668874172186E-2</v>
      </c>
      <c r="J1768" s="33"/>
    </row>
    <row r="1769" spans="1:10">
      <c r="A1769" s="33" t="s">
        <v>97</v>
      </c>
      <c r="B1769" s="34">
        <v>260.709</v>
      </c>
      <c r="C1769" s="35">
        <v>6040</v>
      </c>
      <c r="D1769" s="33" t="s">
        <v>193</v>
      </c>
      <c r="E1769" s="34">
        <v>260.863</v>
      </c>
      <c r="F1769" s="36">
        <v>0.153999999999996</v>
      </c>
      <c r="G1769" s="34">
        <v>0.153999999999996</v>
      </c>
      <c r="H1769" s="35">
        <v>134.47</v>
      </c>
      <c r="I1769" s="37">
        <f t="shared" si="27"/>
        <v>2.2263245033112583E-2</v>
      </c>
      <c r="J1769" s="33"/>
    </row>
    <row r="1770" spans="1:10">
      <c r="A1770" s="33" t="s">
        <v>97</v>
      </c>
      <c r="B1770" s="34">
        <v>261.18700000000001</v>
      </c>
      <c r="C1770" s="35">
        <v>8669.2000000000007</v>
      </c>
      <c r="D1770" s="33" t="s">
        <v>273</v>
      </c>
      <c r="E1770" s="34">
        <v>261.02699999999999</v>
      </c>
      <c r="F1770" s="36">
        <v>0.16000000000002501</v>
      </c>
      <c r="G1770" s="34">
        <v>0.16000000000002501</v>
      </c>
      <c r="H1770" s="35">
        <v>9.4</v>
      </c>
      <c r="I1770" s="37">
        <f t="shared" si="27"/>
        <v>1.0842984358418308E-3</v>
      </c>
      <c r="J1770" s="33"/>
    </row>
    <row r="1771" spans="1:10">
      <c r="A1771" s="33" t="s">
        <v>97</v>
      </c>
      <c r="B1771" s="34">
        <v>261.18700000000001</v>
      </c>
      <c r="C1771" s="35">
        <v>8669.2000000000007</v>
      </c>
      <c r="D1771" s="33" t="s">
        <v>133</v>
      </c>
      <c r="E1771" s="34">
        <v>261.03500000000003</v>
      </c>
      <c r="F1771" s="36">
        <v>0.15199999999998701</v>
      </c>
      <c r="G1771" s="34">
        <v>0.15199999999998701</v>
      </c>
      <c r="H1771" s="35">
        <v>1704.6</v>
      </c>
      <c r="I1771" s="37">
        <f t="shared" si="27"/>
        <v>0.19662713975914731</v>
      </c>
      <c r="J1771" s="33"/>
    </row>
    <row r="1772" spans="1:10">
      <c r="A1772" s="33" t="s">
        <v>97</v>
      </c>
      <c r="B1772" s="34">
        <v>261.18700000000001</v>
      </c>
      <c r="C1772" s="35">
        <v>8669.2000000000007</v>
      </c>
      <c r="D1772" s="33" t="s">
        <v>94</v>
      </c>
      <c r="E1772" s="34">
        <v>261.05099999999999</v>
      </c>
      <c r="F1772" s="36">
        <v>0.13600000000000001</v>
      </c>
      <c r="G1772" s="34">
        <v>0.13600000000000001</v>
      </c>
      <c r="H1772" s="35">
        <v>108.8</v>
      </c>
      <c r="I1772" s="37">
        <f t="shared" si="27"/>
        <v>1.255017764038204E-2</v>
      </c>
      <c r="J1772" s="33" t="s">
        <v>116</v>
      </c>
    </row>
    <row r="1773" spans="1:10">
      <c r="A1773" s="33" t="s">
        <v>97</v>
      </c>
      <c r="B1773" s="34">
        <v>261.18700000000001</v>
      </c>
      <c r="C1773" s="35">
        <v>8669.2000000000007</v>
      </c>
      <c r="D1773" s="33" t="s">
        <v>278</v>
      </c>
      <c r="E1773" s="34">
        <v>261.05599999999998</v>
      </c>
      <c r="F1773" s="36">
        <v>0.13100000000002901</v>
      </c>
      <c r="G1773" s="34">
        <v>0.13100000000002901</v>
      </c>
      <c r="H1773" s="35">
        <v>3.7</v>
      </c>
      <c r="I1773" s="37">
        <f t="shared" si="27"/>
        <v>4.2679832049093342E-4</v>
      </c>
      <c r="J1773" s="33"/>
    </row>
    <row r="1774" spans="1:10">
      <c r="A1774" s="33" t="s">
        <v>97</v>
      </c>
      <c r="B1774" s="34">
        <v>261.18700000000001</v>
      </c>
      <c r="C1774" s="35">
        <v>8669.2000000000007</v>
      </c>
      <c r="D1774" s="33" t="s">
        <v>54</v>
      </c>
      <c r="E1774" s="34">
        <v>261.072</v>
      </c>
      <c r="F1774" s="36">
        <v>0.115000000000009</v>
      </c>
      <c r="G1774" s="34">
        <v>0.115000000000009</v>
      </c>
      <c r="H1774" s="35">
        <v>21</v>
      </c>
      <c r="I1774" s="37">
        <f t="shared" si="27"/>
        <v>2.4223688460296221E-3</v>
      </c>
      <c r="J1774" s="33"/>
    </row>
    <row r="1775" spans="1:10">
      <c r="A1775" s="33" t="s">
        <v>97</v>
      </c>
      <c r="B1775" s="34">
        <v>261.18700000000001</v>
      </c>
      <c r="C1775" s="35">
        <v>8669.2000000000007</v>
      </c>
      <c r="D1775" s="33" t="s">
        <v>284</v>
      </c>
      <c r="E1775" s="34">
        <v>261.07900000000001</v>
      </c>
      <c r="F1775" s="36">
        <v>0.108000000000004</v>
      </c>
      <c r="G1775" s="34">
        <v>0.108000000000004</v>
      </c>
      <c r="H1775" s="35">
        <v>1.4</v>
      </c>
      <c r="I1775" s="37">
        <f t="shared" si="27"/>
        <v>1.6149125640197478E-4</v>
      </c>
      <c r="J1775" s="33"/>
    </row>
    <row r="1776" spans="1:10">
      <c r="A1776" s="33" t="s">
        <v>97</v>
      </c>
      <c r="B1776" s="34">
        <v>261.18700000000001</v>
      </c>
      <c r="C1776" s="35">
        <v>8669.2000000000007</v>
      </c>
      <c r="D1776" s="33" t="s">
        <v>239</v>
      </c>
      <c r="E1776" s="34">
        <v>261.08</v>
      </c>
      <c r="F1776" s="36">
        <v>0.107000000000028</v>
      </c>
      <c r="G1776" s="34">
        <v>0.107000000000028</v>
      </c>
      <c r="H1776" s="35">
        <v>11.3</v>
      </c>
      <c r="I1776" s="37">
        <f t="shared" si="27"/>
        <v>1.3034651409587967E-3</v>
      </c>
      <c r="J1776" s="33"/>
    </row>
    <row r="1777" spans="1:10">
      <c r="A1777" s="33" t="s">
        <v>97</v>
      </c>
      <c r="B1777" s="34">
        <v>261.18700000000001</v>
      </c>
      <c r="C1777" s="35">
        <v>8669.2000000000007</v>
      </c>
      <c r="D1777" s="33" t="s">
        <v>239</v>
      </c>
      <c r="E1777" s="34">
        <v>261.10199999999998</v>
      </c>
      <c r="F1777" s="36">
        <v>8.5000000000036394E-2</v>
      </c>
      <c r="G1777" s="34">
        <v>8.5000000000036394E-2</v>
      </c>
      <c r="H1777" s="35">
        <v>9.1</v>
      </c>
      <c r="I1777" s="37">
        <f t="shared" si="27"/>
        <v>1.0496931666128361E-3</v>
      </c>
      <c r="J1777" s="33"/>
    </row>
    <row r="1778" spans="1:10">
      <c r="A1778" s="33" t="s">
        <v>97</v>
      </c>
      <c r="B1778" s="34">
        <v>261.18700000000001</v>
      </c>
      <c r="C1778" s="35">
        <v>8669.2000000000007</v>
      </c>
      <c r="D1778" s="33" t="s">
        <v>268</v>
      </c>
      <c r="E1778" s="34">
        <v>261.10399999999998</v>
      </c>
      <c r="F1778" s="36">
        <v>8.3000000000026802E-2</v>
      </c>
      <c r="G1778" s="34">
        <v>8.3000000000026802E-2</v>
      </c>
      <c r="H1778" s="35">
        <v>11.1</v>
      </c>
      <c r="I1778" s="37">
        <f t="shared" si="27"/>
        <v>1.2803949614728001E-3</v>
      </c>
      <c r="J1778" s="33"/>
    </row>
    <row r="1779" spans="1:10">
      <c r="A1779" s="33" t="s">
        <v>97</v>
      </c>
      <c r="B1779" s="34">
        <v>261.18700000000001</v>
      </c>
      <c r="C1779" s="35">
        <v>8669.2000000000007</v>
      </c>
      <c r="D1779" s="33" t="s">
        <v>97</v>
      </c>
      <c r="E1779" s="34">
        <v>261.10700000000003</v>
      </c>
      <c r="F1779" s="36">
        <v>7.9999999999984098E-2</v>
      </c>
      <c r="G1779" s="34">
        <v>7.9999999999984098E-2</v>
      </c>
      <c r="H1779" s="35">
        <v>775</v>
      </c>
      <c r="I1779" s="37">
        <f t="shared" si="27"/>
        <v>8.9396945508236042E-2</v>
      </c>
      <c r="J1779" s="33"/>
    </row>
    <row r="1780" spans="1:10">
      <c r="A1780" s="33" t="s">
        <v>97</v>
      </c>
      <c r="B1780" s="34">
        <v>261.18700000000001</v>
      </c>
      <c r="C1780" s="35">
        <v>8669.2000000000007</v>
      </c>
      <c r="D1780" s="33" t="s">
        <v>275</v>
      </c>
      <c r="E1780" s="34">
        <v>261.11599999999999</v>
      </c>
      <c r="F1780" s="36">
        <v>7.1000000000026403E-2</v>
      </c>
      <c r="G1780" s="34">
        <v>7.1000000000026403E-2</v>
      </c>
      <c r="H1780" s="35">
        <v>16.899999999999999</v>
      </c>
      <c r="I1780" s="37">
        <f t="shared" si="27"/>
        <v>1.9494301665666956E-3</v>
      </c>
      <c r="J1780" s="33"/>
    </row>
    <row r="1781" spans="1:10">
      <c r="A1781" s="33" t="s">
        <v>97</v>
      </c>
      <c r="B1781" s="34">
        <v>261.18700000000001</v>
      </c>
      <c r="C1781" s="35">
        <v>8669.2000000000007</v>
      </c>
      <c r="D1781" s="33" t="s">
        <v>184</v>
      </c>
      <c r="E1781" s="34">
        <v>261.11900000000003</v>
      </c>
      <c r="F1781" s="36">
        <v>6.7999999999983601E-2</v>
      </c>
      <c r="G1781" s="34">
        <v>6.7999999999983601E-2</v>
      </c>
      <c r="H1781" s="35">
        <v>184.6</v>
      </c>
      <c r="I1781" s="37">
        <f t="shared" si="27"/>
        <v>2.1293775665574676E-2</v>
      </c>
      <c r="J1781" s="33"/>
    </row>
    <row r="1782" spans="1:10">
      <c r="A1782" s="33" t="s">
        <v>97</v>
      </c>
      <c r="B1782" s="34">
        <v>261.18700000000001</v>
      </c>
      <c r="C1782" s="35">
        <v>8669.2000000000007</v>
      </c>
      <c r="D1782" s="33" t="s">
        <v>290</v>
      </c>
      <c r="E1782" s="34">
        <v>261.12900000000002</v>
      </c>
      <c r="F1782" s="36">
        <v>5.7999999999992703E-2</v>
      </c>
      <c r="G1782" s="34">
        <v>5.7999999999992703E-2</v>
      </c>
      <c r="H1782" s="35">
        <v>107.5</v>
      </c>
      <c r="I1782" s="37">
        <f t="shared" si="27"/>
        <v>1.2400221473723064E-2</v>
      </c>
      <c r="J1782" s="33"/>
    </row>
    <row r="1783" spans="1:10">
      <c r="A1783" s="33" t="s">
        <v>97</v>
      </c>
      <c r="B1783" s="34">
        <v>261.18700000000001</v>
      </c>
      <c r="C1783" s="35">
        <v>8669.2000000000007</v>
      </c>
      <c r="D1783" s="33" t="s">
        <v>237</v>
      </c>
      <c r="E1783" s="34">
        <v>261.12900000000002</v>
      </c>
      <c r="F1783" s="36">
        <v>5.7999999999992703E-2</v>
      </c>
      <c r="G1783" s="34">
        <v>5.7999999999992703E-2</v>
      </c>
      <c r="H1783" s="35">
        <v>142.80000000000001</v>
      </c>
      <c r="I1783" s="37">
        <f t="shared" si="27"/>
        <v>1.647210815300143E-2</v>
      </c>
      <c r="J1783" s="33"/>
    </row>
    <row r="1784" spans="1:10">
      <c r="A1784" s="33" t="s">
        <v>97</v>
      </c>
      <c r="B1784" s="34">
        <v>261.18700000000001</v>
      </c>
      <c r="C1784" s="35">
        <v>8669.2000000000007</v>
      </c>
      <c r="D1784" s="33" t="s">
        <v>284</v>
      </c>
      <c r="E1784" s="34">
        <v>261.13299999999998</v>
      </c>
      <c r="F1784" s="36">
        <v>5.4000000000030503E-2</v>
      </c>
      <c r="G1784" s="34">
        <v>5.4000000000030503E-2</v>
      </c>
      <c r="H1784" s="35">
        <v>0.5</v>
      </c>
      <c r="I1784" s="37">
        <f t="shared" si="27"/>
        <v>5.7675448714990998E-5</v>
      </c>
      <c r="J1784" s="33"/>
    </row>
    <row r="1785" spans="1:10">
      <c r="A1785" s="33" t="s">
        <v>97</v>
      </c>
      <c r="B1785" s="34">
        <v>261.18700000000001</v>
      </c>
      <c r="C1785" s="35">
        <v>8669.2000000000007</v>
      </c>
      <c r="D1785" s="33" t="s">
        <v>193</v>
      </c>
      <c r="E1785" s="34">
        <v>261.13400000000001</v>
      </c>
      <c r="F1785" s="36">
        <v>5.2999999999997299E-2</v>
      </c>
      <c r="G1785" s="34">
        <v>5.2999999999997299E-2</v>
      </c>
      <c r="H1785" s="35">
        <v>22.2</v>
      </c>
      <c r="I1785" s="37">
        <f t="shared" si="27"/>
        <v>2.5607899229456001E-3</v>
      </c>
      <c r="J1785" s="33"/>
    </row>
    <row r="1786" spans="1:10">
      <c r="A1786" s="33" t="s">
        <v>97</v>
      </c>
      <c r="B1786" s="34">
        <v>261.18700000000001</v>
      </c>
      <c r="C1786" s="35">
        <v>8669.2000000000007</v>
      </c>
      <c r="D1786" s="33" t="s">
        <v>278</v>
      </c>
      <c r="E1786" s="34">
        <v>261.14499999999998</v>
      </c>
      <c r="F1786" s="36">
        <v>4.2000000000029999E-2</v>
      </c>
      <c r="G1786" s="34">
        <v>4.2000000000029999E-2</v>
      </c>
      <c r="H1786" s="35">
        <v>42</v>
      </c>
      <c r="I1786" s="37">
        <f t="shared" si="27"/>
        <v>4.8447376920592441E-3</v>
      </c>
      <c r="J1786" s="33"/>
    </row>
    <row r="1787" spans="1:10">
      <c r="A1787" s="33" t="s">
        <v>97</v>
      </c>
      <c r="B1787" s="34">
        <v>261.18700000000001</v>
      </c>
      <c r="C1787" s="35">
        <v>8669.2000000000007</v>
      </c>
      <c r="D1787" s="33" t="s">
        <v>279</v>
      </c>
      <c r="E1787" s="34">
        <v>261.154</v>
      </c>
      <c r="F1787" s="36">
        <v>3.3000000000015503E-2</v>
      </c>
      <c r="G1787" s="34">
        <v>3.3000000000015503E-2</v>
      </c>
      <c r="H1787" s="35">
        <v>35.5</v>
      </c>
      <c r="I1787" s="37">
        <f t="shared" si="27"/>
        <v>4.0949568587643611E-3</v>
      </c>
      <c r="J1787" s="33"/>
    </row>
    <row r="1788" spans="1:10">
      <c r="A1788" s="33" t="s">
        <v>97</v>
      </c>
      <c r="B1788" s="34">
        <v>261.18700000000001</v>
      </c>
      <c r="C1788" s="35">
        <v>8669.2000000000007</v>
      </c>
      <c r="D1788" s="33" t="s">
        <v>239</v>
      </c>
      <c r="E1788" s="34">
        <v>261.16199999999998</v>
      </c>
      <c r="F1788" s="36">
        <v>2.5000000000034099E-2</v>
      </c>
      <c r="G1788" s="34">
        <v>2.5000000000034099E-2</v>
      </c>
      <c r="H1788" s="35">
        <v>12.2</v>
      </c>
      <c r="I1788" s="37">
        <f t="shared" si="27"/>
        <v>1.4072809486457803E-3</v>
      </c>
      <c r="J1788" s="33"/>
    </row>
    <row r="1789" spans="1:10">
      <c r="A1789" s="33" t="s">
        <v>97</v>
      </c>
      <c r="B1789" s="34">
        <v>261.18700000000001</v>
      </c>
      <c r="C1789" s="35">
        <v>8669.2000000000007</v>
      </c>
      <c r="D1789" s="33" t="s">
        <v>271</v>
      </c>
      <c r="E1789" s="34">
        <v>261.16300000000001</v>
      </c>
      <c r="F1789" s="36">
        <v>2.4000000000000899E-2</v>
      </c>
      <c r="G1789" s="34">
        <v>2.4000000000000899E-2</v>
      </c>
      <c r="H1789" s="35">
        <v>69.2</v>
      </c>
      <c r="I1789" s="37">
        <f t="shared" si="27"/>
        <v>7.9822821021547537E-3</v>
      </c>
      <c r="J1789" s="33"/>
    </row>
    <row r="1790" spans="1:10">
      <c r="A1790" s="33" t="s">
        <v>97</v>
      </c>
      <c r="B1790" s="34">
        <v>261.18700000000001</v>
      </c>
      <c r="C1790" s="35">
        <v>8669.2000000000007</v>
      </c>
      <c r="D1790" s="33" t="s">
        <v>290</v>
      </c>
      <c r="E1790" s="34">
        <v>261.20400000000001</v>
      </c>
      <c r="F1790" s="36">
        <v>1.69999999999959E-2</v>
      </c>
      <c r="G1790" s="34">
        <v>1.69999999999959E-2</v>
      </c>
      <c r="H1790" s="35">
        <v>3.8</v>
      </c>
      <c r="I1790" s="37">
        <f t="shared" si="27"/>
        <v>4.3833341023393157E-4</v>
      </c>
      <c r="J1790" s="33"/>
    </row>
    <row r="1791" spans="1:10">
      <c r="A1791" s="33" t="s">
        <v>97</v>
      </c>
      <c r="B1791" s="34">
        <v>261.18700000000001</v>
      </c>
      <c r="C1791" s="35">
        <v>8669.2000000000007</v>
      </c>
      <c r="D1791" s="33" t="s">
        <v>268</v>
      </c>
      <c r="E1791" s="34">
        <v>261.20600000000002</v>
      </c>
      <c r="F1791" s="36">
        <v>1.9000000000005499E-2</v>
      </c>
      <c r="G1791" s="34">
        <v>1.9000000000005499E-2</v>
      </c>
      <c r="H1791" s="35">
        <v>166.8</v>
      </c>
      <c r="I1791" s="37">
        <f t="shared" si="27"/>
        <v>1.9240529691321E-2</v>
      </c>
      <c r="J1791" s="33"/>
    </row>
    <row r="1792" spans="1:10">
      <c r="A1792" s="33" t="s">
        <v>97</v>
      </c>
      <c r="B1792" s="34">
        <v>261.18700000000001</v>
      </c>
      <c r="C1792" s="35">
        <v>8669.2000000000007</v>
      </c>
      <c r="D1792" s="33" t="s">
        <v>274</v>
      </c>
      <c r="E1792" s="34">
        <v>261.21899999999999</v>
      </c>
      <c r="F1792" s="36">
        <v>3.19999999999823E-2</v>
      </c>
      <c r="G1792" s="34">
        <v>3.19999999999823E-2</v>
      </c>
      <c r="H1792" s="35">
        <v>21.4</v>
      </c>
      <c r="I1792" s="37">
        <f t="shared" si="27"/>
        <v>2.4685092050016144E-3</v>
      </c>
      <c r="J1792" s="33"/>
    </row>
    <row r="1793" spans="1:10">
      <c r="A1793" s="33" t="s">
        <v>97</v>
      </c>
      <c r="B1793" s="34">
        <v>261.18700000000001</v>
      </c>
      <c r="C1793" s="35">
        <v>8669.2000000000007</v>
      </c>
      <c r="D1793" s="33" t="s">
        <v>291</v>
      </c>
      <c r="E1793" s="34">
        <v>261.23099999999999</v>
      </c>
      <c r="F1793" s="36">
        <v>4.3999999999982699E-2</v>
      </c>
      <c r="G1793" s="34">
        <v>4.3999999999982699E-2</v>
      </c>
      <c r="H1793" s="35">
        <v>36.9</v>
      </c>
      <c r="I1793" s="37">
        <f t="shared" si="27"/>
        <v>4.2564481151663352E-3</v>
      </c>
      <c r="J1793" s="33"/>
    </row>
    <row r="1794" spans="1:10">
      <c r="A1794" s="33" t="s">
        <v>97</v>
      </c>
      <c r="B1794" s="34">
        <v>261.18700000000001</v>
      </c>
      <c r="C1794" s="35">
        <v>8669.2000000000007</v>
      </c>
      <c r="D1794" s="33" t="s">
        <v>239</v>
      </c>
      <c r="E1794" s="34">
        <v>261.23200000000003</v>
      </c>
      <c r="F1794" s="36">
        <v>4.5000000000015902E-2</v>
      </c>
      <c r="G1794" s="34">
        <v>4.5000000000015902E-2</v>
      </c>
      <c r="H1794" s="35">
        <v>3.6</v>
      </c>
      <c r="I1794" s="37">
        <f t="shared" ref="I1794:I1857" si="28">H1794/C1794</f>
        <v>4.1526323074793522E-4</v>
      </c>
      <c r="J1794" s="33"/>
    </row>
    <row r="1795" spans="1:10">
      <c r="A1795" s="33" t="s">
        <v>97</v>
      </c>
      <c r="B1795" s="34">
        <v>261.18700000000001</v>
      </c>
      <c r="C1795" s="35">
        <v>8669.2000000000007</v>
      </c>
      <c r="D1795" s="33" t="s">
        <v>84</v>
      </c>
      <c r="E1795" s="34">
        <v>261.238</v>
      </c>
      <c r="F1795" s="36">
        <v>5.0999999999999997E-2</v>
      </c>
      <c r="G1795" s="34">
        <v>5.0999999999999997E-2</v>
      </c>
      <c r="H1795" s="35">
        <v>8.3000000000000007</v>
      </c>
      <c r="I1795" s="37">
        <f t="shared" si="28"/>
        <v>9.5741244866885059E-4</v>
      </c>
      <c r="J1795" s="33" t="s">
        <v>116</v>
      </c>
    </row>
    <row r="1796" spans="1:10">
      <c r="A1796" s="33" t="s">
        <v>97</v>
      </c>
      <c r="B1796" s="34">
        <v>261.18700000000001</v>
      </c>
      <c r="C1796" s="35">
        <v>8669.2000000000007</v>
      </c>
      <c r="D1796" s="33" t="s">
        <v>277</v>
      </c>
      <c r="E1796" s="34">
        <v>261.24599999999998</v>
      </c>
      <c r="F1796" s="36">
        <v>5.8999999999969098E-2</v>
      </c>
      <c r="G1796" s="34">
        <v>5.8999999999969098E-2</v>
      </c>
      <c r="H1796" s="35">
        <v>40.299999999999997</v>
      </c>
      <c r="I1796" s="37">
        <f t="shared" si="28"/>
        <v>4.6486411664282742E-3</v>
      </c>
      <c r="J1796" s="33"/>
    </row>
    <row r="1797" spans="1:10">
      <c r="A1797" s="33" t="s">
        <v>97</v>
      </c>
      <c r="B1797" s="34">
        <v>261.18700000000001</v>
      </c>
      <c r="C1797" s="35">
        <v>8669.2000000000007</v>
      </c>
      <c r="D1797" s="33" t="s">
        <v>239</v>
      </c>
      <c r="E1797" s="34">
        <v>261.25599999999997</v>
      </c>
      <c r="F1797" s="36">
        <v>6.8999999999959996E-2</v>
      </c>
      <c r="G1797" s="34">
        <v>6.8999999999959996E-2</v>
      </c>
      <c r="H1797" s="35">
        <v>10.4</v>
      </c>
      <c r="I1797" s="37">
        <f t="shared" si="28"/>
        <v>1.1996493332718128E-3</v>
      </c>
      <c r="J1797" s="33"/>
    </row>
    <row r="1798" spans="1:10">
      <c r="A1798" s="33" t="s">
        <v>97</v>
      </c>
      <c r="B1798" s="34">
        <v>261.18700000000001</v>
      </c>
      <c r="C1798" s="35">
        <v>8669.2000000000007</v>
      </c>
      <c r="D1798" s="33" t="s">
        <v>269</v>
      </c>
      <c r="E1798" s="34">
        <v>261.25900000000001</v>
      </c>
      <c r="F1798" s="36">
        <v>7.2000000000002701E-2</v>
      </c>
      <c r="G1798" s="34">
        <v>7.2000000000002701E-2</v>
      </c>
      <c r="H1798" s="35">
        <v>27</v>
      </c>
      <c r="I1798" s="37">
        <f t="shared" si="28"/>
        <v>3.114474230609514E-3</v>
      </c>
      <c r="J1798" s="33"/>
    </row>
    <row r="1799" spans="1:10">
      <c r="A1799" s="33" t="s">
        <v>97</v>
      </c>
      <c r="B1799" s="34">
        <v>261.18700000000001</v>
      </c>
      <c r="C1799" s="35">
        <v>8669.2000000000007</v>
      </c>
      <c r="D1799" s="33" t="s">
        <v>193</v>
      </c>
      <c r="E1799" s="34">
        <v>261.26100000000002</v>
      </c>
      <c r="F1799" s="36">
        <v>7.4000000000012306E-2</v>
      </c>
      <c r="G1799" s="34">
        <v>7.4000000000012306E-2</v>
      </c>
      <c r="H1799" s="35">
        <v>393.9</v>
      </c>
      <c r="I1799" s="37">
        <f t="shared" si="28"/>
        <v>4.5436718497669906E-2</v>
      </c>
      <c r="J1799" s="33"/>
    </row>
    <row r="1800" spans="1:10">
      <c r="A1800" s="33" t="s">
        <v>97</v>
      </c>
      <c r="B1800" s="34">
        <v>261.18700000000001</v>
      </c>
      <c r="C1800" s="35">
        <v>8669.2000000000007</v>
      </c>
      <c r="D1800" s="33" t="s">
        <v>284</v>
      </c>
      <c r="E1800" s="34">
        <v>261.26299999999998</v>
      </c>
      <c r="F1800" s="36">
        <v>7.5999999999964998E-2</v>
      </c>
      <c r="G1800" s="34">
        <v>7.5999999999964998E-2</v>
      </c>
      <c r="H1800" s="35">
        <v>3.3</v>
      </c>
      <c r="I1800" s="37">
        <f t="shared" si="28"/>
        <v>3.8065796151894054E-4</v>
      </c>
      <c r="J1800" s="33"/>
    </row>
    <row r="1801" spans="1:10">
      <c r="A1801" s="33" t="s">
        <v>97</v>
      </c>
      <c r="B1801" s="34">
        <v>261.18700000000001</v>
      </c>
      <c r="C1801" s="35">
        <v>8669.2000000000007</v>
      </c>
      <c r="D1801" s="33" t="s">
        <v>284</v>
      </c>
      <c r="E1801" s="34">
        <v>261.30599999999998</v>
      </c>
      <c r="F1801" s="36">
        <v>0.118999999999971</v>
      </c>
      <c r="G1801" s="34">
        <v>0.118999999999971</v>
      </c>
      <c r="H1801" s="35">
        <v>10.7</v>
      </c>
      <c r="I1801" s="37">
        <f t="shared" si="28"/>
        <v>1.2342546025008072E-3</v>
      </c>
      <c r="J1801" s="33"/>
    </row>
    <row r="1802" spans="1:10">
      <c r="A1802" s="33" t="s">
        <v>97</v>
      </c>
      <c r="B1802" s="34">
        <v>261.18700000000001</v>
      </c>
      <c r="C1802" s="35">
        <v>8669.2000000000007</v>
      </c>
      <c r="D1802" s="33" t="s">
        <v>275</v>
      </c>
      <c r="E1802" s="34">
        <v>261.30799999999999</v>
      </c>
      <c r="F1802" s="36">
        <v>0.120999999999981</v>
      </c>
      <c r="G1802" s="34">
        <v>0.120999999999981</v>
      </c>
      <c r="H1802" s="35">
        <v>46.1</v>
      </c>
      <c r="I1802" s="37">
        <f t="shared" si="28"/>
        <v>5.3176763715221701E-3</v>
      </c>
      <c r="J1802" s="33"/>
    </row>
    <row r="1803" spans="1:10">
      <c r="A1803" s="33" t="s">
        <v>97</v>
      </c>
      <c r="B1803" s="34">
        <v>261.18700000000001</v>
      </c>
      <c r="C1803" s="35">
        <v>8669.2000000000007</v>
      </c>
      <c r="D1803" s="33" t="s">
        <v>274</v>
      </c>
      <c r="E1803" s="34">
        <v>261.30799999999999</v>
      </c>
      <c r="F1803" s="36">
        <v>0.120999999999981</v>
      </c>
      <c r="G1803" s="34">
        <v>0.120999999999981</v>
      </c>
      <c r="H1803" s="35">
        <v>90.8</v>
      </c>
      <c r="I1803" s="37">
        <f t="shared" si="28"/>
        <v>1.0473861486642365E-2</v>
      </c>
      <c r="J1803" s="33"/>
    </row>
    <row r="1804" spans="1:10">
      <c r="A1804" s="33" t="s">
        <v>97</v>
      </c>
      <c r="B1804" s="34">
        <v>261.18700000000001</v>
      </c>
      <c r="C1804" s="35">
        <v>8669.2000000000007</v>
      </c>
      <c r="D1804" s="33" t="s">
        <v>85</v>
      </c>
      <c r="E1804" s="34">
        <v>261.33999999999997</v>
      </c>
      <c r="F1804" s="36">
        <v>0.153</v>
      </c>
      <c r="G1804" s="34">
        <v>0.153</v>
      </c>
      <c r="H1804" s="35">
        <v>5451.4</v>
      </c>
      <c r="I1804" s="37">
        <f t="shared" si="28"/>
        <v>0.62882388224980379</v>
      </c>
      <c r="J1804" s="33" t="s">
        <v>116</v>
      </c>
    </row>
    <row r="1805" spans="1:10">
      <c r="A1805" s="33" t="s">
        <v>97</v>
      </c>
      <c r="B1805" s="34">
        <v>261.18700000000001</v>
      </c>
      <c r="C1805" s="35">
        <v>8669.2000000000007</v>
      </c>
      <c r="D1805" s="33" t="s">
        <v>54</v>
      </c>
      <c r="E1805" s="34">
        <v>261.34899999999999</v>
      </c>
      <c r="F1805" s="36">
        <v>0.16199999999997799</v>
      </c>
      <c r="G1805" s="34">
        <v>0.16199999999997799</v>
      </c>
      <c r="H1805" s="35">
        <v>191.5</v>
      </c>
      <c r="I1805" s="37">
        <f t="shared" si="28"/>
        <v>2.2089696857841554E-2</v>
      </c>
      <c r="J1805" s="33"/>
    </row>
    <row r="1806" spans="1:10">
      <c r="A1806" s="33" t="s">
        <v>97</v>
      </c>
      <c r="B1806" s="34">
        <v>261.18700000000001</v>
      </c>
      <c r="C1806" s="35">
        <v>8669.2000000000007</v>
      </c>
      <c r="D1806" s="33" t="s">
        <v>282</v>
      </c>
      <c r="E1806" s="34">
        <v>261.36</v>
      </c>
      <c r="F1806" s="36">
        <v>0.17300000000000201</v>
      </c>
      <c r="G1806" s="34">
        <v>0.17300000000000201</v>
      </c>
      <c r="H1806" s="35">
        <v>16.600000000000001</v>
      </c>
      <c r="I1806" s="37">
        <f t="shared" si="28"/>
        <v>1.9148248973377012E-3</v>
      </c>
      <c r="J1806" s="33"/>
    </row>
    <row r="1807" spans="1:10">
      <c r="A1807" s="33" t="s">
        <v>97</v>
      </c>
      <c r="B1807" s="34">
        <v>261.18700000000001</v>
      </c>
      <c r="C1807" s="35">
        <v>8669.2000000000007</v>
      </c>
      <c r="D1807" s="33" t="s">
        <v>269</v>
      </c>
      <c r="E1807" s="34">
        <v>261.36200000000002</v>
      </c>
      <c r="F1807" s="36">
        <v>0.17500000000001101</v>
      </c>
      <c r="G1807" s="34">
        <v>0.17500000000001101</v>
      </c>
      <c r="H1807" s="35">
        <v>890.7</v>
      </c>
      <c r="I1807" s="37">
        <f t="shared" si="28"/>
        <v>0.10274304434088496</v>
      </c>
      <c r="J1807" s="33"/>
    </row>
    <row r="1808" spans="1:10">
      <c r="A1808" s="33" t="s">
        <v>97</v>
      </c>
      <c r="B1808" s="34">
        <v>261.18700000000001</v>
      </c>
      <c r="C1808" s="35">
        <v>8669.2000000000007</v>
      </c>
      <c r="D1808" s="33" t="s">
        <v>300</v>
      </c>
      <c r="E1808" s="34">
        <v>261.36500000000001</v>
      </c>
      <c r="F1808" s="36">
        <v>0.17799999999999699</v>
      </c>
      <c r="G1808" s="34">
        <v>0.17799999999999699</v>
      </c>
      <c r="H1808" s="35">
        <v>39.6</v>
      </c>
      <c r="I1808" s="37">
        <f t="shared" si="28"/>
        <v>4.5678955382272872E-3</v>
      </c>
      <c r="J1808" s="33"/>
    </row>
    <row r="1809" spans="1:10">
      <c r="A1809" s="33" t="s">
        <v>97</v>
      </c>
      <c r="B1809" s="34">
        <v>261.38200000000001</v>
      </c>
      <c r="C1809" s="35">
        <v>4697.3999999999996</v>
      </c>
      <c r="D1809" s="33" t="s">
        <v>274</v>
      </c>
      <c r="E1809" s="34">
        <v>261.21899999999999</v>
      </c>
      <c r="F1809" s="36">
        <v>0.163000000000011</v>
      </c>
      <c r="G1809" s="34">
        <v>0.163000000000011</v>
      </c>
      <c r="H1809" s="35">
        <v>21.4</v>
      </c>
      <c r="I1809" s="37">
        <f t="shared" si="28"/>
        <v>4.5557116702856903E-3</v>
      </c>
      <c r="J1809" s="33"/>
    </row>
    <row r="1810" spans="1:10">
      <c r="A1810" s="33" t="s">
        <v>97</v>
      </c>
      <c r="B1810" s="34">
        <v>261.38200000000001</v>
      </c>
      <c r="C1810" s="35">
        <v>4697.3999999999996</v>
      </c>
      <c r="D1810" s="33" t="s">
        <v>291</v>
      </c>
      <c r="E1810" s="34">
        <v>261.23099999999999</v>
      </c>
      <c r="F1810" s="36">
        <v>0.15100000000001099</v>
      </c>
      <c r="G1810" s="34">
        <v>0.15100000000001099</v>
      </c>
      <c r="H1810" s="35">
        <v>36.9</v>
      </c>
      <c r="I1810" s="37">
        <f t="shared" si="28"/>
        <v>7.8554093753991569E-3</v>
      </c>
      <c r="J1810" s="33"/>
    </row>
    <row r="1811" spans="1:10">
      <c r="A1811" s="33" t="s">
        <v>97</v>
      </c>
      <c r="B1811" s="34">
        <v>261.38200000000001</v>
      </c>
      <c r="C1811" s="35">
        <v>4697.3999999999996</v>
      </c>
      <c r="D1811" s="33" t="s">
        <v>239</v>
      </c>
      <c r="E1811" s="34">
        <v>261.23200000000003</v>
      </c>
      <c r="F1811" s="36">
        <v>0.14999999999997701</v>
      </c>
      <c r="G1811" s="34">
        <v>0.14999999999997701</v>
      </c>
      <c r="H1811" s="35">
        <v>3.6</v>
      </c>
      <c r="I1811" s="37">
        <f t="shared" si="28"/>
        <v>7.6638140247796665E-4</v>
      </c>
      <c r="J1811" s="33"/>
    </row>
    <row r="1812" spans="1:10">
      <c r="A1812" s="33" t="s">
        <v>97</v>
      </c>
      <c r="B1812" s="34">
        <v>261.38200000000001</v>
      </c>
      <c r="C1812" s="35">
        <v>4697.3999999999996</v>
      </c>
      <c r="D1812" s="33" t="s">
        <v>84</v>
      </c>
      <c r="E1812" s="34">
        <v>261.238</v>
      </c>
      <c r="F1812" s="36">
        <v>0.14399999999999999</v>
      </c>
      <c r="G1812" s="34">
        <v>0.14399999999999999</v>
      </c>
      <c r="H1812" s="35">
        <v>8.3000000000000007</v>
      </c>
      <c r="I1812" s="37">
        <f t="shared" si="28"/>
        <v>1.7669349001575342E-3</v>
      </c>
      <c r="J1812" s="33" t="s">
        <v>116</v>
      </c>
    </row>
    <row r="1813" spans="1:10">
      <c r="A1813" s="33" t="s">
        <v>97</v>
      </c>
      <c r="B1813" s="34">
        <v>261.38200000000001</v>
      </c>
      <c r="C1813" s="35">
        <v>4697.3999999999996</v>
      </c>
      <c r="D1813" s="33" t="s">
        <v>277</v>
      </c>
      <c r="E1813" s="34">
        <v>261.24599999999998</v>
      </c>
      <c r="F1813" s="36">
        <v>0.13600000000002399</v>
      </c>
      <c r="G1813" s="34">
        <v>0.13600000000002399</v>
      </c>
      <c r="H1813" s="35">
        <v>40.299999999999997</v>
      </c>
      <c r="I1813" s="37">
        <f t="shared" si="28"/>
        <v>8.5792140332950143E-3</v>
      </c>
      <c r="J1813" s="33"/>
    </row>
    <row r="1814" spans="1:10">
      <c r="A1814" s="33" t="s">
        <v>97</v>
      </c>
      <c r="B1814" s="34">
        <v>261.38200000000001</v>
      </c>
      <c r="C1814" s="35">
        <v>4697.3999999999996</v>
      </c>
      <c r="D1814" s="33" t="s">
        <v>239</v>
      </c>
      <c r="E1814" s="34">
        <v>261.25599999999997</v>
      </c>
      <c r="F1814" s="36">
        <v>0.126000000000033</v>
      </c>
      <c r="G1814" s="34">
        <v>0.126000000000033</v>
      </c>
      <c r="H1814" s="35">
        <v>10.4</v>
      </c>
      <c r="I1814" s="37">
        <f t="shared" si="28"/>
        <v>2.2139907182696815E-3</v>
      </c>
      <c r="J1814" s="33"/>
    </row>
    <row r="1815" spans="1:10">
      <c r="A1815" s="33" t="s">
        <v>97</v>
      </c>
      <c r="B1815" s="34">
        <v>261.38200000000001</v>
      </c>
      <c r="C1815" s="35">
        <v>4697.3999999999996</v>
      </c>
      <c r="D1815" s="33" t="s">
        <v>269</v>
      </c>
      <c r="E1815" s="34">
        <v>261.25900000000001</v>
      </c>
      <c r="F1815" s="36">
        <v>0.12299999999999101</v>
      </c>
      <c r="G1815" s="34">
        <v>0.12299999999999101</v>
      </c>
      <c r="H1815" s="35">
        <v>27</v>
      </c>
      <c r="I1815" s="37">
        <f t="shared" si="28"/>
        <v>5.7478605185847494E-3</v>
      </c>
      <c r="J1815" s="33"/>
    </row>
    <row r="1816" spans="1:10">
      <c r="A1816" s="33" t="s">
        <v>97</v>
      </c>
      <c r="B1816" s="34">
        <v>261.38200000000001</v>
      </c>
      <c r="C1816" s="35">
        <v>4697.3999999999996</v>
      </c>
      <c r="D1816" s="33" t="s">
        <v>193</v>
      </c>
      <c r="E1816" s="34">
        <v>261.26100000000002</v>
      </c>
      <c r="F1816" s="36">
        <v>0.120999999999981</v>
      </c>
      <c r="G1816" s="34">
        <v>0.120999999999981</v>
      </c>
      <c r="H1816" s="35">
        <v>393.9</v>
      </c>
      <c r="I1816" s="37">
        <f t="shared" si="28"/>
        <v>8.3854898454464172E-2</v>
      </c>
      <c r="J1816" s="33"/>
    </row>
    <row r="1817" spans="1:10">
      <c r="A1817" s="33" t="s">
        <v>97</v>
      </c>
      <c r="B1817" s="34">
        <v>261.38200000000001</v>
      </c>
      <c r="C1817" s="35">
        <v>4697.3999999999996</v>
      </c>
      <c r="D1817" s="33" t="s">
        <v>284</v>
      </c>
      <c r="E1817" s="34">
        <v>261.26299999999998</v>
      </c>
      <c r="F1817" s="36">
        <v>0.119000000000028</v>
      </c>
      <c r="G1817" s="34">
        <v>0.119000000000028</v>
      </c>
      <c r="H1817" s="35">
        <v>3.3</v>
      </c>
      <c r="I1817" s="37">
        <f t="shared" si="28"/>
        <v>7.0251628560480265E-4</v>
      </c>
      <c r="J1817" s="33"/>
    </row>
    <row r="1818" spans="1:10">
      <c r="A1818" s="33" t="s">
        <v>97</v>
      </c>
      <c r="B1818" s="34">
        <v>261.38200000000001</v>
      </c>
      <c r="C1818" s="35">
        <v>4697.3999999999996</v>
      </c>
      <c r="D1818" s="33" t="s">
        <v>284</v>
      </c>
      <c r="E1818" s="34">
        <v>261.30599999999998</v>
      </c>
      <c r="F1818" s="36">
        <v>7.60000000000218E-2</v>
      </c>
      <c r="G1818" s="34">
        <v>7.60000000000218E-2</v>
      </c>
      <c r="H1818" s="35">
        <v>10.7</v>
      </c>
      <c r="I1818" s="37">
        <f t="shared" si="28"/>
        <v>2.2778558351428451E-3</v>
      </c>
      <c r="J1818" s="33"/>
    </row>
    <row r="1819" spans="1:10">
      <c r="A1819" s="33" t="s">
        <v>97</v>
      </c>
      <c r="B1819" s="34">
        <v>261.38200000000001</v>
      </c>
      <c r="C1819" s="35">
        <v>4697.3999999999996</v>
      </c>
      <c r="D1819" s="33" t="s">
        <v>275</v>
      </c>
      <c r="E1819" s="34">
        <v>261.30799999999999</v>
      </c>
      <c r="F1819" s="36">
        <v>7.4000000000012306E-2</v>
      </c>
      <c r="G1819" s="34">
        <v>7.4000000000012306E-2</v>
      </c>
      <c r="H1819" s="35">
        <v>46.1</v>
      </c>
      <c r="I1819" s="37">
        <f t="shared" si="28"/>
        <v>9.8139396261761828E-3</v>
      </c>
      <c r="J1819" s="33"/>
    </row>
    <row r="1820" spans="1:10">
      <c r="A1820" s="33" t="s">
        <v>97</v>
      </c>
      <c r="B1820" s="34">
        <v>261.38200000000001</v>
      </c>
      <c r="C1820" s="35">
        <v>4697.3999999999996</v>
      </c>
      <c r="D1820" s="33" t="s">
        <v>274</v>
      </c>
      <c r="E1820" s="34">
        <v>261.30799999999999</v>
      </c>
      <c r="F1820" s="36">
        <v>7.4000000000012306E-2</v>
      </c>
      <c r="G1820" s="34">
        <v>7.4000000000012306E-2</v>
      </c>
      <c r="H1820" s="35">
        <v>90.8</v>
      </c>
      <c r="I1820" s="37">
        <f t="shared" si="28"/>
        <v>1.9329842040277601E-2</v>
      </c>
      <c r="J1820" s="33"/>
    </row>
    <row r="1821" spans="1:10">
      <c r="A1821" s="33" t="s">
        <v>97</v>
      </c>
      <c r="B1821" s="34">
        <v>261.38200000000001</v>
      </c>
      <c r="C1821" s="35">
        <v>4697.3999999999996</v>
      </c>
      <c r="D1821" s="33" t="s">
        <v>85</v>
      </c>
      <c r="E1821" s="34">
        <v>261.33999999999997</v>
      </c>
      <c r="F1821" s="36">
        <v>4.2000000000000003E-2</v>
      </c>
      <c r="G1821" s="34">
        <v>4.2000000000000003E-2</v>
      </c>
      <c r="H1821" s="35">
        <v>5451.4</v>
      </c>
      <c r="I1821" s="37">
        <f t="shared" si="28"/>
        <v>1.1605143270745519</v>
      </c>
      <c r="J1821" s="33" t="s">
        <v>116</v>
      </c>
    </row>
    <row r="1822" spans="1:10">
      <c r="A1822" s="33" t="s">
        <v>97</v>
      </c>
      <c r="B1822" s="34">
        <v>261.38200000000001</v>
      </c>
      <c r="C1822" s="35">
        <v>4697.3999999999996</v>
      </c>
      <c r="D1822" s="33" t="s">
        <v>54</v>
      </c>
      <c r="E1822" s="34">
        <v>261.34899999999999</v>
      </c>
      <c r="F1822" s="36">
        <v>3.3000000000015503E-2</v>
      </c>
      <c r="G1822" s="34">
        <v>3.3000000000015503E-2</v>
      </c>
      <c r="H1822" s="35">
        <v>191.5</v>
      </c>
      <c r="I1822" s="37">
        <f t="shared" si="28"/>
        <v>4.0767232937369613E-2</v>
      </c>
      <c r="J1822" s="33"/>
    </row>
    <row r="1823" spans="1:10">
      <c r="A1823" s="33" t="s">
        <v>97</v>
      </c>
      <c r="B1823" s="34">
        <v>261.38200000000001</v>
      </c>
      <c r="C1823" s="35">
        <v>4697.3999999999996</v>
      </c>
      <c r="D1823" s="33" t="s">
        <v>282</v>
      </c>
      <c r="E1823" s="34">
        <v>261.36</v>
      </c>
      <c r="F1823" s="36">
        <v>2.1999999999991401E-2</v>
      </c>
      <c r="G1823" s="34">
        <v>2.1999999999991401E-2</v>
      </c>
      <c r="H1823" s="35">
        <v>16.600000000000001</v>
      </c>
      <c r="I1823" s="37">
        <f t="shared" si="28"/>
        <v>3.5338698003150684E-3</v>
      </c>
      <c r="J1823" s="33"/>
    </row>
    <row r="1824" spans="1:10">
      <c r="A1824" s="33" t="s">
        <v>97</v>
      </c>
      <c r="B1824" s="34">
        <v>261.38200000000001</v>
      </c>
      <c r="C1824" s="35">
        <v>4697.3999999999996</v>
      </c>
      <c r="D1824" s="33" t="s">
        <v>269</v>
      </c>
      <c r="E1824" s="34">
        <v>261.36200000000002</v>
      </c>
      <c r="F1824" s="36">
        <v>1.99999999999818E-2</v>
      </c>
      <c r="G1824" s="34">
        <v>1.99999999999818E-2</v>
      </c>
      <c r="H1824" s="35">
        <v>890.7</v>
      </c>
      <c r="I1824" s="37">
        <f t="shared" si="28"/>
        <v>0.18961553199642359</v>
      </c>
      <c r="J1824" s="33"/>
    </row>
    <row r="1825" spans="1:10">
      <c r="A1825" s="33" t="s">
        <v>97</v>
      </c>
      <c r="B1825" s="34">
        <v>261.38200000000001</v>
      </c>
      <c r="C1825" s="35">
        <v>4697.3999999999996</v>
      </c>
      <c r="D1825" s="33" t="s">
        <v>300</v>
      </c>
      <c r="E1825" s="34">
        <v>261.36500000000001</v>
      </c>
      <c r="F1825" s="36">
        <v>1.69999999999959E-2</v>
      </c>
      <c r="G1825" s="34">
        <v>1.69999999999959E-2</v>
      </c>
      <c r="H1825" s="35">
        <v>39.6</v>
      </c>
      <c r="I1825" s="37">
        <f t="shared" si="28"/>
        <v>8.4301954272576335E-3</v>
      </c>
      <c r="J1825" s="33"/>
    </row>
    <row r="1826" spans="1:10">
      <c r="A1826" s="33" t="s">
        <v>97</v>
      </c>
      <c r="B1826" s="34">
        <v>261.38200000000001</v>
      </c>
      <c r="C1826" s="35">
        <v>4697.3999999999996</v>
      </c>
      <c r="D1826" s="33" t="s">
        <v>279</v>
      </c>
      <c r="E1826" s="34">
        <v>261.375</v>
      </c>
      <c r="F1826" s="36">
        <v>7.0000000000049996E-3</v>
      </c>
      <c r="G1826" s="34">
        <v>7.0000000000049996E-3</v>
      </c>
      <c r="H1826" s="35">
        <v>6</v>
      </c>
      <c r="I1826" s="37">
        <f t="shared" si="28"/>
        <v>1.2773023374632777E-3</v>
      </c>
      <c r="J1826" s="33"/>
    </row>
    <row r="1827" spans="1:10">
      <c r="A1827" s="33" t="s">
        <v>97</v>
      </c>
      <c r="B1827" s="34">
        <v>261.38200000000001</v>
      </c>
      <c r="C1827" s="35">
        <v>4697.3999999999996</v>
      </c>
      <c r="D1827" s="33" t="s">
        <v>274</v>
      </c>
      <c r="E1827" s="34">
        <v>261.38099999999997</v>
      </c>
      <c r="F1827" s="36">
        <v>1.0000000000332E-3</v>
      </c>
      <c r="G1827" s="34">
        <v>1.0000000000332E-3</v>
      </c>
      <c r="H1827" s="35">
        <v>69.7</v>
      </c>
      <c r="I1827" s="37">
        <f t="shared" si="28"/>
        <v>1.4837995486865076E-2</v>
      </c>
      <c r="J1827" s="33"/>
    </row>
    <row r="1828" spans="1:10">
      <c r="A1828" s="33" t="s">
        <v>97</v>
      </c>
      <c r="B1828" s="34">
        <v>261.38200000000001</v>
      </c>
      <c r="C1828" s="35">
        <v>4697.3999999999996</v>
      </c>
      <c r="D1828" s="33" t="s">
        <v>273</v>
      </c>
      <c r="E1828" s="34">
        <v>261.38299999999998</v>
      </c>
      <c r="F1828" s="36">
        <v>9.9999999997635292E-4</v>
      </c>
      <c r="G1828" s="34">
        <v>9.9999999997635292E-4</v>
      </c>
      <c r="H1828" s="35">
        <v>87.2</v>
      </c>
      <c r="I1828" s="37">
        <f t="shared" si="28"/>
        <v>1.8563460637799636E-2</v>
      </c>
      <c r="J1828" s="33"/>
    </row>
    <row r="1829" spans="1:10">
      <c r="A1829" s="33" t="s">
        <v>97</v>
      </c>
      <c r="B1829" s="34">
        <v>261.38200000000001</v>
      </c>
      <c r="C1829" s="35">
        <v>4697.3999999999996</v>
      </c>
      <c r="D1829" s="33" t="s">
        <v>25</v>
      </c>
      <c r="E1829" s="34">
        <v>261.38900000000001</v>
      </c>
      <c r="F1829" s="36">
        <v>7.0000000000049996E-3</v>
      </c>
      <c r="G1829" s="34">
        <v>7.0000000000049996E-3</v>
      </c>
      <c r="H1829" s="35">
        <v>144.9</v>
      </c>
      <c r="I1829" s="37">
        <f t="shared" si="28"/>
        <v>3.0846851449738158E-2</v>
      </c>
      <c r="J1829" s="33" t="s">
        <v>116</v>
      </c>
    </row>
    <row r="1830" spans="1:10">
      <c r="A1830" s="33" t="s">
        <v>97</v>
      </c>
      <c r="B1830" s="34">
        <v>261.38200000000001</v>
      </c>
      <c r="C1830" s="35">
        <v>4697.3999999999996</v>
      </c>
      <c r="D1830" s="33" t="s">
        <v>277</v>
      </c>
      <c r="E1830" s="34">
        <v>261.39499999999998</v>
      </c>
      <c r="F1830" s="36">
        <v>1.2999999999976799E-2</v>
      </c>
      <c r="G1830" s="34">
        <v>1.2999999999976799E-2</v>
      </c>
      <c r="H1830" s="35">
        <v>86.1</v>
      </c>
      <c r="I1830" s="37">
        <f t="shared" si="28"/>
        <v>1.8329288542598032E-2</v>
      </c>
      <c r="J1830" s="33"/>
    </row>
    <row r="1831" spans="1:10">
      <c r="A1831" s="33" t="s">
        <v>97</v>
      </c>
      <c r="B1831" s="34">
        <v>261.38200000000001</v>
      </c>
      <c r="C1831" s="35">
        <v>4697.3999999999996</v>
      </c>
      <c r="D1831" s="33" t="s">
        <v>94</v>
      </c>
      <c r="E1831" s="34">
        <v>261.399</v>
      </c>
      <c r="F1831" s="36">
        <v>1.7000000000000001E-2</v>
      </c>
      <c r="G1831" s="34">
        <v>1.7000000000000001E-2</v>
      </c>
      <c r="H1831" s="35">
        <v>123.5</v>
      </c>
      <c r="I1831" s="37">
        <f t="shared" si="28"/>
        <v>2.6291139779452466E-2</v>
      </c>
      <c r="J1831" s="33" t="s">
        <v>116</v>
      </c>
    </row>
    <row r="1832" spans="1:10">
      <c r="A1832" s="33" t="s">
        <v>97</v>
      </c>
      <c r="B1832" s="34">
        <v>261.38200000000001</v>
      </c>
      <c r="C1832" s="35">
        <v>4697.3999999999996</v>
      </c>
      <c r="D1832" s="33" t="s">
        <v>284</v>
      </c>
      <c r="E1832" s="34">
        <v>261.40499999999997</v>
      </c>
      <c r="F1832" s="36">
        <v>2.2999999999967699E-2</v>
      </c>
      <c r="G1832" s="34">
        <v>2.2999999999967699E-2</v>
      </c>
      <c r="H1832" s="35">
        <v>0.4</v>
      </c>
      <c r="I1832" s="37">
        <f t="shared" si="28"/>
        <v>8.515348916421852E-5</v>
      </c>
      <c r="J1832" s="33"/>
    </row>
    <row r="1833" spans="1:10">
      <c r="A1833" s="33" t="s">
        <v>97</v>
      </c>
      <c r="B1833" s="34">
        <v>261.38200000000001</v>
      </c>
      <c r="C1833" s="35">
        <v>4697.3999999999996</v>
      </c>
      <c r="D1833" s="33" t="s">
        <v>268</v>
      </c>
      <c r="E1833" s="34">
        <v>261.40699999999998</v>
      </c>
      <c r="F1833" s="36">
        <v>2.4999999999977301E-2</v>
      </c>
      <c r="G1833" s="34">
        <v>2.4999999999977301E-2</v>
      </c>
      <c r="H1833" s="35">
        <v>5.4</v>
      </c>
      <c r="I1833" s="37">
        <f t="shared" si="28"/>
        <v>1.1495721037169499E-3</v>
      </c>
      <c r="J1833" s="33"/>
    </row>
    <row r="1834" spans="1:10">
      <c r="A1834" s="33" t="s">
        <v>97</v>
      </c>
      <c r="B1834" s="34">
        <v>261.38200000000001</v>
      </c>
      <c r="C1834" s="35">
        <v>4697.3999999999996</v>
      </c>
      <c r="D1834" s="33" t="s">
        <v>300</v>
      </c>
      <c r="E1834" s="34">
        <v>261.41699999999997</v>
      </c>
      <c r="F1834" s="36">
        <v>3.4999999999968202E-2</v>
      </c>
      <c r="G1834" s="34">
        <v>3.4999999999968202E-2</v>
      </c>
      <c r="H1834" s="35">
        <v>874.1</v>
      </c>
      <c r="I1834" s="37">
        <f t="shared" si="28"/>
        <v>0.1860816621961085</v>
      </c>
      <c r="J1834" s="33"/>
    </row>
    <row r="1835" spans="1:10">
      <c r="A1835" s="33" t="s">
        <v>97</v>
      </c>
      <c r="B1835" s="34">
        <v>261.38200000000001</v>
      </c>
      <c r="C1835" s="35">
        <v>4697.3999999999996</v>
      </c>
      <c r="D1835" s="33" t="s">
        <v>269</v>
      </c>
      <c r="E1835" s="34">
        <v>261.42899999999997</v>
      </c>
      <c r="F1835" s="36">
        <v>4.6999999999968602E-2</v>
      </c>
      <c r="G1835" s="34">
        <v>4.6999999999968602E-2</v>
      </c>
      <c r="H1835" s="35">
        <v>73.7</v>
      </c>
      <c r="I1835" s="37">
        <f t="shared" si="28"/>
        <v>1.568953037850726E-2</v>
      </c>
      <c r="J1835" s="33"/>
    </row>
    <row r="1836" spans="1:10">
      <c r="A1836" s="33" t="s">
        <v>97</v>
      </c>
      <c r="B1836" s="34">
        <v>261.38200000000001</v>
      </c>
      <c r="C1836" s="35">
        <v>4697.3999999999996</v>
      </c>
      <c r="D1836" s="33" t="s">
        <v>273</v>
      </c>
      <c r="E1836" s="34">
        <v>261.43099999999998</v>
      </c>
      <c r="F1836" s="36">
        <v>4.89999999999782E-2</v>
      </c>
      <c r="G1836" s="34">
        <v>4.89999999999782E-2</v>
      </c>
      <c r="H1836" s="35">
        <v>53.6</v>
      </c>
      <c r="I1836" s="37">
        <f t="shared" si="28"/>
        <v>1.141056754800528E-2</v>
      </c>
      <c r="J1836" s="33"/>
    </row>
    <row r="1837" spans="1:10">
      <c r="A1837" s="33" t="s">
        <v>97</v>
      </c>
      <c r="B1837" s="34">
        <v>261.38200000000001</v>
      </c>
      <c r="C1837" s="35">
        <v>4697.3999999999996</v>
      </c>
      <c r="D1837" s="33" t="s">
        <v>54</v>
      </c>
      <c r="E1837" s="34">
        <v>261.43599999999998</v>
      </c>
      <c r="F1837" s="36">
        <v>5.3999999999973597E-2</v>
      </c>
      <c r="G1837" s="34">
        <v>5.3999999999973597E-2</v>
      </c>
      <c r="H1837" s="35">
        <v>373.1</v>
      </c>
      <c r="I1837" s="37">
        <f t="shared" si="28"/>
        <v>7.9426917017924814E-2</v>
      </c>
      <c r="J1837" s="33"/>
    </row>
    <row r="1838" spans="1:10">
      <c r="A1838" s="33" t="s">
        <v>97</v>
      </c>
      <c r="B1838" s="34">
        <v>261.38200000000001</v>
      </c>
      <c r="C1838" s="35">
        <v>4697.3999999999996</v>
      </c>
      <c r="D1838" s="33" t="s">
        <v>278</v>
      </c>
      <c r="E1838" s="34">
        <v>261.44</v>
      </c>
      <c r="F1838" s="36">
        <v>5.7999999999992703E-2</v>
      </c>
      <c r="G1838" s="34">
        <v>5.7999999999992703E-2</v>
      </c>
      <c r="H1838" s="35">
        <v>31.7</v>
      </c>
      <c r="I1838" s="37">
        <f t="shared" si="28"/>
        <v>6.7484140162643166E-3</v>
      </c>
      <c r="J1838" s="33"/>
    </row>
    <row r="1839" spans="1:10">
      <c r="A1839" s="33" t="s">
        <v>97</v>
      </c>
      <c r="B1839" s="34">
        <v>261.38200000000001</v>
      </c>
      <c r="C1839" s="35">
        <v>4697.3999999999996</v>
      </c>
      <c r="D1839" s="33" t="s">
        <v>239</v>
      </c>
      <c r="E1839" s="34">
        <v>261.45400000000001</v>
      </c>
      <c r="F1839" s="36">
        <v>7.2000000000002701E-2</v>
      </c>
      <c r="G1839" s="34">
        <v>7.2000000000002701E-2</v>
      </c>
      <c r="H1839" s="35">
        <v>14.8</v>
      </c>
      <c r="I1839" s="37">
        <f t="shared" si="28"/>
        <v>3.150679099076085E-3</v>
      </c>
      <c r="J1839" s="33"/>
    </row>
    <row r="1840" spans="1:10">
      <c r="A1840" s="33" t="s">
        <v>97</v>
      </c>
      <c r="B1840" s="34">
        <v>261.38200000000001</v>
      </c>
      <c r="C1840" s="35">
        <v>4697.3999999999996</v>
      </c>
      <c r="D1840" s="33" t="s">
        <v>84</v>
      </c>
      <c r="E1840" s="34">
        <v>261.45600000000002</v>
      </c>
      <c r="F1840" s="36">
        <v>7.3999999999999996E-2</v>
      </c>
      <c r="G1840" s="34">
        <v>7.3999999999999996E-2</v>
      </c>
      <c r="H1840" s="35">
        <v>12.2</v>
      </c>
      <c r="I1840" s="37">
        <f t="shared" si="28"/>
        <v>2.5971814195086644E-3</v>
      </c>
      <c r="J1840" s="33" t="s">
        <v>116</v>
      </c>
    </row>
    <row r="1841" spans="1:10">
      <c r="A1841" s="33" t="s">
        <v>97</v>
      </c>
      <c r="B1841" s="34">
        <v>261.38200000000001</v>
      </c>
      <c r="C1841" s="35">
        <v>4697.3999999999996</v>
      </c>
      <c r="D1841" s="33" t="s">
        <v>268</v>
      </c>
      <c r="E1841" s="34">
        <v>261.45999999999998</v>
      </c>
      <c r="F1841" s="36">
        <v>7.7999999999974506E-2</v>
      </c>
      <c r="G1841" s="34">
        <v>7.7999999999974506E-2</v>
      </c>
      <c r="H1841" s="35">
        <v>13.4</v>
      </c>
      <c r="I1841" s="37">
        <f t="shared" si="28"/>
        <v>2.85264188700132E-3</v>
      </c>
      <c r="J1841" s="33"/>
    </row>
    <row r="1842" spans="1:10">
      <c r="A1842" s="33" t="s">
        <v>97</v>
      </c>
      <c r="B1842" s="34">
        <v>261.38200000000001</v>
      </c>
      <c r="C1842" s="35">
        <v>4697.3999999999996</v>
      </c>
      <c r="D1842" s="33" t="s">
        <v>239</v>
      </c>
      <c r="E1842" s="34">
        <v>261.49099999999999</v>
      </c>
      <c r="F1842" s="36">
        <v>0.10899999999998</v>
      </c>
      <c r="G1842" s="34">
        <v>0.10899999999998</v>
      </c>
      <c r="H1842" s="35">
        <v>27</v>
      </c>
      <c r="I1842" s="37">
        <f t="shared" si="28"/>
        <v>5.7478605185847494E-3</v>
      </c>
      <c r="J1842" s="33"/>
    </row>
    <row r="1843" spans="1:10">
      <c r="A1843" s="33" t="s">
        <v>97</v>
      </c>
      <c r="B1843" s="34">
        <v>261.38200000000001</v>
      </c>
      <c r="C1843" s="35">
        <v>4697.3999999999996</v>
      </c>
      <c r="D1843" s="33" t="s">
        <v>290</v>
      </c>
      <c r="E1843" s="34">
        <v>261.49799999999999</v>
      </c>
      <c r="F1843" s="36">
        <v>0.115999999999985</v>
      </c>
      <c r="G1843" s="34">
        <v>0.115999999999985</v>
      </c>
      <c r="H1843" s="35">
        <v>11.7</v>
      </c>
      <c r="I1843" s="37">
        <f t="shared" si="28"/>
        <v>2.4907395580533913E-3</v>
      </c>
      <c r="J1843" s="33"/>
    </row>
    <row r="1844" spans="1:10">
      <c r="A1844" s="33" t="s">
        <v>97</v>
      </c>
      <c r="B1844" s="34">
        <v>261.38200000000001</v>
      </c>
      <c r="C1844" s="35">
        <v>4697.3999999999996</v>
      </c>
      <c r="D1844" s="33" t="s">
        <v>268</v>
      </c>
      <c r="E1844" s="34">
        <v>261.50900000000001</v>
      </c>
      <c r="F1844" s="36">
        <v>0.12700000000000999</v>
      </c>
      <c r="G1844" s="34">
        <v>0.12700000000000999</v>
      </c>
      <c r="H1844" s="35">
        <v>27</v>
      </c>
      <c r="I1844" s="37">
        <f t="shared" si="28"/>
        <v>5.7478605185847494E-3</v>
      </c>
      <c r="J1844" s="33"/>
    </row>
    <row r="1845" spans="1:10">
      <c r="A1845" s="33" t="s">
        <v>97</v>
      </c>
      <c r="B1845" s="34">
        <v>261.38200000000001</v>
      </c>
      <c r="C1845" s="35">
        <v>4697.3999999999996</v>
      </c>
      <c r="D1845" s="33" t="s">
        <v>274</v>
      </c>
      <c r="E1845" s="34">
        <v>261.512</v>
      </c>
      <c r="F1845" s="36">
        <v>0.12999999999999601</v>
      </c>
      <c r="G1845" s="34">
        <v>0.12999999999999601</v>
      </c>
      <c r="H1845" s="35">
        <v>21.7</v>
      </c>
      <c r="I1845" s="37">
        <f t="shared" si="28"/>
        <v>4.619576787158854E-3</v>
      </c>
      <c r="J1845" s="33"/>
    </row>
    <row r="1846" spans="1:10">
      <c r="A1846" s="33" t="s">
        <v>97</v>
      </c>
      <c r="B1846" s="34">
        <v>261.38200000000001</v>
      </c>
      <c r="C1846" s="35">
        <v>4697.3999999999996</v>
      </c>
      <c r="D1846" s="33" t="s">
        <v>63</v>
      </c>
      <c r="E1846" s="34">
        <v>261.52499999999998</v>
      </c>
      <c r="F1846" s="36">
        <v>0.14299999999999999</v>
      </c>
      <c r="G1846" s="34">
        <v>0.14299999999999999</v>
      </c>
      <c r="H1846" s="35">
        <v>85.3</v>
      </c>
      <c r="I1846" s="37">
        <f t="shared" si="28"/>
        <v>1.8158981564269597E-2</v>
      </c>
      <c r="J1846" s="33" t="s">
        <v>116</v>
      </c>
    </row>
    <row r="1847" spans="1:10">
      <c r="A1847" s="33" t="s">
        <v>36</v>
      </c>
      <c r="B1847" s="34">
        <v>301.01299999999998</v>
      </c>
      <c r="C1847" s="35">
        <v>13500.9</v>
      </c>
      <c r="D1847" s="33" t="s">
        <v>33</v>
      </c>
      <c r="E1847" s="34">
        <v>300.88099999999997</v>
      </c>
      <c r="F1847" s="36">
        <v>0.132000000000005</v>
      </c>
      <c r="G1847" s="34">
        <v>0.132000000000005</v>
      </c>
      <c r="H1847" s="35">
        <v>170.7</v>
      </c>
      <c r="I1847" s="37">
        <f t="shared" si="28"/>
        <v>1.2643601537675266E-2</v>
      </c>
      <c r="J1847" s="33" t="s">
        <v>116</v>
      </c>
    </row>
    <row r="1848" spans="1:10">
      <c r="A1848" s="33" t="s">
        <v>36</v>
      </c>
      <c r="B1848" s="34">
        <v>301.01299999999998</v>
      </c>
      <c r="C1848" s="35">
        <v>13500.9</v>
      </c>
      <c r="D1848" s="33" t="s">
        <v>109</v>
      </c>
      <c r="E1848" s="34">
        <v>300.89100000000002</v>
      </c>
      <c r="F1848" s="36">
        <v>0.121999999999957</v>
      </c>
      <c r="G1848" s="34">
        <v>0.121999999999957</v>
      </c>
      <c r="H1848" s="35">
        <v>648.6</v>
      </c>
      <c r="I1848" s="37">
        <f t="shared" si="28"/>
        <v>4.8041241694998113E-2</v>
      </c>
      <c r="J1848" s="33" t="s">
        <v>116</v>
      </c>
    </row>
    <row r="1849" spans="1:10">
      <c r="A1849" s="33" t="s">
        <v>36</v>
      </c>
      <c r="B1849" s="34">
        <v>301.01299999999998</v>
      </c>
      <c r="C1849" s="35">
        <v>13500.9</v>
      </c>
      <c r="D1849" s="33" t="s">
        <v>282</v>
      </c>
      <c r="E1849" s="34">
        <v>300.89499999999998</v>
      </c>
      <c r="F1849" s="36">
        <v>0.117999999999995</v>
      </c>
      <c r="G1849" s="34">
        <v>0.117999999999995</v>
      </c>
      <c r="H1849" s="35">
        <v>30.6</v>
      </c>
      <c r="I1849" s="37">
        <f t="shared" si="28"/>
        <v>2.2665155656289584E-3</v>
      </c>
      <c r="J1849" s="33"/>
    </row>
    <row r="1850" spans="1:10">
      <c r="A1850" s="33" t="s">
        <v>36</v>
      </c>
      <c r="B1850" s="34">
        <v>301.01299999999998</v>
      </c>
      <c r="C1850" s="35">
        <v>13500.9</v>
      </c>
      <c r="D1850" s="33" t="s">
        <v>274</v>
      </c>
      <c r="E1850" s="34">
        <v>300.90800000000002</v>
      </c>
      <c r="F1850" s="36">
        <v>0.104999999999961</v>
      </c>
      <c r="G1850" s="34">
        <v>0.104999999999961</v>
      </c>
      <c r="H1850" s="35">
        <v>23.3</v>
      </c>
      <c r="I1850" s="37">
        <f t="shared" si="28"/>
        <v>1.7258108718678014E-3</v>
      </c>
      <c r="J1850" s="33"/>
    </row>
    <row r="1851" spans="1:10">
      <c r="A1851" s="33" t="s">
        <v>36</v>
      </c>
      <c r="B1851" s="34">
        <v>301.01299999999998</v>
      </c>
      <c r="C1851" s="35">
        <v>13500.9</v>
      </c>
      <c r="D1851" s="33" t="s">
        <v>97</v>
      </c>
      <c r="E1851" s="34">
        <v>300.90899999999999</v>
      </c>
      <c r="F1851" s="36">
        <v>0.10399999999998499</v>
      </c>
      <c r="G1851" s="34">
        <v>0.10399999999998499</v>
      </c>
      <c r="H1851" s="35">
        <v>5</v>
      </c>
      <c r="I1851" s="37">
        <f t="shared" si="28"/>
        <v>3.7034568065832647E-4</v>
      </c>
      <c r="J1851" s="33"/>
    </row>
    <row r="1852" spans="1:10">
      <c r="A1852" s="33" t="s">
        <v>36</v>
      </c>
      <c r="B1852" s="34">
        <v>301.01299999999998</v>
      </c>
      <c r="C1852" s="35">
        <v>13500.9</v>
      </c>
      <c r="D1852" s="33" t="s">
        <v>272</v>
      </c>
      <c r="E1852" s="34">
        <v>300.91300000000001</v>
      </c>
      <c r="F1852" s="36">
        <v>9.9999999999965894E-2</v>
      </c>
      <c r="G1852" s="34">
        <v>9.9999999999965894E-2</v>
      </c>
      <c r="H1852" s="35">
        <v>433.8</v>
      </c>
      <c r="I1852" s="37">
        <f t="shared" si="28"/>
        <v>3.2131191253916405E-2</v>
      </c>
      <c r="J1852" s="33"/>
    </row>
    <row r="1853" spans="1:10">
      <c r="A1853" s="33" t="s">
        <v>36</v>
      </c>
      <c r="B1853" s="34">
        <v>301.01299999999998</v>
      </c>
      <c r="C1853" s="35">
        <v>13500.9</v>
      </c>
      <c r="D1853" s="33" t="s">
        <v>109</v>
      </c>
      <c r="E1853" s="34">
        <v>300.92</v>
      </c>
      <c r="F1853" s="36">
        <v>9.2999999999960906E-2</v>
      </c>
      <c r="G1853" s="34">
        <v>9.2999999999960906E-2</v>
      </c>
      <c r="H1853" s="35">
        <v>106.8</v>
      </c>
      <c r="I1853" s="37">
        <f t="shared" si="28"/>
        <v>7.9105837388618542E-3</v>
      </c>
      <c r="J1853" s="33" t="s">
        <v>116</v>
      </c>
    </row>
    <row r="1854" spans="1:10">
      <c r="A1854" s="33" t="s">
        <v>36</v>
      </c>
      <c r="B1854" s="34">
        <v>301.01299999999998</v>
      </c>
      <c r="C1854" s="35">
        <v>13500.9</v>
      </c>
      <c r="D1854" s="33" t="s">
        <v>238</v>
      </c>
      <c r="E1854" s="34">
        <v>300.92099999999999</v>
      </c>
      <c r="F1854" s="36">
        <v>9.1999999999984497E-2</v>
      </c>
      <c r="G1854" s="34">
        <v>9.1999999999984497E-2</v>
      </c>
      <c r="H1854" s="35">
        <v>43.1</v>
      </c>
      <c r="I1854" s="37">
        <f t="shared" si="28"/>
        <v>3.1923797672747745E-3</v>
      </c>
      <c r="J1854" s="33"/>
    </row>
    <row r="1855" spans="1:10">
      <c r="A1855" s="33" t="s">
        <v>36</v>
      </c>
      <c r="B1855" s="34">
        <v>301.01299999999998</v>
      </c>
      <c r="C1855" s="35">
        <v>13500.9</v>
      </c>
      <c r="D1855" s="33" t="s">
        <v>201</v>
      </c>
      <c r="E1855" s="34">
        <v>300.93</v>
      </c>
      <c r="F1855" s="36">
        <v>8.2999999999970001E-2</v>
      </c>
      <c r="G1855" s="34">
        <v>8.2999999999970001E-2</v>
      </c>
      <c r="H1855" s="35">
        <v>532.9</v>
      </c>
      <c r="I1855" s="37">
        <f t="shared" si="28"/>
        <v>3.9471442644564439E-2</v>
      </c>
      <c r="J1855" s="33"/>
    </row>
    <row r="1856" spans="1:10">
      <c r="A1856" s="33" t="s">
        <v>36</v>
      </c>
      <c r="B1856" s="34">
        <v>301.01299999999998</v>
      </c>
      <c r="C1856" s="35">
        <v>13500.9</v>
      </c>
      <c r="D1856" s="33" t="s">
        <v>36</v>
      </c>
      <c r="E1856" s="34">
        <v>300.93599999999998</v>
      </c>
      <c r="F1856" s="36">
        <v>7.6999999999998195E-2</v>
      </c>
      <c r="G1856" s="34">
        <v>7.6999999999998195E-2</v>
      </c>
      <c r="H1856" s="35">
        <v>139.30000000000001</v>
      </c>
      <c r="I1856" s="37">
        <f t="shared" si="28"/>
        <v>1.0317830663140976E-2</v>
      </c>
      <c r="J1856" s="33" t="s">
        <v>116</v>
      </c>
    </row>
    <row r="1857" spans="1:10">
      <c r="A1857" s="33" t="s">
        <v>36</v>
      </c>
      <c r="B1857" s="34">
        <v>301.01299999999998</v>
      </c>
      <c r="C1857" s="35">
        <v>13500.9</v>
      </c>
      <c r="D1857" s="33" t="s">
        <v>240</v>
      </c>
      <c r="E1857" s="34">
        <v>300.93900000000002</v>
      </c>
      <c r="F1857" s="36">
        <v>7.3999999999955393E-2</v>
      </c>
      <c r="G1857" s="34">
        <v>7.3999999999955393E-2</v>
      </c>
      <c r="H1857" s="35">
        <v>14.8</v>
      </c>
      <c r="I1857" s="37">
        <f t="shared" si="28"/>
        <v>1.0962232147486465E-3</v>
      </c>
      <c r="J1857" s="33"/>
    </row>
    <row r="1858" spans="1:10">
      <c r="A1858" s="33" t="s">
        <v>36</v>
      </c>
      <c r="B1858" s="34">
        <v>301.01299999999998</v>
      </c>
      <c r="C1858" s="35">
        <v>13500.9</v>
      </c>
      <c r="D1858" s="33" t="s">
        <v>63</v>
      </c>
      <c r="E1858" s="34">
        <v>300.93900000000002</v>
      </c>
      <c r="F1858" s="36">
        <v>7.3999999999955393E-2</v>
      </c>
      <c r="G1858" s="34">
        <v>7.3999999999955393E-2</v>
      </c>
      <c r="H1858" s="35">
        <v>921.3</v>
      </c>
      <c r="I1858" s="37">
        <f t="shared" ref="I1858:I1921" si="29">H1858/C1858</f>
        <v>6.823989511810323E-2</v>
      </c>
      <c r="J1858" s="33" t="s">
        <v>116</v>
      </c>
    </row>
    <row r="1859" spans="1:10">
      <c r="A1859" s="33" t="s">
        <v>36</v>
      </c>
      <c r="B1859" s="34">
        <v>301.01299999999998</v>
      </c>
      <c r="C1859" s="35">
        <v>13500.9</v>
      </c>
      <c r="D1859" s="33" t="s">
        <v>277</v>
      </c>
      <c r="E1859" s="34">
        <v>300.94200000000001</v>
      </c>
      <c r="F1859" s="36">
        <v>7.0999999999969504E-2</v>
      </c>
      <c r="G1859" s="34">
        <v>7.0999999999969504E-2</v>
      </c>
      <c r="H1859" s="35">
        <v>373</v>
      </c>
      <c r="I1859" s="37">
        <f t="shared" si="29"/>
        <v>2.7627787777111158E-2</v>
      </c>
      <c r="J1859" s="33"/>
    </row>
    <row r="1860" spans="1:10">
      <c r="A1860" s="33" t="s">
        <v>36</v>
      </c>
      <c r="B1860" s="34">
        <v>301.01299999999998</v>
      </c>
      <c r="C1860" s="35">
        <v>13500.9</v>
      </c>
      <c r="D1860" s="33" t="s">
        <v>84</v>
      </c>
      <c r="E1860" s="34">
        <v>300.94400000000002</v>
      </c>
      <c r="F1860" s="36">
        <v>6.8999999999959996E-2</v>
      </c>
      <c r="G1860" s="34">
        <v>6.8999999999959996E-2</v>
      </c>
      <c r="H1860" s="35">
        <v>154.4</v>
      </c>
      <c r="I1860" s="37">
        <f t="shared" si="29"/>
        <v>1.1436274618729123E-2</v>
      </c>
      <c r="J1860" s="33" t="s">
        <v>116</v>
      </c>
    </row>
    <row r="1861" spans="1:10">
      <c r="A1861" s="33" t="s">
        <v>36</v>
      </c>
      <c r="B1861" s="34">
        <v>301.01299999999998</v>
      </c>
      <c r="C1861" s="35">
        <v>13500.9</v>
      </c>
      <c r="D1861" s="33" t="s">
        <v>97</v>
      </c>
      <c r="E1861" s="34">
        <v>300.95699999999999</v>
      </c>
      <c r="F1861" s="36">
        <v>5.5999999999983202E-2</v>
      </c>
      <c r="G1861" s="34">
        <v>5.5999999999983202E-2</v>
      </c>
      <c r="H1861" s="35">
        <v>114.1</v>
      </c>
      <c r="I1861" s="37">
        <f t="shared" si="29"/>
        <v>8.4512884326230098E-3</v>
      </c>
      <c r="J1861" s="33"/>
    </row>
    <row r="1862" spans="1:10">
      <c r="A1862" s="33" t="s">
        <v>36</v>
      </c>
      <c r="B1862" s="34">
        <v>301.01299999999998</v>
      </c>
      <c r="C1862" s="35">
        <v>13500.9</v>
      </c>
      <c r="D1862" s="33" t="s">
        <v>36</v>
      </c>
      <c r="E1862" s="34">
        <v>300.964</v>
      </c>
      <c r="F1862" s="36">
        <v>4.89999999999782E-2</v>
      </c>
      <c r="G1862" s="34">
        <v>4.89999999999782E-2</v>
      </c>
      <c r="H1862" s="35">
        <v>195.8</v>
      </c>
      <c r="I1862" s="37">
        <f t="shared" si="29"/>
        <v>1.4502736854580067E-2</v>
      </c>
      <c r="J1862" s="33" t="s">
        <v>116</v>
      </c>
    </row>
    <row r="1863" spans="1:10">
      <c r="A1863" s="33" t="s">
        <v>36</v>
      </c>
      <c r="B1863" s="34">
        <v>301.01299999999998</v>
      </c>
      <c r="C1863" s="35">
        <v>13500.9</v>
      </c>
      <c r="D1863" s="33" t="s">
        <v>285</v>
      </c>
      <c r="E1863" s="34">
        <v>300.97699999999998</v>
      </c>
      <c r="F1863" s="36">
        <v>3.6000000000001399E-2</v>
      </c>
      <c r="G1863" s="34">
        <v>3.6000000000001399E-2</v>
      </c>
      <c r="H1863" s="35">
        <v>31</v>
      </c>
      <c r="I1863" s="37">
        <f t="shared" si="29"/>
        <v>2.2961432200816244E-3</v>
      </c>
      <c r="J1863" s="33"/>
    </row>
    <row r="1864" spans="1:10">
      <c r="A1864" s="33" t="s">
        <v>36</v>
      </c>
      <c r="B1864" s="34">
        <v>301.01299999999998</v>
      </c>
      <c r="C1864" s="35">
        <v>13500.9</v>
      </c>
      <c r="D1864" s="33" t="s">
        <v>271</v>
      </c>
      <c r="E1864" s="34">
        <v>300.97699999999998</v>
      </c>
      <c r="F1864" s="36">
        <v>3.6000000000001399E-2</v>
      </c>
      <c r="G1864" s="34">
        <v>3.6000000000001399E-2</v>
      </c>
      <c r="H1864" s="35">
        <v>674.2</v>
      </c>
      <c r="I1864" s="37">
        <f t="shared" si="29"/>
        <v>4.9937411579968748E-2</v>
      </c>
      <c r="J1864" s="33"/>
    </row>
    <row r="1865" spans="1:10">
      <c r="A1865" s="33" t="s">
        <v>36</v>
      </c>
      <c r="B1865" s="34">
        <v>301.01299999999998</v>
      </c>
      <c r="C1865" s="35">
        <v>13500.9</v>
      </c>
      <c r="D1865" s="33" t="s">
        <v>236</v>
      </c>
      <c r="E1865" s="34">
        <v>300.98500000000001</v>
      </c>
      <c r="F1865" s="36">
        <v>2.79999999999632E-2</v>
      </c>
      <c r="G1865" s="34">
        <v>2.79999999999632E-2</v>
      </c>
      <c r="H1865" s="35">
        <v>80.2</v>
      </c>
      <c r="I1865" s="37">
        <f t="shared" si="29"/>
        <v>5.9403447177595568E-3</v>
      </c>
      <c r="J1865" s="33"/>
    </row>
    <row r="1866" spans="1:10">
      <c r="A1866" s="33" t="s">
        <v>36</v>
      </c>
      <c r="B1866" s="34">
        <v>301.01299999999998</v>
      </c>
      <c r="C1866" s="35">
        <v>13500.9</v>
      </c>
      <c r="D1866" s="33" t="s">
        <v>290</v>
      </c>
      <c r="E1866" s="34">
        <v>300.99</v>
      </c>
      <c r="F1866" s="36">
        <v>2.2999999999967699E-2</v>
      </c>
      <c r="G1866" s="34">
        <v>2.2999999999967699E-2</v>
      </c>
      <c r="H1866" s="35">
        <v>9.4</v>
      </c>
      <c r="I1866" s="37">
        <f t="shared" si="29"/>
        <v>6.9624987963765386E-4</v>
      </c>
      <c r="J1866" s="33"/>
    </row>
    <row r="1867" spans="1:10">
      <c r="A1867" s="33" t="s">
        <v>36</v>
      </c>
      <c r="B1867" s="34">
        <v>301.01299999999998</v>
      </c>
      <c r="C1867" s="35">
        <v>13500.9</v>
      </c>
      <c r="D1867" s="33" t="s">
        <v>239</v>
      </c>
      <c r="E1867" s="34">
        <v>301.02100000000002</v>
      </c>
      <c r="F1867" s="36">
        <v>8.0000000000382005E-3</v>
      </c>
      <c r="G1867" s="34">
        <v>8.0000000000382005E-3</v>
      </c>
      <c r="H1867" s="35">
        <v>0.6</v>
      </c>
      <c r="I1867" s="37">
        <f t="shared" si="29"/>
        <v>4.4441481678999181E-5</v>
      </c>
      <c r="J1867" s="33"/>
    </row>
    <row r="1868" spans="1:10">
      <c r="A1868" s="33" t="s">
        <v>36</v>
      </c>
      <c r="B1868" s="34">
        <v>301.01299999999998</v>
      </c>
      <c r="C1868" s="35">
        <v>13500.9</v>
      </c>
      <c r="D1868" s="33" t="s">
        <v>275</v>
      </c>
      <c r="E1868" s="34">
        <v>301.02699999999999</v>
      </c>
      <c r="F1868" s="36">
        <v>1.4000000000009999E-2</v>
      </c>
      <c r="G1868" s="34">
        <v>1.4000000000009999E-2</v>
      </c>
      <c r="H1868" s="35">
        <v>6.1</v>
      </c>
      <c r="I1868" s="37">
        <f t="shared" si="29"/>
        <v>4.5182173040315829E-4</v>
      </c>
      <c r="J1868" s="33"/>
    </row>
    <row r="1869" spans="1:10">
      <c r="A1869" s="33" t="s">
        <v>36</v>
      </c>
      <c r="B1869" s="34">
        <v>301.01299999999998</v>
      </c>
      <c r="C1869" s="35">
        <v>13500.9</v>
      </c>
      <c r="D1869" s="33" t="s">
        <v>236</v>
      </c>
      <c r="E1869" s="34">
        <v>301.02699999999999</v>
      </c>
      <c r="F1869" s="36">
        <v>1.4000000000009999E-2</v>
      </c>
      <c r="G1869" s="34">
        <v>1.4000000000009999E-2</v>
      </c>
      <c r="H1869" s="35">
        <v>36.700000000000003</v>
      </c>
      <c r="I1869" s="37">
        <f t="shared" si="29"/>
        <v>2.7183372960321167E-3</v>
      </c>
      <c r="J1869" s="33"/>
    </row>
    <row r="1870" spans="1:10">
      <c r="A1870" s="33" t="s">
        <v>36</v>
      </c>
      <c r="B1870" s="34">
        <v>301.01299999999998</v>
      </c>
      <c r="C1870" s="35">
        <v>13500.9</v>
      </c>
      <c r="D1870" s="33" t="s">
        <v>84</v>
      </c>
      <c r="E1870" s="34">
        <v>301.03100000000001</v>
      </c>
      <c r="F1870" s="36">
        <v>1.80000000000291E-2</v>
      </c>
      <c r="G1870" s="34">
        <v>1.80000000000291E-2</v>
      </c>
      <c r="H1870" s="35">
        <v>347.5</v>
      </c>
      <c r="I1870" s="37">
        <f t="shared" si="29"/>
        <v>2.5739024805753692E-2</v>
      </c>
      <c r="J1870" s="33" t="s">
        <v>116</v>
      </c>
    </row>
    <row r="1871" spans="1:10">
      <c r="A1871" s="33" t="s">
        <v>36</v>
      </c>
      <c r="B1871" s="34">
        <v>301.01299999999998</v>
      </c>
      <c r="C1871" s="35">
        <v>13500.9</v>
      </c>
      <c r="D1871" s="33" t="s">
        <v>277</v>
      </c>
      <c r="E1871" s="34">
        <v>301.03699999999998</v>
      </c>
      <c r="F1871" s="36">
        <v>2.4000000000000899E-2</v>
      </c>
      <c r="G1871" s="34">
        <v>2.4000000000000899E-2</v>
      </c>
      <c r="H1871" s="35">
        <v>199.3</v>
      </c>
      <c r="I1871" s="37">
        <f t="shared" si="29"/>
        <v>1.4761978831040894E-2</v>
      </c>
      <c r="J1871" s="33"/>
    </row>
    <row r="1872" spans="1:10">
      <c r="A1872" s="33" t="s">
        <v>36</v>
      </c>
      <c r="B1872" s="34">
        <v>301.01299999999998</v>
      </c>
      <c r="C1872" s="35">
        <v>13500.9</v>
      </c>
      <c r="D1872" s="33" t="s">
        <v>273</v>
      </c>
      <c r="E1872" s="34">
        <v>301.03800000000001</v>
      </c>
      <c r="F1872" s="36">
        <v>2.5000000000034099E-2</v>
      </c>
      <c r="G1872" s="34">
        <v>2.5000000000034099E-2</v>
      </c>
      <c r="H1872" s="35">
        <v>154.19999999999999</v>
      </c>
      <c r="I1872" s="37">
        <f t="shared" si="29"/>
        <v>1.1421460791502788E-2</v>
      </c>
      <c r="J1872" s="33"/>
    </row>
    <row r="1873" spans="1:10">
      <c r="A1873" s="33" t="s">
        <v>36</v>
      </c>
      <c r="B1873" s="34">
        <v>301.01299999999998</v>
      </c>
      <c r="C1873" s="35">
        <v>13500.9</v>
      </c>
      <c r="D1873" s="33" t="s">
        <v>25</v>
      </c>
      <c r="E1873" s="34">
        <v>301.04599999999999</v>
      </c>
      <c r="F1873" s="36">
        <v>3.3000000000015503E-2</v>
      </c>
      <c r="G1873" s="34">
        <v>3.3000000000015503E-2</v>
      </c>
      <c r="H1873" s="35">
        <v>51.9</v>
      </c>
      <c r="I1873" s="37">
        <f t="shared" si="29"/>
        <v>3.8441881652334291E-3</v>
      </c>
      <c r="J1873" s="33" t="s">
        <v>116</v>
      </c>
    </row>
    <row r="1874" spans="1:10">
      <c r="A1874" s="33" t="s">
        <v>36</v>
      </c>
      <c r="B1874" s="34">
        <v>301.01299999999998</v>
      </c>
      <c r="C1874" s="35">
        <v>13500.9</v>
      </c>
      <c r="D1874" s="33" t="s">
        <v>165</v>
      </c>
      <c r="E1874" s="34">
        <v>301.04700000000003</v>
      </c>
      <c r="F1874" s="36">
        <v>3.40000000000487E-2</v>
      </c>
      <c r="G1874" s="34">
        <v>3.40000000000487E-2</v>
      </c>
      <c r="H1874" s="35">
        <v>0.4</v>
      </c>
      <c r="I1874" s="37">
        <f t="shared" si="29"/>
        <v>2.9627654452666122E-5</v>
      </c>
      <c r="J1874" s="33"/>
    </row>
    <row r="1875" spans="1:10">
      <c r="A1875" s="33" t="s">
        <v>36</v>
      </c>
      <c r="B1875" s="34">
        <v>301.01299999999998</v>
      </c>
      <c r="C1875" s="35">
        <v>13500.9</v>
      </c>
      <c r="D1875" s="33" t="s">
        <v>201</v>
      </c>
      <c r="E1875" s="34">
        <v>301.05900000000003</v>
      </c>
      <c r="F1875" s="36">
        <v>4.6000000000049099E-2</v>
      </c>
      <c r="G1875" s="34">
        <v>4.6000000000049099E-2</v>
      </c>
      <c r="H1875" s="35">
        <v>811.1</v>
      </c>
      <c r="I1875" s="37">
        <f t="shared" si="29"/>
        <v>6.0077476316393728E-2</v>
      </c>
      <c r="J1875" s="33"/>
    </row>
    <row r="1876" spans="1:10">
      <c r="A1876" s="33" t="s">
        <v>36</v>
      </c>
      <c r="B1876" s="34">
        <v>301.01299999999998</v>
      </c>
      <c r="C1876" s="35">
        <v>13500.9</v>
      </c>
      <c r="D1876" s="33" t="s">
        <v>63</v>
      </c>
      <c r="E1876" s="34">
        <v>301.06299999999999</v>
      </c>
      <c r="F1876" s="36">
        <v>5.0000000000011403E-2</v>
      </c>
      <c r="G1876" s="34">
        <v>5.0000000000011403E-2</v>
      </c>
      <c r="H1876" s="35">
        <v>546.29999999999995</v>
      </c>
      <c r="I1876" s="37">
        <f t="shared" si="29"/>
        <v>4.0463969068728747E-2</v>
      </c>
      <c r="J1876" s="33" t="s">
        <v>116</v>
      </c>
    </row>
    <row r="1877" spans="1:10">
      <c r="A1877" s="33" t="s">
        <v>36</v>
      </c>
      <c r="B1877" s="34">
        <v>301.01299999999998</v>
      </c>
      <c r="C1877" s="35">
        <v>13500.9</v>
      </c>
      <c r="D1877" s="33" t="s">
        <v>239</v>
      </c>
      <c r="E1877" s="34">
        <v>301.06400000000002</v>
      </c>
      <c r="F1877" s="36">
        <v>5.10000000000446E-2</v>
      </c>
      <c r="G1877" s="34">
        <v>5.10000000000446E-2</v>
      </c>
      <c r="H1877" s="35">
        <v>8.6999999999999993</v>
      </c>
      <c r="I1877" s="37">
        <f t="shared" si="29"/>
        <v>6.4440148434548805E-4</v>
      </c>
      <c r="J1877" s="33"/>
    </row>
    <row r="1878" spans="1:10">
      <c r="A1878" s="33" t="s">
        <v>36</v>
      </c>
      <c r="B1878" s="34">
        <v>301.01299999999998</v>
      </c>
      <c r="C1878" s="35">
        <v>13500.9</v>
      </c>
      <c r="D1878" s="33" t="s">
        <v>273</v>
      </c>
      <c r="E1878" s="34">
        <v>301.06799999999998</v>
      </c>
      <c r="F1878" s="36">
        <v>5.50000000000068E-2</v>
      </c>
      <c r="G1878" s="34">
        <v>5.50000000000068E-2</v>
      </c>
      <c r="H1878" s="35">
        <v>169.4</v>
      </c>
      <c r="I1878" s="37">
        <f t="shared" si="29"/>
        <v>1.2547311660704103E-2</v>
      </c>
      <c r="J1878" s="33"/>
    </row>
    <row r="1879" spans="1:10">
      <c r="A1879" s="33" t="s">
        <v>36</v>
      </c>
      <c r="B1879" s="34">
        <v>301.01299999999998</v>
      </c>
      <c r="C1879" s="35">
        <v>13500.9</v>
      </c>
      <c r="D1879" s="33" t="s">
        <v>277</v>
      </c>
      <c r="E1879" s="34">
        <v>301.07499999999999</v>
      </c>
      <c r="F1879" s="36">
        <v>6.2000000000011803E-2</v>
      </c>
      <c r="G1879" s="34">
        <v>6.2000000000011803E-2</v>
      </c>
      <c r="H1879" s="35">
        <v>255.7</v>
      </c>
      <c r="I1879" s="37">
        <f t="shared" si="29"/>
        <v>1.8939478108866818E-2</v>
      </c>
      <c r="J1879" s="33"/>
    </row>
    <row r="1880" spans="1:10">
      <c r="A1880" s="33" t="s">
        <v>36</v>
      </c>
      <c r="B1880" s="34">
        <v>301.01299999999998</v>
      </c>
      <c r="C1880" s="35">
        <v>13500.9</v>
      </c>
      <c r="D1880" s="33" t="s">
        <v>193</v>
      </c>
      <c r="E1880" s="34">
        <v>301.077</v>
      </c>
      <c r="F1880" s="36">
        <v>6.4000000000021401E-2</v>
      </c>
      <c r="G1880" s="34">
        <v>6.4000000000021401E-2</v>
      </c>
      <c r="H1880" s="35">
        <v>375.8</v>
      </c>
      <c r="I1880" s="37">
        <f t="shared" si="29"/>
        <v>2.783518135827982E-2</v>
      </c>
      <c r="J1880" s="33"/>
    </row>
    <row r="1881" spans="1:10">
      <c r="A1881" s="33" t="s">
        <v>36</v>
      </c>
      <c r="B1881" s="34">
        <v>301.01299999999998</v>
      </c>
      <c r="C1881" s="35">
        <v>13500.9</v>
      </c>
      <c r="D1881" s="33" t="s">
        <v>286</v>
      </c>
      <c r="E1881" s="34">
        <v>301.084</v>
      </c>
      <c r="F1881" s="36">
        <v>7.1000000000026403E-2</v>
      </c>
      <c r="G1881" s="34">
        <v>7.1000000000026403E-2</v>
      </c>
      <c r="H1881" s="35">
        <v>54.7</v>
      </c>
      <c r="I1881" s="37">
        <f t="shared" si="29"/>
        <v>4.0515817464020923E-3</v>
      </c>
      <c r="J1881" s="33"/>
    </row>
    <row r="1882" spans="1:10">
      <c r="A1882" s="33" t="s">
        <v>36</v>
      </c>
      <c r="B1882" s="34">
        <v>301.01299999999998</v>
      </c>
      <c r="C1882" s="35">
        <v>13500.9</v>
      </c>
      <c r="D1882" s="33" t="s">
        <v>36</v>
      </c>
      <c r="E1882" s="34">
        <v>301.08999999999997</v>
      </c>
      <c r="F1882" s="36">
        <v>7.6999999999998195E-2</v>
      </c>
      <c r="G1882" s="34">
        <v>7.6999999999998195E-2</v>
      </c>
      <c r="H1882" s="35">
        <v>278.89999999999998</v>
      </c>
      <c r="I1882" s="37">
        <f t="shared" si="29"/>
        <v>2.065788206712145E-2</v>
      </c>
      <c r="J1882" s="33" t="s">
        <v>116</v>
      </c>
    </row>
    <row r="1883" spans="1:10">
      <c r="A1883" s="33" t="s">
        <v>36</v>
      </c>
      <c r="B1883" s="34">
        <v>301.01299999999998</v>
      </c>
      <c r="C1883" s="35">
        <v>13500.9</v>
      </c>
      <c r="D1883" s="33" t="s">
        <v>239</v>
      </c>
      <c r="E1883" s="34">
        <v>301.08999999999997</v>
      </c>
      <c r="F1883" s="36">
        <v>7.6999999999998195E-2</v>
      </c>
      <c r="G1883" s="34">
        <v>7.6999999999998195E-2</v>
      </c>
      <c r="H1883" s="35">
        <v>7.7</v>
      </c>
      <c r="I1883" s="37">
        <f t="shared" si="29"/>
        <v>5.7033234821382279E-4</v>
      </c>
      <c r="J1883" s="33"/>
    </row>
    <row r="1884" spans="1:10">
      <c r="A1884" s="33" t="s">
        <v>36</v>
      </c>
      <c r="B1884" s="34">
        <v>301.01299999999998</v>
      </c>
      <c r="C1884" s="35">
        <v>13500.9</v>
      </c>
      <c r="D1884" s="33" t="s">
        <v>193</v>
      </c>
      <c r="E1884" s="34">
        <v>301.11099999999999</v>
      </c>
      <c r="F1884" s="36">
        <v>9.8000000000013202E-2</v>
      </c>
      <c r="G1884" s="34">
        <v>9.8000000000013202E-2</v>
      </c>
      <c r="H1884" s="35">
        <v>71.900000000000006</v>
      </c>
      <c r="I1884" s="37">
        <f t="shared" si="29"/>
        <v>5.325570887866735E-3</v>
      </c>
      <c r="J1884" s="33"/>
    </row>
    <row r="1885" spans="1:10">
      <c r="A1885" s="33" t="s">
        <v>36</v>
      </c>
      <c r="B1885" s="34">
        <v>301.01299999999998</v>
      </c>
      <c r="C1885" s="35">
        <v>13500.9</v>
      </c>
      <c r="D1885" s="33" t="s">
        <v>84</v>
      </c>
      <c r="E1885" s="34">
        <v>301.11599999999999</v>
      </c>
      <c r="F1885" s="36">
        <v>0.103000000000009</v>
      </c>
      <c r="G1885" s="34">
        <v>0.103000000000009</v>
      </c>
      <c r="H1885" s="35">
        <v>724.5</v>
      </c>
      <c r="I1885" s="37">
        <f t="shared" si="29"/>
        <v>5.3663089127391511E-2</v>
      </c>
      <c r="J1885" s="33" t="s">
        <v>116</v>
      </c>
    </row>
    <row r="1886" spans="1:10">
      <c r="A1886" s="33" t="s">
        <v>36</v>
      </c>
      <c r="B1886" s="34">
        <v>301.01299999999998</v>
      </c>
      <c r="C1886" s="35">
        <v>13500.9</v>
      </c>
      <c r="D1886" s="33" t="s">
        <v>240</v>
      </c>
      <c r="E1886" s="34">
        <v>301.11599999999999</v>
      </c>
      <c r="F1886" s="36">
        <v>0.103000000000009</v>
      </c>
      <c r="G1886" s="34">
        <v>0.103000000000009</v>
      </c>
      <c r="H1886" s="35">
        <v>21.4</v>
      </c>
      <c r="I1886" s="37">
        <f t="shared" si="29"/>
        <v>1.5850795132176373E-3</v>
      </c>
      <c r="J1886" s="33"/>
    </row>
    <row r="1887" spans="1:10">
      <c r="A1887" s="33" t="s">
        <v>36</v>
      </c>
      <c r="B1887" s="34">
        <v>303.28399999999999</v>
      </c>
      <c r="C1887" s="35">
        <v>6352.8</v>
      </c>
      <c r="D1887" s="33" t="s">
        <v>97</v>
      </c>
      <c r="E1887" s="34">
        <v>303.12200000000001</v>
      </c>
      <c r="F1887" s="36">
        <v>0.16199999999997799</v>
      </c>
      <c r="G1887" s="34">
        <v>0.16199999999997799</v>
      </c>
      <c r="H1887" s="35">
        <v>22.9</v>
      </c>
      <c r="I1887" s="37">
        <f t="shared" si="29"/>
        <v>3.6047097342903913E-3</v>
      </c>
      <c r="J1887" s="33"/>
    </row>
    <row r="1888" spans="1:10">
      <c r="A1888" s="33" t="s">
        <v>36</v>
      </c>
      <c r="B1888" s="34">
        <v>303.28399999999999</v>
      </c>
      <c r="C1888" s="35">
        <v>6352.8</v>
      </c>
      <c r="D1888" s="33" t="s">
        <v>54</v>
      </c>
      <c r="E1888" s="34">
        <v>303.12900000000002</v>
      </c>
      <c r="F1888" s="36">
        <v>0.15499999999997299</v>
      </c>
      <c r="G1888" s="34">
        <v>0.15499999999997299</v>
      </c>
      <c r="H1888" s="35">
        <v>2.2000000000000002</v>
      </c>
      <c r="I1888" s="37">
        <f t="shared" si="29"/>
        <v>3.4630399194056165E-4</v>
      </c>
      <c r="J1888" s="33"/>
    </row>
    <row r="1889" spans="1:10">
      <c r="A1889" s="33" t="s">
        <v>36</v>
      </c>
      <c r="B1889" s="34">
        <v>303.28399999999999</v>
      </c>
      <c r="C1889" s="35">
        <v>6352.8</v>
      </c>
      <c r="D1889" s="33" t="s">
        <v>284</v>
      </c>
      <c r="E1889" s="34">
        <v>303.12900000000002</v>
      </c>
      <c r="F1889" s="36">
        <v>0.15499999999997299</v>
      </c>
      <c r="G1889" s="34">
        <v>0.15499999999997299</v>
      </c>
      <c r="H1889" s="35">
        <v>0.3</v>
      </c>
      <c r="I1889" s="37">
        <f t="shared" si="29"/>
        <v>4.7223271628258404E-5</v>
      </c>
      <c r="J1889" s="33"/>
    </row>
    <row r="1890" spans="1:10">
      <c r="A1890" s="33" t="s">
        <v>36</v>
      </c>
      <c r="B1890" s="34">
        <v>303.28399999999999</v>
      </c>
      <c r="C1890" s="35">
        <v>6352.8</v>
      </c>
      <c r="D1890" s="33" t="s">
        <v>271</v>
      </c>
      <c r="E1890" s="34">
        <v>303.12900000000002</v>
      </c>
      <c r="F1890" s="36">
        <v>0.15499999999997299</v>
      </c>
      <c r="G1890" s="34">
        <v>0.15499999999997299</v>
      </c>
      <c r="H1890" s="35">
        <v>137</v>
      </c>
      <c r="I1890" s="37">
        <f t="shared" si="29"/>
        <v>2.156529404357134E-2</v>
      </c>
      <c r="J1890" s="33"/>
    </row>
    <row r="1891" spans="1:10">
      <c r="A1891" s="33" t="s">
        <v>36</v>
      </c>
      <c r="B1891" s="34">
        <v>303.28399999999999</v>
      </c>
      <c r="C1891" s="35">
        <v>6352.8</v>
      </c>
      <c r="D1891" s="33" t="s">
        <v>84</v>
      </c>
      <c r="E1891" s="34">
        <v>303.13099999999997</v>
      </c>
      <c r="F1891" s="36">
        <v>0.15300000000002001</v>
      </c>
      <c r="G1891" s="34">
        <v>0.15300000000002001</v>
      </c>
      <c r="H1891" s="35">
        <v>1207.4000000000001</v>
      </c>
      <c r="I1891" s="37">
        <f t="shared" si="29"/>
        <v>0.19005792721319734</v>
      </c>
      <c r="J1891" s="33" t="s">
        <v>116</v>
      </c>
    </row>
    <row r="1892" spans="1:10">
      <c r="A1892" s="33" t="s">
        <v>36</v>
      </c>
      <c r="B1892" s="34">
        <v>303.28399999999999</v>
      </c>
      <c r="C1892" s="35">
        <v>6352.8</v>
      </c>
      <c r="D1892" s="33" t="s">
        <v>239</v>
      </c>
      <c r="E1892" s="34">
        <v>303.13499999999999</v>
      </c>
      <c r="F1892" s="36">
        <v>0.14900000000000099</v>
      </c>
      <c r="G1892" s="34">
        <v>0.14900000000000099</v>
      </c>
      <c r="H1892" s="35">
        <v>44.3</v>
      </c>
      <c r="I1892" s="37">
        <f t="shared" si="29"/>
        <v>6.973303110439491E-3</v>
      </c>
      <c r="J1892" s="33"/>
    </row>
    <row r="1893" spans="1:10">
      <c r="A1893" s="33" t="s">
        <v>36</v>
      </c>
      <c r="B1893" s="34">
        <v>303.28399999999999</v>
      </c>
      <c r="C1893" s="35">
        <v>6352.8</v>
      </c>
      <c r="D1893" s="33" t="s">
        <v>201</v>
      </c>
      <c r="E1893" s="34">
        <v>303.16000000000003</v>
      </c>
      <c r="F1893" s="36">
        <v>0.123999999999967</v>
      </c>
      <c r="G1893" s="34">
        <v>0.123999999999967</v>
      </c>
      <c r="H1893" s="35">
        <v>482</v>
      </c>
      <c r="I1893" s="37">
        <f t="shared" si="29"/>
        <v>7.5872056416068506E-2</v>
      </c>
      <c r="J1893" s="33"/>
    </row>
    <row r="1894" spans="1:10">
      <c r="A1894" s="33" t="s">
        <v>36</v>
      </c>
      <c r="B1894" s="34">
        <v>303.28399999999999</v>
      </c>
      <c r="C1894" s="35">
        <v>6352.8</v>
      </c>
      <c r="D1894" s="33" t="s">
        <v>97</v>
      </c>
      <c r="E1894" s="34">
        <v>303.16300000000001</v>
      </c>
      <c r="F1894" s="36">
        <v>0.120999999999981</v>
      </c>
      <c r="G1894" s="34">
        <v>0.120999999999981</v>
      </c>
      <c r="H1894" s="35">
        <v>16.7</v>
      </c>
      <c r="I1894" s="37">
        <f t="shared" si="29"/>
        <v>2.6287621206397176E-3</v>
      </c>
      <c r="J1894" s="33"/>
    </row>
    <row r="1895" spans="1:10">
      <c r="A1895" s="33" t="s">
        <v>36</v>
      </c>
      <c r="B1895" s="34">
        <v>303.28399999999999</v>
      </c>
      <c r="C1895" s="35">
        <v>6352.8</v>
      </c>
      <c r="D1895" s="33" t="s">
        <v>109</v>
      </c>
      <c r="E1895" s="34">
        <v>303.16699999999997</v>
      </c>
      <c r="F1895" s="36">
        <v>0.11700000000001901</v>
      </c>
      <c r="G1895" s="34">
        <v>0.11700000000001901</v>
      </c>
      <c r="H1895" s="35">
        <v>207.5</v>
      </c>
      <c r="I1895" s="37">
        <f t="shared" si="29"/>
        <v>3.2662762876212066E-2</v>
      </c>
      <c r="J1895" s="33" t="s">
        <v>116</v>
      </c>
    </row>
    <row r="1896" spans="1:10">
      <c r="A1896" s="33" t="s">
        <v>36</v>
      </c>
      <c r="B1896" s="34">
        <v>303.28399999999999</v>
      </c>
      <c r="C1896" s="35">
        <v>6352.8</v>
      </c>
      <c r="D1896" s="33" t="s">
        <v>165</v>
      </c>
      <c r="E1896" s="34">
        <v>303.18599999999998</v>
      </c>
      <c r="F1896" s="36">
        <v>9.8000000000013202E-2</v>
      </c>
      <c r="G1896" s="34">
        <v>9.8000000000013202E-2</v>
      </c>
      <c r="H1896" s="35">
        <v>38.700000000000003</v>
      </c>
      <c r="I1896" s="37">
        <f t="shared" si="29"/>
        <v>6.0918020400453346E-3</v>
      </c>
      <c r="J1896" s="33"/>
    </row>
    <row r="1897" spans="1:10">
      <c r="A1897" s="33" t="s">
        <v>36</v>
      </c>
      <c r="B1897" s="34">
        <v>303.28399999999999</v>
      </c>
      <c r="C1897" s="35">
        <v>6352.8</v>
      </c>
      <c r="D1897" s="33" t="s">
        <v>271</v>
      </c>
      <c r="E1897" s="34">
        <v>303.19499999999999</v>
      </c>
      <c r="F1897" s="36">
        <v>8.8999999999998594E-2</v>
      </c>
      <c r="G1897" s="34">
        <v>8.8999999999998594E-2</v>
      </c>
      <c r="H1897" s="35">
        <v>199.2</v>
      </c>
      <c r="I1897" s="37">
        <f t="shared" si="29"/>
        <v>3.1356252361163579E-2</v>
      </c>
      <c r="J1897" s="33"/>
    </row>
    <row r="1898" spans="1:10">
      <c r="A1898" s="33" t="s">
        <v>36</v>
      </c>
      <c r="B1898" s="34">
        <v>303.28399999999999</v>
      </c>
      <c r="C1898" s="35">
        <v>6352.8</v>
      </c>
      <c r="D1898" s="33" t="s">
        <v>236</v>
      </c>
      <c r="E1898" s="34">
        <v>303.197</v>
      </c>
      <c r="F1898" s="36">
        <v>8.69999999999891E-2</v>
      </c>
      <c r="G1898" s="34">
        <v>8.69999999999891E-2</v>
      </c>
      <c r="H1898" s="35">
        <v>28.5</v>
      </c>
      <c r="I1898" s="37">
        <f t="shared" si="29"/>
        <v>4.4862108046845482E-3</v>
      </c>
      <c r="J1898" s="33"/>
    </row>
    <row r="1899" spans="1:10">
      <c r="A1899" s="33" t="s">
        <v>36</v>
      </c>
      <c r="B1899" s="34">
        <v>303.28399999999999</v>
      </c>
      <c r="C1899" s="35">
        <v>6352.8</v>
      </c>
      <c r="D1899" s="33" t="s">
        <v>277</v>
      </c>
      <c r="E1899" s="34">
        <v>303.19900000000001</v>
      </c>
      <c r="F1899" s="36">
        <v>8.4999999999979495E-2</v>
      </c>
      <c r="G1899" s="34">
        <v>8.4999999999979495E-2</v>
      </c>
      <c r="H1899" s="35">
        <v>216.3</v>
      </c>
      <c r="I1899" s="37">
        <f t="shared" si="29"/>
        <v>3.4047978843974314E-2</v>
      </c>
      <c r="J1899" s="33"/>
    </row>
    <row r="1900" spans="1:10">
      <c r="A1900" s="33" t="s">
        <v>36</v>
      </c>
      <c r="B1900" s="34">
        <v>303.28399999999999</v>
      </c>
      <c r="C1900" s="35">
        <v>6352.8</v>
      </c>
      <c r="D1900" s="33" t="s">
        <v>278</v>
      </c>
      <c r="E1900" s="34">
        <v>303.21899999999999</v>
      </c>
      <c r="F1900" s="36">
        <v>6.4999999999997699E-2</v>
      </c>
      <c r="G1900" s="34">
        <v>6.4999999999997699E-2</v>
      </c>
      <c r="H1900" s="35">
        <v>12.1</v>
      </c>
      <c r="I1900" s="37">
        <f t="shared" si="29"/>
        <v>1.904671955673089E-3</v>
      </c>
      <c r="J1900" s="33"/>
    </row>
    <row r="1901" spans="1:10">
      <c r="A1901" s="33" t="s">
        <v>36</v>
      </c>
      <c r="B1901" s="34">
        <v>303.28399999999999</v>
      </c>
      <c r="C1901" s="35">
        <v>6352.8</v>
      </c>
      <c r="D1901" s="33" t="s">
        <v>290</v>
      </c>
      <c r="E1901" s="34">
        <v>303.24099999999999</v>
      </c>
      <c r="F1901" s="36">
        <v>4.3000000000006401E-2</v>
      </c>
      <c r="G1901" s="34">
        <v>4.3000000000006401E-2</v>
      </c>
      <c r="H1901" s="35">
        <v>3.6</v>
      </c>
      <c r="I1901" s="37">
        <f t="shared" si="29"/>
        <v>5.6667925953910088E-4</v>
      </c>
      <c r="J1901" s="33"/>
    </row>
    <row r="1902" spans="1:10">
      <c r="A1902" s="33" t="s">
        <v>36</v>
      </c>
      <c r="B1902" s="34">
        <v>303.28399999999999</v>
      </c>
      <c r="C1902" s="35">
        <v>6352.8</v>
      </c>
      <c r="D1902" s="33" t="s">
        <v>165</v>
      </c>
      <c r="E1902" s="34">
        <v>303.245</v>
      </c>
      <c r="F1902" s="36">
        <v>3.8999999999987302E-2</v>
      </c>
      <c r="G1902" s="34">
        <v>3.8999999999987302E-2</v>
      </c>
      <c r="H1902" s="35">
        <v>0.9</v>
      </c>
      <c r="I1902" s="37">
        <f t="shared" si="29"/>
        <v>1.4166981488477522E-4</v>
      </c>
      <c r="J1902" s="33"/>
    </row>
    <row r="1903" spans="1:10">
      <c r="A1903" s="33" t="s">
        <v>36</v>
      </c>
      <c r="B1903" s="34">
        <v>303.28399999999999</v>
      </c>
      <c r="C1903" s="35">
        <v>6352.8</v>
      </c>
      <c r="D1903" s="33" t="s">
        <v>273</v>
      </c>
      <c r="E1903" s="34">
        <v>303.27600000000001</v>
      </c>
      <c r="F1903" s="36">
        <v>7.9999999999813606E-3</v>
      </c>
      <c r="G1903" s="34">
        <v>7.9999999999813606E-3</v>
      </c>
      <c r="H1903" s="35">
        <v>2264.4</v>
      </c>
      <c r="I1903" s="37">
        <f t="shared" si="29"/>
        <v>0.35644125425009443</v>
      </c>
      <c r="J1903" s="33"/>
    </row>
    <row r="1904" spans="1:10">
      <c r="A1904" s="33" t="s">
        <v>36</v>
      </c>
      <c r="B1904" s="34">
        <v>303.28399999999999</v>
      </c>
      <c r="C1904" s="35">
        <v>6352.8</v>
      </c>
      <c r="D1904" s="33" t="s">
        <v>279</v>
      </c>
      <c r="E1904" s="34">
        <v>303.279</v>
      </c>
      <c r="F1904" s="36">
        <v>4.9999999999954499E-3</v>
      </c>
      <c r="G1904" s="34">
        <v>4.9999999999954499E-3</v>
      </c>
      <c r="H1904" s="35">
        <v>1.9</v>
      </c>
      <c r="I1904" s="37">
        <f t="shared" si="29"/>
        <v>2.990807203123032E-4</v>
      </c>
      <c r="J1904" s="33"/>
    </row>
    <row r="1905" spans="1:10">
      <c r="A1905" s="33" t="s">
        <v>36</v>
      </c>
      <c r="B1905" s="34">
        <v>303.28399999999999</v>
      </c>
      <c r="C1905" s="35">
        <v>6352.8</v>
      </c>
      <c r="D1905" s="33" t="s">
        <v>272</v>
      </c>
      <c r="E1905" s="34">
        <v>303.279</v>
      </c>
      <c r="F1905" s="36">
        <v>4.9999999999954499E-3</v>
      </c>
      <c r="G1905" s="34">
        <v>4.9999999999954499E-3</v>
      </c>
      <c r="H1905" s="35">
        <v>19.100000000000001</v>
      </c>
      <c r="I1905" s="37">
        <f t="shared" si="29"/>
        <v>3.0065482936657852E-3</v>
      </c>
      <c r="J1905" s="33"/>
    </row>
    <row r="1906" spans="1:10">
      <c r="A1906" s="33" t="s">
        <v>36</v>
      </c>
      <c r="B1906" s="34">
        <v>303.28399999999999</v>
      </c>
      <c r="C1906" s="35">
        <v>6352.8</v>
      </c>
      <c r="D1906" s="33" t="s">
        <v>284</v>
      </c>
      <c r="E1906" s="34">
        <v>303.28100000000001</v>
      </c>
      <c r="F1906" s="36">
        <v>2.9999999999858998E-3</v>
      </c>
      <c r="G1906" s="34">
        <v>2.9999999999858998E-3</v>
      </c>
      <c r="H1906" s="35">
        <v>0.3</v>
      </c>
      <c r="I1906" s="37">
        <f t="shared" si="29"/>
        <v>4.7223271628258404E-5</v>
      </c>
      <c r="J1906" s="33"/>
    </row>
    <row r="1907" spans="1:10">
      <c r="A1907" s="33" t="s">
        <v>36</v>
      </c>
      <c r="B1907" s="34">
        <v>303.28399999999999</v>
      </c>
      <c r="C1907" s="35">
        <v>6352.8</v>
      </c>
      <c r="D1907" s="33" t="s">
        <v>305</v>
      </c>
      <c r="E1907" s="34">
        <v>303.28500000000003</v>
      </c>
      <c r="F1907" s="36">
        <v>1.0000000000332E-3</v>
      </c>
      <c r="G1907" s="34">
        <v>1.0000000000332E-3</v>
      </c>
      <c r="H1907" s="35">
        <v>2.7</v>
      </c>
      <c r="I1907" s="37">
        <f t="shared" si="29"/>
        <v>4.2500944465432568E-4</v>
      </c>
      <c r="J1907" s="33"/>
    </row>
    <row r="1908" spans="1:10">
      <c r="A1908" s="33" t="s">
        <v>36</v>
      </c>
      <c r="B1908" s="34">
        <v>303.28399999999999</v>
      </c>
      <c r="C1908" s="35">
        <v>6352.8</v>
      </c>
      <c r="D1908" s="33" t="s">
        <v>239</v>
      </c>
      <c r="E1908" s="34">
        <v>303.29199999999997</v>
      </c>
      <c r="F1908" s="36">
        <v>7.9999999999813606E-3</v>
      </c>
      <c r="G1908" s="34">
        <v>7.9999999999813606E-3</v>
      </c>
      <c r="H1908" s="35">
        <v>152</v>
      </c>
      <c r="I1908" s="37">
        <f t="shared" si="29"/>
        <v>2.3926457624984257E-2</v>
      </c>
      <c r="J1908" s="33"/>
    </row>
    <row r="1909" spans="1:10">
      <c r="A1909" s="33" t="s">
        <v>36</v>
      </c>
      <c r="B1909" s="34">
        <v>303.28399999999999</v>
      </c>
      <c r="C1909" s="35">
        <v>6352.8</v>
      </c>
      <c r="D1909" s="33" t="s">
        <v>25</v>
      </c>
      <c r="E1909" s="34">
        <v>303.31200000000001</v>
      </c>
      <c r="F1909" s="36">
        <v>2.8000000000019998E-2</v>
      </c>
      <c r="G1909" s="34">
        <v>2.8000000000019998E-2</v>
      </c>
      <c r="H1909" s="35">
        <v>59.5</v>
      </c>
      <c r="I1909" s="37">
        <f t="shared" si="29"/>
        <v>9.3659488729379171E-3</v>
      </c>
      <c r="J1909" s="33" t="s">
        <v>116</v>
      </c>
    </row>
    <row r="1910" spans="1:10">
      <c r="A1910" s="33" t="s">
        <v>36</v>
      </c>
      <c r="B1910" s="34">
        <v>303.28399999999999</v>
      </c>
      <c r="C1910" s="35">
        <v>6352.8</v>
      </c>
      <c r="D1910" s="33" t="s">
        <v>277</v>
      </c>
      <c r="E1910" s="34">
        <v>303.31799999999998</v>
      </c>
      <c r="F1910" s="36">
        <v>3.3999999999991801E-2</v>
      </c>
      <c r="G1910" s="34">
        <v>3.3999999999991801E-2</v>
      </c>
      <c r="H1910" s="35">
        <v>237.2</v>
      </c>
      <c r="I1910" s="37">
        <f t="shared" si="29"/>
        <v>3.733786676740964E-2</v>
      </c>
      <c r="J1910" s="33"/>
    </row>
    <row r="1911" spans="1:10">
      <c r="A1911" s="33" t="s">
        <v>36</v>
      </c>
      <c r="B1911" s="34">
        <v>303.28399999999999</v>
      </c>
      <c r="C1911" s="35">
        <v>6352.8</v>
      </c>
      <c r="D1911" s="33" t="s">
        <v>33</v>
      </c>
      <c r="E1911" s="34">
        <v>303.31900000000002</v>
      </c>
      <c r="F1911" s="36">
        <v>3.5000000000024997E-2</v>
      </c>
      <c r="G1911" s="34">
        <v>3.5000000000024997E-2</v>
      </c>
      <c r="H1911" s="35">
        <v>148</v>
      </c>
      <c r="I1911" s="37">
        <f t="shared" si="29"/>
        <v>2.3296814003274147E-2</v>
      </c>
      <c r="J1911" s="33" t="s">
        <v>116</v>
      </c>
    </row>
    <row r="1912" spans="1:10">
      <c r="A1912" s="33" t="s">
        <v>36</v>
      </c>
      <c r="B1912" s="34">
        <v>303.28399999999999</v>
      </c>
      <c r="C1912" s="35">
        <v>6352.8</v>
      </c>
      <c r="D1912" s="33" t="s">
        <v>275</v>
      </c>
      <c r="E1912" s="34">
        <v>303.32400000000001</v>
      </c>
      <c r="F1912" s="36">
        <v>4.0000000000020498E-2</v>
      </c>
      <c r="G1912" s="34">
        <v>4.0000000000020498E-2</v>
      </c>
      <c r="H1912" s="35">
        <v>75.8</v>
      </c>
      <c r="I1912" s="37">
        <f t="shared" si="29"/>
        <v>1.1931746631406623E-2</v>
      </c>
      <c r="J1912" s="33"/>
    </row>
    <row r="1913" spans="1:10">
      <c r="A1913" s="33" t="s">
        <v>36</v>
      </c>
      <c r="B1913" s="34">
        <v>303.28399999999999</v>
      </c>
      <c r="C1913" s="35">
        <v>6352.8</v>
      </c>
      <c r="D1913" s="33" t="s">
        <v>276</v>
      </c>
      <c r="E1913" s="34">
        <v>303.32499999999999</v>
      </c>
      <c r="F1913" s="36">
        <v>4.0999999999996803E-2</v>
      </c>
      <c r="G1913" s="34">
        <v>4.0999999999996803E-2</v>
      </c>
      <c r="H1913" s="35">
        <v>1.5</v>
      </c>
      <c r="I1913" s="37">
        <f t="shared" si="29"/>
        <v>2.3611635814129201E-4</v>
      </c>
      <c r="J1913" s="33"/>
    </row>
    <row r="1914" spans="1:10">
      <c r="A1914" s="33" t="s">
        <v>36</v>
      </c>
      <c r="B1914" s="34">
        <v>303.28399999999999</v>
      </c>
      <c r="C1914" s="35">
        <v>6352.8</v>
      </c>
      <c r="D1914" s="33" t="s">
        <v>278</v>
      </c>
      <c r="E1914" s="34">
        <v>303.34399999999999</v>
      </c>
      <c r="F1914" s="36">
        <v>6.0000000000002301E-2</v>
      </c>
      <c r="G1914" s="34">
        <v>6.0000000000002301E-2</v>
      </c>
      <c r="H1914" s="35">
        <v>1446.3</v>
      </c>
      <c r="I1914" s="37">
        <f t="shared" si="29"/>
        <v>0.22766339251983375</v>
      </c>
      <c r="J1914" s="33"/>
    </row>
    <row r="1915" spans="1:10">
      <c r="A1915" s="33" t="s">
        <v>36</v>
      </c>
      <c r="B1915" s="34">
        <v>303.28399999999999</v>
      </c>
      <c r="C1915" s="35">
        <v>6352.8</v>
      </c>
      <c r="D1915" s="33" t="s">
        <v>268</v>
      </c>
      <c r="E1915" s="34">
        <v>303.34500000000003</v>
      </c>
      <c r="F1915" s="36">
        <v>6.1000000000035498E-2</v>
      </c>
      <c r="G1915" s="34">
        <v>6.1000000000035498E-2</v>
      </c>
      <c r="H1915" s="35">
        <v>19.899999999999999</v>
      </c>
      <c r="I1915" s="37">
        <f t="shared" si="29"/>
        <v>3.1324770180078073E-3</v>
      </c>
      <c r="J1915" s="33"/>
    </row>
    <row r="1916" spans="1:10">
      <c r="A1916" s="33" t="s">
        <v>36</v>
      </c>
      <c r="B1916" s="34">
        <v>303.28399999999999</v>
      </c>
      <c r="C1916" s="35">
        <v>6352.8</v>
      </c>
      <c r="D1916" s="33" t="s">
        <v>274</v>
      </c>
      <c r="E1916" s="34">
        <v>303.35700000000003</v>
      </c>
      <c r="F1916" s="36">
        <v>7.3000000000035897E-2</v>
      </c>
      <c r="G1916" s="34">
        <v>7.3000000000035897E-2</v>
      </c>
      <c r="H1916" s="35">
        <v>30</v>
      </c>
      <c r="I1916" s="37">
        <f t="shared" si="29"/>
        <v>4.7223271628258406E-3</v>
      </c>
      <c r="J1916" s="33"/>
    </row>
    <row r="1917" spans="1:10">
      <c r="A1917" s="33" t="s">
        <v>36</v>
      </c>
      <c r="B1917" s="34">
        <v>303.28399999999999</v>
      </c>
      <c r="C1917" s="35">
        <v>6352.8</v>
      </c>
      <c r="D1917" s="33" t="s">
        <v>240</v>
      </c>
      <c r="E1917" s="34">
        <v>303.35899999999998</v>
      </c>
      <c r="F1917" s="36">
        <v>7.4999999999988604E-2</v>
      </c>
      <c r="G1917" s="34">
        <v>7.4999999999988604E-2</v>
      </c>
      <c r="H1917" s="35">
        <v>16.899999999999999</v>
      </c>
      <c r="I1917" s="37">
        <f t="shared" si="29"/>
        <v>2.6602443017252233E-3</v>
      </c>
      <c r="J1917" s="33"/>
    </row>
    <row r="1918" spans="1:10">
      <c r="A1918" s="33" t="s">
        <v>36</v>
      </c>
      <c r="B1918" s="34">
        <v>303.28399999999999</v>
      </c>
      <c r="C1918" s="35">
        <v>6352.8</v>
      </c>
      <c r="D1918" s="33" t="s">
        <v>290</v>
      </c>
      <c r="E1918" s="34">
        <v>303.36200000000002</v>
      </c>
      <c r="F1918" s="36">
        <v>7.8000000000031405E-2</v>
      </c>
      <c r="G1918" s="34">
        <v>7.8000000000031405E-2</v>
      </c>
      <c r="H1918" s="35">
        <v>2.2999999999999998</v>
      </c>
      <c r="I1918" s="37">
        <f t="shared" si="29"/>
        <v>3.6204508248331442E-4</v>
      </c>
      <c r="J1918" s="33"/>
    </row>
    <row r="1919" spans="1:10">
      <c r="A1919" s="33" t="s">
        <v>36</v>
      </c>
      <c r="B1919" s="34">
        <v>303.28399999999999</v>
      </c>
      <c r="C1919" s="35">
        <v>6352.8</v>
      </c>
      <c r="D1919" s="33" t="s">
        <v>278</v>
      </c>
      <c r="E1919" s="34">
        <v>303.38200000000001</v>
      </c>
      <c r="F1919" s="36">
        <v>9.8000000000013202E-2</v>
      </c>
      <c r="G1919" s="34">
        <v>9.8000000000013202E-2</v>
      </c>
      <c r="H1919" s="35">
        <v>2010.5</v>
      </c>
      <c r="I1919" s="37">
        <f t="shared" si="29"/>
        <v>0.31647462536204507</v>
      </c>
      <c r="J1919" s="33"/>
    </row>
    <row r="1920" spans="1:10">
      <c r="A1920" s="33" t="s">
        <v>36</v>
      </c>
      <c r="B1920" s="34">
        <v>303.28399999999999</v>
      </c>
      <c r="C1920" s="35">
        <v>6352.8</v>
      </c>
      <c r="D1920" s="33" t="s">
        <v>36</v>
      </c>
      <c r="E1920" s="34">
        <v>303.40499999999997</v>
      </c>
      <c r="F1920" s="36">
        <v>0.120999999999981</v>
      </c>
      <c r="G1920" s="34">
        <v>0.120999999999981</v>
      </c>
      <c r="H1920" s="35">
        <v>4406.5</v>
      </c>
      <c r="I1920" s="37">
        <f t="shared" si="29"/>
        <v>0.69363115476640225</v>
      </c>
      <c r="J1920" s="33" t="s">
        <v>116</v>
      </c>
    </row>
    <row r="1921" spans="1:10">
      <c r="A1921" s="33" t="s">
        <v>36</v>
      </c>
      <c r="B1921" s="34">
        <v>303.28399999999999</v>
      </c>
      <c r="C1921" s="35">
        <v>6352.8</v>
      </c>
      <c r="D1921" s="33" t="s">
        <v>268</v>
      </c>
      <c r="E1921" s="34">
        <v>303.40499999999997</v>
      </c>
      <c r="F1921" s="36">
        <v>0.120999999999981</v>
      </c>
      <c r="G1921" s="34">
        <v>0.120999999999981</v>
      </c>
      <c r="H1921" s="35">
        <v>4.4000000000000004</v>
      </c>
      <c r="I1921" s="37">
        <f t="shared" si="29"/>
        <v>6.9260798388112331E-4</v>
      </c>
      <c r="J1921" s="33"/>
    </row>
    <row r="1922" spans="1:10">
      <c r="A1922" s="33" t="s">
        <v>36</v>
      </c>
      <c r="B1922" s="34">
        <v>303.28399999999999</v>
      </c>
      <c r="C1922" s="35">
        <v>6352.8</v>
      </c>
      <c r="D1922" s="33" t="s">
        <v>271</v>
      </c>
      <c r="E1922" s="34">
        <v>303.40699999999998</v>
      </c>
      <c r="F1922" s="36">
        <v>0.12299999999999101</v>
      </c>
      <c r="G1922" s="34">
        <v>0.12299999999999101</v>
      </c>
      <c r="H1922" s="35">
        <v>823.5</v>
      </c>
      <c r="I1922" s="37">
        <f t="shared" ref="I1922:I1985" si="30">H1922/C1922</f>
        <v>0.12962788061956931</v>
      </c>
      <c r="J1922" s="33"/>
    </row>
    <row r="1923" spans="1:10">
      <c r="A1923" s="33" t="s">
        <v>36</v>
      </c>
      <c r="B1923" s="34">
        <v>303.28399999999999</v>
      </c>
      <c r="C1923" s="35">
        <v>6352.8</v>
      </c>
      <c r="D1923" s="33" t="s">
        <v>109</v>
      </c>
      <c r="E1923" s="34">
        <v>303.40800000000002</v>
      </c>
      <c r="F1923" s="36">
        <v>0.12400000000002399</v>
      </c>
      <c r="G1923" s="34">
        <v>0.12400000000002399</v>
      </c>
      <c r="H1923" s="35">
        <v>139</v>
      </c>
      <c r="I1923" s="37">
        <f t="shared" si="30"/>
        <v>2.1880115854426393E-2</v>
      </c>
      <c r="J1923" s="33" t="s">
        <v>116</v>
      </c>
    </row>
    <row r="1924" spans="1:10">
      <c r="A1924" s="33" t="s">
        <v>36</v>
      </c>
      <c r="B1924" s="34">
        <v>303.28399999999999</v>
      </c>
      <c r="C1924" s="35">
        <v>6352.8</v>
      </c>
      <c r="D1924" s="33" t="s">
        <v>272</v>
      </c>
      <c r="E1924" s="34">
        <v>303.411</v>
      </c>
      <c r="F1924" s="36">
        <v>0.12700000000000999</v>
      </c>
      <c r="G1924" s="34">
        <v>0.12700000000000999</v>
      </c>
      <c r="H1924" s="35">
        <v>303.7</v>
      </c>
      <c r="I1924" s="37">
        <f t="shared" si="30"/>
        <v>4.7805691978340253E-2</v>
      </c>
      <c r="J1924" s="33"/>
    </row>
    <row r="1925" spans="1:10">
      <c r="A1925" s="33" t="s">
        <v>36</v>
      </c>
      <c r="B1925" s="34">
        <v>303.28399999999999</v>
      </c>
      <c r="C1925" s="35">
        <v>6352.8</v>
      </c>
      <c r="D1925" s="33" t="s">
        <v>239</v>
      </c>
      <c r="E1925" s="34">
        <v>303.41899999999998</v>
      </c>
      <c r="F1925" s="36">
        <v>0.13499999999999099</v>
      </c>
      <c r="G1925" s="34">
        <v>0.13499999999999099</v>
      </c>
      <c r="H1925" s="35">
        <v>61.4</v>
      </c>
      <c r="I1925" s="37">
        <f t="shared" si="30"/>
        <v>9.6650295932502201E-3</v>
      </c>
      <c r="J1925" s="33"/>
    </row>
    <row r="1926" spans="1:10">
      <c r="A1926" s="33" t="s">
        <v>36</v>
      </c>
      <c r="B1926" s="34">
        <v>303.28399999999999</v>
      </c>
      <c r="C1926" s="35">
        <v>6352.8</v>
      </c>
      <c r="D1926" s="33" t="s">
        <v>274</v>
      </c>
      <c r="E1926" s="34">
        <v>303.42</v>
      </c>
      <c r="F1926" s="36">
        <v>0.13600000000002399</v>
      </c>
      <c r="G1926" s="34">
        <v>0.13600000000002399</v>
      </c>
      <c r="H1926" s="35">
        <v>3.6</v>
      </c>
      <c r="I1926" s="37">
        <f t="shared" si="30"/>
        <v>5.6667925953910088E-4</v>
      </c>
      <c r="J1926" s="33"/>
    </row>
    <row r="1927" spans="1:10">
      <c r="A1927" s="33" t="s">
        <v>36</v>
      </c>
      <c r="B1927" s="34">
        <v>310.05</v>
      </c>
      <c r="C1927" s="35">
        <v>9161.1</v>
      </c>
      <c r="D1927" s="33" t="s">
        <v>109</v>
      </c>
      <c r="E1927" s="34">
        <v>309.86</v>
      </c>
      <c r="F1927" s="36">
        <v>0.189999999999998</v>
      </c>
      <c r="G1927" s="34">
        <v>0.189999999999998</v>
      </c>
      <c r="H1927" s="35">
        <v>1980.1</v>
      </c>
      <c r="I1927" s="37">
        <f t="shared" si="30"/>
        <v>0.2161421663337372</v>
      </c>
      <c r="J1927" s="33" t="s">
        <v>116</v>
      </c>
    </row>
    <row r="1928" spans="1:10">
      <c r="A1928" s="33" t="s">
        <v>36</v>
      </c>
      <c r="B1928" s="34">
        <v>310.05</v>
      </c>
      <c r="C1928" s="35">
        <v>9161.1</v>
      </c>
      <c r="D1928" s="33" t="s">
        <v>36</v>
      </c>
      <c r="E1928" s="34">
        <v>309.86500000000001</v>
      </c>
      <c r="F1928" s="36">
        <v>0.185000000000002</v>
      </c>
      <c r="G1928" s="34">
        <v>0.185000000000002</v>
      </c>
      <c r="H1928" s="35">
        <v>871.8</v>
      </c>
      <c r="I1928" s="37">
        <f t="shared" si="30"/>
        <v>9.5163244588531939E-2</v>
      </c>
      <c r="J1928" s="33" t="s">
        <v>116</v>
      </c>
    </row>
    <row r="1929" spans="1:10">
      <c r="A1929" s="33" t="s">
        <v>36</v>
      </c>
      <c r="B1929" s="34">
        <v>310.05</v>
      </c>
      <c r="C1929" s="35">
        <v>9161.1</v>
      </c>
      <c r="D1929" s="33" t="s">
        <v>165</v>
      </c>
      <c r="E1929" s="34">
        <v>309.911</v>
      </c>
      <c r="F1929" s="36">
        <v>0.13900000000001</v>
      </c>
      <c r="G1929" s="34">
        <v>0.13900000000001</v>
      </c>
      <c r="H1929" s="35">
        <v>42</v>
      </c>
      <c r="I1929" s="37">
        <f t="shared" si="30"/>
        <v>4.5846022857517106E-3</v>
      </c>
      <c r="J1929" s="33"/>
    </row>
    <row r="1930" spans="1:10">
      <c r="A1930" s="33" t="s">
        <v>36</v>
      </c>
      <c r="B1930" s="34">
        <v>310.05</v>
      </c>
      <c r="C1930" s="35">
        <v>9161.1</v>
      </c>
      <c r="D1930" s="33" t="s">
        <v>273</v>
      </c>
      <c r="E1930" s="34">
        <v>309.91800000000001</v>
      </c>
      <c r="F1930" s="36">
        <v>0.132000000000005</v>
      </c>
      <c r="G1930" s="34">
        <v>0.132000000000005</v>
      </c>
      <c r="H1930" s="35">
        <v>730.8</v>
      </c>
      <c r="I1930" s="37">
        <f t="shared" si="30"/>
        <v>7.9772079772079771E-2</v>
      </c>
      <c r="J1930" s="33"/>
    </row>
    <row r="1931" spans="1:10">
      <c r="A1931" s="33" t="s">
        <v>36</v>
      </c>
      <c r="B1931" s="34">
        <v>310.05</v>
      </c>
      <c r="C1931" s="35">
        <v>9161.1</v>
      </c>
      <c r="D1931" s="33" t="s">
        <v>84</v>
      </c>
      <c r="E1931" s="34">
        <v>309.91899999999998</v>
      </c>
      <c r="F1931" s="36">
        <v>0.13100000000002901</v>
      </c>
      <c r="G1931" s="34">
        <v>0.13100000000002901</v>
      </c>
      <c r="H1931" s="35">
        <v>1183.7</v>
      </c>
      <c r="I1931" s="37">
        <f t="shared" si="30"/>
        <v>0.12920937442010239</v>
      </c>
      <c r="J1931" s="33" t="s">
        <v>116</v>
      </c>
    </row>
    <row r="1932" spans="1:10">
      <c r="A1932" s="33" t="s">
        <v>36</v>
      </c>
      <c r="B1932" s="34">
        <v>310.05</v>
      </c>
      <c r="C1932" s="35">
        <v>9161.1</v>
      </c>
      <c r="D1932" s="33" t="s">
        <v>236</v>
      </c>
      <c r="E1932" s="34">
        <v>309.923</v>
      </c>
      <c r="F1932" s="36">
        <v>0.12700000000000999</v>
      </c>
      <c r="G1932" s="34">
        <v>0.12700000000000999</v>
      </c>
      <c r="H1932" s="35">
        <v>1394.8</v>
      </c>
      <c r="I1932" s="37">
        <f t="shared" si="30"/>
        <v>0.15225245876586871</v>
      </c>
      <c r="J1932" s="33"/>
    </row>
    <row r="1933" spans="1:10">
      <c r="A1933" s="33" t="s">
        <v>36</v>
      </c>
      <c r="B1933" s="34">
        <v>310.05</v>
      </c>
      <c r="C1933" s="35">
        <v>9161.1</v>
      </c>
      <c r="D1933" s="33" t="s">
        <v>275</v>
      </c>
      <c r="E1933" s="34">
        <v>309.92500000000001</v>
      </c>
      <c r="F1933" s="36">
        <v>0.125</v>
      </c>
      <c r="G1933" s="34">
        <v>0.125</v>
      </c>
      <c r="H1933" s="35">
        <v>30</v>
      </c>
      <c r="I1933" s="37">
        <f t="shared" si="30"/>
        <v>3.2747159183940792E-3</v>
      </c>
      <c r="J1933" s="33"/>
    </row>
    <row r="1934" spans="1:10">
      <c r="A1934" s="33" t="s">
        <v>36</v>
      </c>
      <c r="B1934" s="34">
        <v>310.05</v>
      </c>
      <c r="C1934" s="35">
        <v>9161.1</v>
      </c>
      <c r="D1934" s="33" t="s">
        <v>268</v>
      </c>
      <c r="E1934" s="34">
        <v>309.928</v>
      </c>
      <c r="F1934" s="36">
        <v>0.122000000000014</v>
      </c>
      <c r="G1934" s="34">
        <v>0.122000000000014</v>
      </c>
      <c r="H1934" s="35">
        <v>68.099999999999994</v>
      </c>
      <c r="I1934" s="37">
        <f t="shared" si="30"/>
        <v>7.4336051347545593E-3</v>
      </c>
      <c r="J1934" s="33"/>
    </row>
    <row r="1935" spans="1:10">
      <c r="A1935" s="33" t="s">
        <v>36</v>
      </c>
      <c r="B1935" s="34">
        <v>310.05</v>
      </c>
      <c r="C1935" s="35">
        <v>9161.1</v>
      </c>
      <c r="D1935" s="33" t="s">
        <v>307</v>
      </c>
      <c r="E1935" s="34">
        <v>309.94099999999997</v>
      </c>
      <c r="F1935" s="36">
        <v>0.109000000000037</v>
      </c>
      <c r="G1935" s="34">
        <v>0.109000000000037</v>
      </c>
      <c r="H1935" s="35">
        <v>2142</v>
      </c>
      <c r="I1935" s="37">
        <f t="shared" si="30"/>
        <v>0.23381471657333724</v>
      </c>
      <c r="J1935" s="33"/>
    </row>
    <row r="1936" spans="1:10">
      <c r="A1936" s="33" t="s">
        <v>36</v>
      </c>
      <c r="B1936" s="34">
        <v>310.05</v>
      </c>
      <c r="C1936" s="35">
        <v>9161.1</v>
      </c>
      <c r="D1936" s="33" t="s">
        <v>109</v>
      </c>
      <c r="E1936" s="34">
        <v>309.95999999999998</v>
      </c>
      <c r="F1936" s="36">
        <v>9.0000000000031805E-2</v>
      </c>
      <c r="G1936" s="34">
        <v>9.0000000000031805E-2</v>
      </c>
      <c r="H1936" s="35">
        <v>264.60000000000002</v>
      </c>
      <c r="I1936" s="37">
        <f t="shared" si="30"/>
        <v>2.8882994400235781E-2</v>
      </c>
      <c r="J1936" s="33" t="s">
        <v>116</v>
      </c>
    </row>
    <row r="1937" spans="1:10">
      <c r="A1937" s="33" t="s">
        <v>36</v>
      </c>
      <c r="B1937" s="34">
        <v>310.05</v>
      </c>
      <c r="C1937" s="35">
        <v>9161.1</v>
      </c>
      <c r="D1937" s="33" t="s">
        <v>54</v>
      </c>
      <c r="E1937" s="34">
        <v>309.96600000000001</v>
      </c>
      <c r="F1937" s="36">
        <v>8.4000000000003197E-2</v>
      </c>
      <c r="G1937" s="34">
        <v>8.4000000000003197E-2</v>
      </c>
      <c r="H1937" s="35">
        <v>1.2</v>
      </c>
      <c r="I1937" s="37">
        <f t="shared" si="30"/>
        <v>1.3098863673576317E-4</v>
      </c>
      <c r="J1937" s="33"/>
    </row>
    <row r="1938" spans="1:10">
      <c r="A1938" s="33" t="s">
        <v>36</v>
      </c>
      <c r="B1938" s="34">
        <v>310.05</v>
      </c>
      <c r="C1938" s="35">
        <v>9161.1</v>
      </c>
      <c r="D1938" s="33" t="s">
        <v>271</v>
      </c>
      <c r="E1938" s="34">
        <v>309.97399999999999</v>
      </c>
      <c r="F1938" s="36">
        <v>7.60000000000218E-2</v>
      </c>
      <c r="G1938" s="34">
        <v>7.60000000000218E-2</v>
      </c>
      <c r="H1938" s="35">
        <v>178.3</v>
      </c>
      <c r="I1938" s="37">
        <f t="shared" si="30"/>
        <v>1.9462728274988812E-2</v>
      </c>
      <c r="J1938" s="33"/>
    </row>
    <row r="1939" spans="1:10">
      <c r="A1939" s="33" t="s">
        <v>36</v>
      </c>
      <c r="B1939" s="34">
        <v>310.05</v>
      </c>
      <c r="C1939" s="35">
        <v>9161.1</v>
      </c>
      <c r="D1939" s="33" t="s">
        <v>286</v>
      </c>
      <c r="E1939" s="34">
        <v>309.99200000000002</v>
      </c>
      <c r="F1939" s="36">
        <v>5.7999999999992703E-2</v>
      </c>
      <c r="G1939" s="34">
        <v>5.7999999999992703E-2</v>
      </c>
      <c r="H1939" s="35">
        <v>6.5</v>
      </c>
      <c r="I1939" s="37">
        <f t="shared" si="30"/>
        <v>7.0952178231871714E-4</v>
      </c>
      <c r="J1939" s="33"/>
    </row>
    <row r="1940" spans="1:10">
      <c r="A1940" s="33" t="s">
        <v>36</v>
      </c>
      <c r="B1940" s="34">
        <v>310.05</v>
      </c>
      <c r="C1940" s="35">
        <v>9161.1</v>
      </c>
      <c r="D1940" s="33" t="s">
        <v>275</v>
      </c>
      <c r="E1940" s="34">
        <v>309.99200000000002</v>
      </c>
      <c r="F1940" s="36">
        <v>5.7999999999992703E-2</v>
      </c>
      <c r="G1940" s="34">
        <v>5.7999999999992703E-2</v>
      </c>
      <c r="H1940" s="35">
        <v>11.9</v>
      </c>
      <c r="I1940" s="37">
        <f t="shared" si="30"/>
        <v>1.2989706476296515E-3</v>
      </c>
      <c r="J1940" s="33"/>
    </row>
    <row r="1941" spans="1:10">
      <c r="A1941" s="33" t="s">
        <v>36</v>
      </c>
      <c r="B1941" s="34">
        <v>310.05</v>
      </c>
      <c r="C1941" s="35">
        <v>9161.1</v>
      </c>
      <c r="D1941" s="33" t="s">
        <v>97</v>
      </c>
      <c r="E1941" s="34">
        <v>309.99700000000001</v>
      </c>
      <c r="F1941" s="36">
        <v>5.2999999999997299E-2</v>
      </c>
      <c r="G1941" s="34">
        <v>5.2999999999997299E-2</v>
      </c>
      <c r="H1941" s="35">
        <v>38.1</v>
      </c>
      <c r="I1941" s="37">
        <f t="shared" si="30"/>
        <v>4.1588892163604806E-3</v>
      </c>
      <c r="J1941" s="33"/>
    </row>
    <row r="1942" spans="1:10">
      <c r="A1942" s="33" t="s">
        <v>36</v>
      </c>
      <c r="B1942" s="34">
        <v>310.05</v>
      </c>
      <c r="C1942" s="35">
        <v>9161.1</v>
      </c>
      <c r="D1942" s="33" t="s">
        <v>294</v>
      </c>
      <c r="E1942" s="34">
        <v>310.00200000000001</v>
      </c>
      <c r="F1942" s="36">
        <v>4.8000000000001798E-2</v>
      </c>
      <c r="G1942" s="34">
        <v>4.8000000000001798E-2</v>
      </c>
      <c r="H1942" s="35">
        <v>23.8</v>
      </c>
      <c r="I1942" s="37">
        <f t="shared" si="30"/>
        <v>2.597941295259303E-3</v>
      </c>
      <c r="J1942" s="33"/>
    </row>
    <row r="1943" spans="1:10">
      <c r="A1943" s="33" t="s">
        <v>36</v>
      </c>
      <c r="B1943" s="34">
        <v>310.05</v>
      </c>
      <c r="C1943" s="35">
        <v>9161.1</v>
      </c>
      <c r="D1943" s="33" t="s">
        <v>290</v>
      </c>
      <c r="E1943" s="34">
        <v>310.029</v>
      </c>
      <c r="F1943" s="36">
        <v>2.1000000000015E-2</v>
      </c>
      <c r="G1943" s="34">
        <v>2.1000000000015E-2</v>
      </c>
      <c r="H1943" s="35">
        <v>4.8</v>
      </c>
      <c r="I1943" s="37">
        <f t="shared" si="30"/>
        <v>5.2395454694305268E-4</v>
      </c>
      <c r="J1943" s="33"/>
    </row>
    <row r="1944" spans="1:10">
      <c r="A1944" s="33" t="s">
        <v>36</v>
      </c>
      <c r="B1944" s="34">
        <v>310.05</v>
      </c>
      <c r="C1944" s="35">
        <v>9161.1</v>
      </c>
      <c r="D1944" s="33" t="s">
        <v>240</v>
      </c>
      <c r="E1944" s="34">
        <v>310.03100000000001</v>
      </c>
      <c r="F1944" s="36">
        <v>1.9000000000005499E-2</v>
      </c>
      <c r="G1944" s="34">
        <v>1.9000000000005499E-2</v>
      </c>
      <c r="H1944" s="35">
        <v>4.2</v>
      </c>
      <c r="I1944" s="37">
        <f t="shared" si="30"/>
        <v>4.584602285751711E-4</v>
      </c>
      <c r="J1944" s="33"/>
    </row>
    <row r="1945" spans="1:10">
      <c r="A1945" s="33" t="s">
        <v>36</v>
      </c>
      <c r="B1945" s="34">
        <v>310.05</v>
      </c>
      <c r="C1945" s="35">
        <v>9161.1</v>
      </c>
      <c r="D1945" s="33" t="s">
        <v>275</v>
      </c>
      <c r="E1945" s="34">
        <v>310.03899999999999</v>
      </c>
      <c r="F1945" s="36">
        <v>1.10000000000241E-2</v>
      </c>
      <c r="G1945" s="34">
        <v>1.10000000000241E-2</v>
      </c>
      <c r="H1945" s="35">
        <v>24.2</v>
      </c>
      <c r="I1945" s="37">
        <f t="shared" si="30"/>
        <v>2.641604174171224E-3</v>
      </c>
      <c r="J1945" s="33"/>
    </row>
    <row r="1946" spans="1:10">
      <c r="A1946" s="33" t="s">
        <v>36</v>
      </c>
      <c r="B1946" s="34">
        <v>310.05</v>
      </c>
      <c r="C1946" s="35">
        <v>9161.1</v>
      </c>
      <c r="D1946" s="33" t="s">
        <v>290</v>
      </c>
      <c r="E1946" s="34">
        <v>310.04399999999998</v>
      </c>
      <c r="F1946" s="36">
        <v>6.00000000002865E-3</v>
      </c>
      <c r="G1946" s="34">
        <v>6.00000000002865E-3</v>
      </c>
      <c r="H1946" s="35">
        <v>91.9</v>
      </c>
      <c r="I1946" s="37">
        <f t="shared" si="30"/>
        <v>1.0031546430013864E-2</v>
      </c>
      <c r="J1946" s="33"/>
    </row>
    <row r="1947" spans="1:10">
      <c r="A1947" s="33" t="s">
        <v>36</v>
      </c>
      <c r="B1947" s="34">
        <v>310.05</v>
      </c>
      <c r="C1947" s="35">
        <v>9161.1</v>
      </c>
      <c r="D1947" s="33" t="s">
        <v>279</v>
      </c>
      <c r="E1947" s="34">
        <v>310.06299999999999</v>
      </c>
      <c r="F1947" s="36">
        <v>1.2999999999976799E-2</v>
      </c>
      <c r="G1947" s="34">
        <v>1.2999999999976799E-2</v>
      </c>
      <c r="H1947" s="35">
        <v>18.600000000000001</v>
      </c>
      <c r="I1947" s="37">
        <f t="shared" si="30"/>
        <v>2.0303238694043295E-3</v>
      </c>
      <c r="J1947" s="33"/>
    </row>
    <row r="1948" spans="1:10">
      <c r="A1948" s="33" t="s">
        <v>36</v>
      </c>
      <c r="B1948" s="34">
        <v>310.05</v>
      </c>
      <c r="C1948" s="35">
        <v>9161.1</v>
      </c>
      <c r="D1948" s="33" t="s">
        <v>97</v>
      </c>
      <c r="E1948" s="34">
        <v>310.06599999999997</v>
      </c>
      <c r="F1948" s="36">
        <v>1.59999999999627E-2</v>
      </c>
      <c r="G1948" s="34">
        <v>1.59999999999627E-2</v>
      </c>
      <c r="H1948" s="35">
        <v>28.1</v>
      </c>
      <c r="I1948" s="37">
        <f t="shared" si="30"/>
        <v>3.0673172435624545E-3</v>
      </c>
      <c r="J1948" s="33"/>
    </row>
    <row r="1949" spans="1:10">
      <c r="A1949" s="33" t="s">
        <v>36</v>
      </c>
      <c r="B1949" s="34">
        <v>310.05</v>
      </c>
      <c r="C1949" s="35">
        <v>9161.1</v>
      </c>
      <c r="D1949" s="33" t="s">
        <v>268</v>
      </c>
      <c r="E1949" s="34">
        <v>310.084</v>
      </c>
      <c r="F1949" s="36">
        <v>3.3999999999991801E-2</v>
      </c>
      <c r="G1949" s="34">
        <v>3.3999999999991801E-2</v>
      </c>
      <c r="H1949" s="35">
        <v>58.6</v>
      </c>
      <c r="I1949" s="37">
        <f t="shared" si="30"/>
        <v>6.3966117605964348E-3</v>
      </c>
      <c r="J1949" s="33"/>
    </row>
    <row r="1950" spans="1:10">
      <c r="A1950" s="33" t="s">
        <v>36</v>
      </c>
      <c r="B1950" s="34">
        <v>310.05</v>
      </c>
      <c r="C1950" s="35">
        <v>9161.1</v>
      </c>
      <c r="D1950" s="33" t="s">
        <v>278</v>
      </c>
      <c r="E1950" s="34">
        <v>310.09300000000002</v>
      </c>
      <c r="F1950" s="36">
        <v>4.3000000000006401E-2</v>
      </c>
      <c r="G1950" s="34">
        <v>4.3000000000006401E-2</v>
      </c>
      <c r="H1950" s="35">
        <v>1111.7</v>
      </c>
      <c r="I1950" s="37">
        <f t="shared" si="30"/>
        <v>0.1213500562159566</v>
      </c>
      <c r="J1950" s="33"/>
    </row>
    <row r="1951" spans="1:10">
      <c r="A1951" s="33" t="s">
        <v>36</v>
      </c>
      <c r="B1951" s="34">
        <v>310.05</v>
      </c>
      <c r="C1951" s="35">
        <v>9161.1</v>
      </c>
      <c r="D1951" s="33" t="s">
        <v>271</v>
      </c>
      <c r="E1951" s="34">
        <v>310.09399999999999</v>
      </c>
      <c r="F1951" s="36">
        <v>4.3999999999982699E-2</v>
      </c>
      <c r="G1951" s="34">
        <v>4.3999999999982699E-2</v>
      </c>
      <c r="H1951" s="35">
        <v>572.6</v>
      </c>
      <c r="I1951" s="37">
        <f t="shared" si="30"/>
        <v>6.2503411162414993E-2</v>
      </c>
      <c r="J1951" s="33"/>
    </row>
    <row r="1952" spans="1:10">
      <c r="A1952" s="33" t="s">
        <v>36</v>
      </c>
      <c r="B1952" s="34">
        <v>310.05</v>
      </c>
      <c r="C1952" s="35">
        <v>9161.1</v>
      </c>
      <c r="D1952" s="33" t="s">
        <v>193</v>
      </c>
      <c r="E1952" s="34">
        <v>310.10300000000001</v>
      </c>
      <c r="F1952" s="36">
        <v>5.2999999999997299E-2</v>
      </c>
      <c r="G1952" s="34">
        <v>5.2999999999997299E-2</v>
      </c>
      <c r="H1952" s="35">
        <v>192.5</v>
      </c>
      <c r="I1952" s="37">
        <f t="shared" si="30"/>
        <v>2.1012760476362007E-2</v>
      </c>
      <c r="J1952" s="33"/>
    </row>
    <row r="1953" spans="1:10">
      <c r="A1953" s="33" t="s">
        <v>36</v>
      </c>
      <c r="B1953" s="34">
        <v>310.05</v>
      </c>
      <c r="C1953" s="35">
        <v>9161.1</v>
      </c>
      <c r="D1953" s="33" t="s">
        <v>36</v>
      </c>
      <c r="E1953" s="34">
        <v>310.11900000000003</v>
      </c>
      <c r="F1953" s="36">
        <v>6.9000000000016798E-2</v>
      </c>
      <c r="G1953" s="34">
        <v>6.9000000000016798E-2</v>
      </c>
      <c r="H1953" s="35">
        <v>223.3</v>
      </c>
      <c r="I1953" s="37">
        <f t="shared" si="30"/>
        <v>2.4374802152579932E-2</v>
      </c>
      <c r="J1953" s="33" t="s">
        <v>116</v>
      </c>
    </row>
    <row r="1954" spans="1:10">
      <c r="A1954" s="33" t="s">
        <v>36</v>
      </c>
      <c r="B1954" s="34">
        <v>310.05</v>
      </c>
      <c r="C1954" s="35">
        <v>9161.1</v>
      </c>
      <c r="D1954" s="33" t="s">
        <v>275</v>
      </c>
      <c r="E1954" s="34">
        <v>310.13400000000001</v>
      </c>
      <c r="F1954" s="36">
        <v>8.4000000000003197E-2</v>
      </c>
      <c r="G1954" s="34">
        <v>8.4000000000003197E-2</v>
      </c>
      <c r="H1954" s="35">
        <v>45</v>
      </c>
      <c r="I1954" s="37">
        <f t="shared" si="30"/>
        <v>4.912073877591119E-3</v>
      </c>
      <c r="J1954" s="33"/>
    </row>
    <row r="1955" spans="1:10">
      <c r="A1955" s="33" t="s">
        <v>36</v>
      </c>
      <c r="B1955" s="34">
        <v>310.05</v>
      </c>
      <c r="C1955" s="35">
        <v>9161.1</v>
      </c>
      <c r="D1955" s="33" t="s">
        <v>63</v>
      </c>
      <c r="E1955" s="34">
        <v>310.13600000000002</v>
      </c>
      <c r="F1955" s="36">
        <v>8.6000000000012705E-2</v>
      </c>
      <c r="G1955" s="34">
        <v>8.6000000000012705E-2</v>
      </c>
      <c r="H1955" s="35">
        <v>138.30000000000001</v>
      </c>
      <c r="I1955" s="37">
        <f t="shared" si="30"/>
        <v>1.5096440383796707E-2</v>
      </c>
      <c r="J1955" s="33" t="s">
        <v>116</v>
      </c>
    </row>
    <row r="1956" spans="1:10">
      <c r="A1956" s="33" t="s">
        <v>36</v>
      </c>
      <c r="B1956" s="34">
        <v>310.05</v>
      </c>
      <c r="C1956" s="35">
        <v>9161.1</v>
      </c>
      <c r="D1956" s="33" t="s">
        <v>269</v>
      </c>
      <c r="E1956" s="34">
        <v>310.13900000000001</v>
      </c>
      <c r="F1956" s="36">
        <v>8.8999999999998594E-2</v>
      </c>
      <c r="G1956" s="34">
        <v>8.8999999999998594E-2</v>
      </c>
      <c r="H1956" s="35">
        <v>1391.7</v>
      </c>
      <c r="I1956" s="37">
        <f t="shared" si="30"/>
        <v>0.15191407145430133</v>
      </c>
      <c r="J1956" s="33"/>
    </row>
    <row r="1957" spans="1:10">
      <c r="A1957" s="33" t="s">
        <v>36</v>
      </c>
      <c r="B1957" s="34">
        <v>310.05</v>
      </c>
      <c r="C1957" s="35">
        <v>9161.1</v>
      </c>
      <c r="D1957" s="33" t="s">
        <v>237</v>
      </c>
      <c r="E1957" s="34">
        <v>310.14800000000002</v>
      </c>
      <c r="F1957" s="36">
        <v>9.8000000000013202E-2</v>
      </c>
      <c r="G1957" s="34">
        <v>9.8000000000013202E-2</v>
      </c>
      <c r="H1957" s="35">
        <v>74.7</v>
      </c>
      <c r="I1957" s="37">
        <f t="shared" si="30"/>
        <v>8.1540426368012578E-3</v>
      </c>
      <c r="J1957" s="33"/>
    </row>
    <row r="1958" spans="1:10">
      <c r="A1958" s="33" t="s">
        <v>36</v>
      </c>
      <c r="B1958" s="34">
        <v>310.05</v>
      </c>
      <c r="C1958" s="35">
        <v>9161.1</v>
      </c>
      <c r="D1958" s="33" t="s">
        <v>284</v>
      </c>
      <c r="E1958" s="34">
        <v>310.15300000000002</v>
      </c>
      <c r="F1958" s="36">
        <v>0.103000000000009</v>
      </c>
      <c r="G1958" s="34">
        <v>0.103000000000009</v>
      </c>
      <c r="H1958" s="35">
        <v>0.9</v>
      </c>
      <c r="I1958" s="37">
        <f t="shared" si="30"/>
        <v>9.8241477551822383E-5</v>
      </c>
      <c r="J1958" s="33"/>
    </row>
    <row r="1959" spans="1:10">
      <c r="A1959" s="33" t="s">
        <v>36</v>
      </c>
      <c r="B1959" s="34">
        <v>310.05</v>
      </c>
      <c r="C1959" s="35">
        <v>9161.1</v>
      </c>
      <c r="D1959" s="33" t="s">
        <v>165</v>
      </c>
      <c r="E1959" s="34">
        <v>310.15499999999997</v>
      </c>
      <c r="F1959" s="36">
        <v>0.104999999999961</v>
      </c>
      <c r="G1959" s="34">
        <v>0.104999999999961</v>
      </c>
      <c r="H1959" s="35">
        <v>1269.4000000000001</v>
      </c>
      <c r="I1959" s="37">
        <f t="shared" si="30"/>
        <v>0.13856414622698149</v>
      </c>
      <c r="J1959" s="33"/>
    </row>
    <row r="1960" spans="1:10">
      <c r="A1960" s="33" t="s">
        <v>36</v>
      </c>
      <c r="B1960" s="34">
        <v>310.05</v>
      </c>
      <c r="C1960" s="35">
        <v>9161.1</v>
      </c>
      <c r="D1960" s="33" t="s">
        <v>271</v>
      </c>
      <c r="E1960" s="34">
        <v>310.16899999999998</v>
      </c>
      <c r="F1960" s="36">
        <v>0.118999999999971</v>
      </c>
      <c r="G1960" s="34">
        <v>0.118999999999971</v>
      </c>
      <c r="H1960" s="35">
        <v>108.9</v>
      </c>
      <c r="I1960" s="37">
        <f t="shared" si="30"/>
        <v>1.1887218783770508E-2</v>
      </c>
      <c r="J1960" s="33"/>
    </row>
    <row r="1961" spans="1:10">
      <c r="A1961" s="33" t="s">
        <v>36</v>
      </c>
      <c r="B1961" s="34">
        <v>310.05</v>
      </c>
      <c r="C1961" s="35">
        <v>9161.1</v>
      </c>
      <c r="D1961" s="33" t="s">
        <v>165</v>
      </c>
      <c r="E1961" s="34">
        <v>310.18700000000001</v>
      </c>
      <c r="F1961" s="36">
        <v>0.13700000000000101</v>
      </c>
      <c r="G1961" s="34">
        <v>0.13700000000000101</v>
      </c>
      <c r="H1961" s="35">
        <v>549.4</v>
      </c>
      <c r="I1961" s="37">
        <f t="shared" si="30"/>
        <v>5.997096418552357E-2</v>
      </c>
      <c r="J1961" s="33"/>
    </row>
    <row r="1962" spans="1:10">
      <c r="A1962" s="33" t="s">
        <v>36</v>
      </c>
      <c r="B1962" s="34">
        <v>310.05</v>
      </c>
      <c r="C1962" s="35">
        <v>9161.1</v>
      </c>
      <c r="D1962" s="33" t="s">
        <v>36</v>
      </c>
      <c r="E1962" s="34">
        <v>310.19299999999998</v>
      </c>
      <c r="F1962" s="36">
        <v>0.14299999999997201</v>
      </c>
      <c r="G1962" s="34">
        <v>0.14299999999997201</v>
      </c>
      <c r="H1962" s="35">
        <v>459.2</v>
      </c>
      <c r="I1962" s="37">
        <f t="shared" si="30"/>
        <v>5.0124984990885371E-2</v>
      </c>
      <c r="J1962" s="33" t="s">
        <v>116</v>
      </c>
    </row>
    <row r="1963" spans="1:10">
      <c r="A1963" s="33" t="s">
        <v>36</v>
      </c>
      <c r="B1963" s="34">
        <v>310.05</v>
      </c>
      <c r="C1963" s="35">
        <v>9161.1</v>
      </c>
      <c r="D1963" s="33" t="s">
        <v>33</v>
      </c>
      <c r="E1963" s="34">
        <v>310.19299999999998</v>
      </c>
      <c r="F1963" s="36">
        <v>0.14299999999997201</v>
      </c>
      <c r="G1963" s="34">
        <v>0.14299999999997201</v>
      </c>
      <c r="H1963" s="35">
        <v>347.6</v>
      </c>
      <c r="I1963" s="37">
        <f t="shared" si="30"/>
        <v>3.7943041774459403E-2</v>
      </c>
      <c r="J1963" s="33" t="s">
        <v>116</v>
      </c>
    </row>
    <row r="1964" spans="1:10">
      <c r="A1964" s="33" t="s">
        <v>36</v>
      </c>
      <c r="B1964" s="34">
        <v>310.05</v>
      </c>
      <c r="C1964" s="35">
        <v>9161.1</v>
      </c>
      <c r="D1964" s="33" t="s">
        <v>63</v>
      </c>
      <c r="E1964" s="34">
        <v>310.20699999999999</v>
      </c>
      <c r="F1964" s="36">
        <v>0.15699999999998199</v>
      </c>
      <c r="G1964" s="34">
        <v>0.15699999999998199</v>
      </c>
      <c r="H1964" s="35">
        <v>80.5</v>
      </c>
      <c r="I1964" s="37">
        <f t="shared" si="30"/>
        <v>8.7871543810241117E-3</v>
      </c>
      <c r="J1964" s="33" t="s">
        <v>116</v>
      </c>
    </row>
    <row r="1965" spans="1:10">
      <c r="A1965" s="33" t="s">
        <v>36</v>
      </c>
      <c r="B1965" s="34">
        <v>310.05</v>
      </c>
      <c r="C1965" s="35">
        <v>9161.1</v>
      </c>
      <c r="D1965" s="33" t="s">
        <v>278</v>
      </c>
      <c r="E1965" s="34">
        <v>310.22899999999998</v>
      </c>
      <c r="F1965" s="36">
        <v>0.17899999999997401</v>
      </c>
      <c r="G1965" s="34">
        <v>0.17899999999997401</v>
      </c>
      <c r="H1965" s="35">
        <v>24095</v>
      </c>
      <c r="I1965" s="37">
        <f t="shared" si="30"/>
        <v>2.6301426684568447</v>
      </c>
      <c r="J1965" s="33"/>
    </row>
    <row r="1966" spans="1:10">
      <c r="A1966" s="33" t="s">
        <v>36</v>
      </c>
      <c r="B1966" s="34">
        <v>310.05</v>
      </c>
      <c r="C1966" s="35">
        <v>9161.1</v>
      </c>
      <c r="D1966" s="33" t="s">
        <v>307</v>
      </c>
      <c r="E1966" s="34">
        <v>310.23599999999999</v>
      </c>
      <c r="F1966" s="36">
        <v>0.18599999999997899</v>
      </c>
      <c r="G1966" s="34">
        <v>0.18599999999997899</v>
      </c>
      <c r="H1966" s="35">
        <v>1527</v>
      </c>
      <c r="I1966" s="37">
        <f t="shared" si="30"/>
        <v>0.16668304024625863</v>
      </c>
      <c r="J1966" s="33"/>
    </row>
    <row r="1967" spans="1:10">
      <c r="A1967" s="33" t="s">
        <v>36</v>
      </c>
      <c r="B1967" s="34">
        <v>335.048</v>
      </c>
      <c r="C1967" s="35">
        <v>47708.800000000003</v>
      </c>
      <c r="D1967" s="33" t="s">
        <v>184</v>
      </c>
      <c r="E1967" s="34">
        <v>334.92099999999999</v>
      </c>
      <c r="F1967" s="36">
        <v>0.12700000000000999</v>
      </c>
      <c r="G1967" s="34">
        <v>0.12700000000000999</v>
      </c>
      <c r="H1967" s="35">
        <v>37.299999999999997</v>
      </c>
      <c r="I1967" s="37">
        <f t="shared" si="30"/>
        <v>7.8182641357569247E-4</v>
      </c>
      <c r="J1967" s="33"/>
    </row>
    <row r="1968" spans="1:10">
      <c r="A1968" s="33" t="s">
        <v>36</v>
      </c>
      <c r="B1968" s="34">
        <v>335.048</v>
      </c>
      <c r="C1968" s="35">
        <v>47708.800000000003</v>
      </c>
      <c r="D1968" s="33" t="s">
        <v>286</v>
      </c>
      <c r="E1968" s="34">
        <v>334.92700000000002</v>
      </c>
      <c r="F1968" s="36">
        <v>0.120999999999981</v>
      </c>
      <c r="G1968" s="34">
        <v>0.120999999999981</v>
      </c>
      <c r="H1968" s="35">
        <v>13.7</v>
      </c>
      <c r="I1968" s="37">
        <f t="shared" si="30"/>
        <v>2.8715876316319001E-4</v>
      </c>
      <c r="J1968" s="33"/>
    </row>
    <row r="1969" spans="1:10">
      <c r="A1969" s="33" t="s">
        <v>36</v>
      </c>
      <c r="B1969" s="34">
        <v>335.048</v>
      </c>
      <c r="C1969" s="35">
        <v>47708.800000000003</v>
      </c>
      <c r="D1969" s="33" t="s">
        <v>239</v>
      </c>
      <c r="E1969" s="34">
        <v>334.93200000000002</v>
      </c>
      <c r="F1969" s="36">
        <v>0.115999999999985</v>
      </c>
      <c r="G1969" s="34">
        <v>0.115999999999985</v>
      </c>
      <c r="H1969" s="35">
        <v>99</v>
      </c>
      <c r="I1969" s="37">
        <f t="shared" si="30"/>
        <v>2.0750888724931247E-3</v>
      </c>
      <c r="J1969" s="33"/>
    </row>
    <row r="1970" spans="1:10">
      <c r="A1970" s="33" t="s">
        <v>36</v>
      </c>
      <c r="B1970" s="34">
        <v>335.048</v>
      </c>
      <c r="C1970" s="35">
        <v>47708.800000000003</v>
      </c>
      <c r="D1970" s="33" t="s">
        <v>237</v>
      </c>
      <c r="E1970" s="34">
        <v>334.94099999999997</v>
      </c>
      <c r="F1970" s="36">
        <v>0.107000000000028</v>
      </c>
      <c r="G1970" s="34">
        <v>0.107000000000028</v>
      </c>
      <c r="H1970" s="35">
        <v>298458.3</v>
      </c>
      <c r="I1970" s="37">
        <f t="shared" si="30"/>
        <v>6.255833305386008</v>
      </c>
      <c r="J1970" s="33"/>
    </row>
    <row r="1971" spans="1:10">
      <c r="A1971" s="33" t="s">
        <v>36</v>
      </c>
      <c r="B1971" s="34">
        <v>335.048</v>
      </c>
      <c r="C1971" s="35">
        <v>47708.800000000003</v>
      </c>
      <c r="D1971" s="33" t="s">
        <v>201</v>
      </c>
      <c r="E1971" s="34">
        <v>334.94200000000001</v>
      </c>
      <c r="F1971" s="36">
        <v>0.105999999999995</v>
      </c>
      <c r="G1971" s="34">
        <v>0.105999999999995</v>
      </c>
      <c r="H1971" s="35">
        <v>6216.7</v>
      </c>
      <c r="I1971" s="37">
        <f t="shared" si="30"/>
        <v>0.13030510094573747</v>
      </c>
      <c r="J1971" s="33"/>
    </row>
    <row r="1972" spans="1:10">
      <c r="A1972" s="33" t="s">
        <v>36</v>
      </c>
      <c r="B1972" s="34">
        <v>335.048</v>
      </c>
      <c r="C1972" s="35">
        <v>47708.800000000003</v>
      </c>
      <c r="D1972" s="33" t="s">
        <v>277</v>
      </c>
      <c r="E1972" s="34">
        <v>334.94299999999998</v>
      </c>
      <c r="F1972" s="36">
        <v>0.105000000000018</v>
      </c>
      <c r="G1972" s="34">
        <v>0.105000000000018</v>
      </c>
      <c r="H1972" s="35">
        <v>156.19999999999999</v>
      </c>
      <c r="I1972" s="37">
        <f t="shared" si="30"/>
        <v>3.2740291099335969E-3</v>
      </c>
      <c r="J1972" s="33"/>
    </row>
    <row r="1973" spans="1:10">
      <c r="A1973" s="33" t="s">
        <v>36</v>
      </c>
      <c r="B1973" s="34">
        <v>335.048</v>
      </c>
      <c r="C1973" s="35">
        <v>47708.800000000003</v>
      </c>
      <c r="D1973" s="33" t="s">
        <v>54</v>
      </c>
      <c r="E1973" s="34">
        <v>334.95100000000002</v>
      </c>
      <c r="F1973" s="36">
        <v>9.6999999999980005E-2</v>
      </c>
      <c r="G1973" s="34">
        <v>9.6999999999980005E-2</v>
      </c>
      <c r="H1973" s="35">
        <v>8</v>
      </c>
      <c r="I1973" s="37">
        <f t="shared" si="30"/>
        <v>1.6768394929237373E-4</v>
      </c>
      <c r="J1973" s="33"/>
    </row>
    <row r="1974" spans="1:10">
      <c r="A1974" s="33" t="s">
        <v>36</v>
      </c>
      <c r="B1974" s="34">
        <v>335.048</v>
      </c>
      <c r="C1974" s="35">
        <v>47708.800000000003</v>
      </c>
      <c r="D1974" s="33" t="s">
        <v>273</v>
      </c>
      <c r="E1974" s="34">
        <v>334.95100000000002</v>
      </c>
      <c r="F1974" s="36">
        <v>9.6999999999980005E-2</v>
      </c>
      <c r="G1974" s="34">
        <v>9.6999999999980005E-2</v>
      </c>
      <c r="H1974" s="35">
        <v>868.1</v>
      </c>
      <c r="I1974" s="37">
        <f t="shared" si="30"/>
        <v>1.8195804547588703E-2</v>
      </c>
      <c r="J1974" s="33"/>
    </row>
    <row r="1975" spans="1:10">
      <c r="A1975" s="33" t="s">
        <v>36</v>
      </c>
      <c r="B1975" s="34">
        <v>335.048</v>
      </c>
      <c r="C1975" s="35">
        <v>47708.800000000003</v>
      </c>
      <c r="D1975" s="33" t="s">
        <v>239</v>
      </c>
      <c r="E1975" s="34">
        <v>334.96499999999997</v>
      </c>
      <c r="F1975" s="36">
        <v>8.3000000000026802E-2</v>
      </c>
      <c r="G1975" s="34">
        <v>8.3000000000026802E-2</v>
      </c>
      <c r="H1975" s="35">
        <v>12.5</v>
      </c>
      <c r="I1975" s="37">
        <f t="shared" si="30"/>
        <v>2.6200617076933396E-4</v>
      </c>
      <c r="J1975" s="33"/>
    </row>
    <row r="1976" spans="1:10">
      <c r="A1976" s="33" t="s">
        <v>36</v>
      </c>
      <c r="B1976" s="34">
        <v>335.048</v>
      </c>
      <c r="C1976" s="35">
        <v>47708.800000000003</v>
      </c>
      <c r="D1976" s="33" t="s">
        <v>184</v>
      </c>
      <c r="E1976" s="34">
        <v>334.976</v>
      </c>
      <c r="F1976" s="36">
        <v>7.2000000000002701E-2</v>
      </c>
      <c r="G1976" s="34">
        <v>7.2000000000002701E-2</v>
      </c>
      <c r="H1976" s="35">
        <v>21.8</v>
      </c>
      <c r="I1976" s="37">
        <f t="shared" si="30"/>
        <v>4.5693876182171839E-4</v>
      </c>
      <c r="J1976" s="33"/>
    </row>
    <row r="1977" spans="1:10">
      <c r="A1977" s="33" t="s">
        <v>36</v>
      </c>
      <c r="B1977" s="34">
        <v>335.048</v>
      </c>
      <c r="C1977" s="35">
        <v>47708.800000000003</v>
      </c>
      <c r="D1977" s="33" t="s">
        <v>25</v>
      </c>
      <c r="E1977" s="34">
        <v>334.99599999999998</v>
      </c>
      <c r="F1977" s="36">
        <v>5.2000000000020898E-2</v>
      </c>
      <c r="G1977" s="34">
        <v>5.2000000000020898E-2</v>
      </c>
      <c r="H1977" s="35">
        <v>535.79999999999995</v>
      </c>
      <c r="I1977" s="37">
        <f t="shared" si="30"/>
        <v>1.123063250385673E-2</v>
      </c>
      <c r="J1977" s="33" t="s">
        <v>116</v>
      </c>
    </row>
    <row r="1978" spans="1:10">
      <c r="A1978" s="33" t="s">
        <v>36</v>
      </c>
      <c r="B1978" s="34">
        <v>335.048</v>
      </c>
      <c r="C1978" s="35">
        <v>47708.800000000003</v>
      </c>
      <c r="D1978" s="33" t="s">
        <v>109</v>
      </c>
      <c r="E1978" s="34">
        <v>334.99900000000002</v>
      </c>
      <c r="F1978" s="36">
        <v>4.89999999999782E-2</v>
      </c>
      <c r="G1978" s="34">
        <v>4.89999999999782E-2</v>
      </c>
      <c r="H1978" s="35">
        <v>58.2</v>
      </c>
      <c r="I1978" s="37">
        <f t="shared" si="30"/>
        <v>1.2199007311020189E-3</v>
      </c>
      <c r="J1978" s="33" t="s">
        <v>116</v>
      </c>
    </row>
    <row r="1979" spans="1:10">
      <c r="A1979" s="33" t="s">
        <v>36</v>
      </c>
      <c r="B1979" s="34">
        <v>335.048</v>
      </c>
      <c r="C1979" s="35">
        <v>47708.800000000003</v>
      </c>
      <c r="D1979" s="33" t="s">
        <v>184</v>
      </c>
      <c r="E1979" s="34">
        <v>335</v>
      </c>
      <c r="F1979" s="36">
        <v>4.8000000000001798E-2</v>
      </c>
      <c r="G1979" s="34">
        <v>4.8000000000001798E-2</v>
      </c>
      <c r="H1979" s="35">
        <v>12</v>
      </c>
      <c r="I1979" s="37">
        <f t="shared" si="30"/>
        <v>2.5152592393856059E-4</v>
      </c>
      <c r="J1979" s="33"/>
    </row>
    <row r="1980" spans="1:10">
      <c r="A1980" s="33" t="s">
        <v>36</v>
      </c>
      <c r="B1980" s="34">
        <v>335.048</v>
      </c>
      <c r="C1980" s="35">
        <v>47708.800000000003</v>
      </c>
      <c r="D1980" s="33" t="s">
        <v>84</v>
      </c>
      <c r="E1980" s="34">
        <v>335.00599999999997</v>
      </c>
      <c r="F1980" s="36">
        <v>4.2000000000029999E-2</v>
      </c>
      <c r="G1980" s="34">
        <v>4.2000000000029999E-2</v>
      </c>
      <c r="H1980" s="35">
        <v>5929.2</v>
      </c>
      <c r="I1980" s="37">
        <f t="shared" si="30"/>
        <v>0.12427895901804278</v>
      </c>
      <c r="J1980" s="33" t="s">
        <v>116</v>
      </c>
    </row>
    <row r="1981" spans="1:10">
      <c r="A1981" s="33" t="s">
        <v>36</v>
      </c>
      <c r="B1981" s="34">
        <v>335.048</v>
      </c>
      <c r="C1981" s="35">
        <v>47708.800000000003</v>
      </c>
      <c r="D1981" s="33" t="s">
        <v>36</v>
      </c>
      <c r="E1981" s="34">
        <v>335.00900000000001</v>
      </c>
      <c r="F1981" s="36">
        <v>3.8999999999987302E-2</v>
      </c>
      <c r="G1981" s="34">
        <v>3.8999999999987302E-2</v>
      </c>
      <c r="H1981" s="35">
        <v>1501.4</v>
      </c>
      <c r="I1981" s="37">
        <f t="shared" si="30"/>
        <v>3.1470085183446239E-2</v>
      </c>
      <c r="J1981" s="33" t="s">
        <v>116</v>
      </c>
    </row>
    <row r="1982" spans="1:10">
      <c r="A1982" s="33" t="s">
        <v>36</v>
      </c>
      <c r="B1982" s="34">
        <v>335.048</v>
      </c>
      <c r="C1982" s="35">
        <v>47708.800000000003</v>
      </c>
      <c r="D1982" s="33" t="s">
        <v>238</v>
      </c>
      <c r="E1982" s="34">
        <v>335.02</v>
      </c>
      <c r="F1982" s="36">
        <v>2.8000000000019998E-2</v>
      </c>
      <c r="G1982" s="34">
        <v>2.8000000000019998E-2</v>
      </c>
      <c r="H1982" s="35">
        <v>42.6</v>
      </c>
      <c r="I1982" s="37">
        <f t="shared" si="30"/>
        <v>8.9291702998189014E-4</v>
      </c>
      <c r="J1982" s="33"/>
    </row>
    <row r="1983" spans="1:10">
      <c r="A1983" s="33" t="s">
        <v>36</v>
      </c>
      <c r="B1983" s="34">
        <v>335.048</v>
      </c>
      <c r="C1983" s="35">
        <v>47708.800000000003</v>
      </c>
      <c r="D1983" s="33" t="s">
        <v>84</v>
      </c>
      <c r="E1983" s="34">
        <v>335.02600000000001</v>
      </c>
      <c r="F1983" s="36">
        <v>2.1999999999991401E-2</v>
      </c>
      <c r="G1983" s="34">
        <v>2.1999999999991401E-2</v>
      </c>
      <c r="H1983" s="35">
        <v>3195</v>
      </c>
      <c r="I1983" s="37">
        <f t="shared" si="30"/>
        <v>6.6968777248641753E-2</v>
      </c>
      <c r="J1983" s="33" t="s">
        <v>116</v>
      </c>
    </row>
    <row r="1984" spans="1:10">
      <c r="A1984" s="33" t="s">
        <v>36</v>
      </c>
      <c r="B1984" s="34">
        <v>335.048</v>
      </c>
      <c r="C1984" s="35">
        <v>47708.800000000003</v>
      </c>
      <c r="D1984" s="33" t="s">
        <v>275</v>
      </c>
      <c r="E1984" s="34">
        <v>335.029</v>
      </c>
      <c r="F1984" s="36">
        <v>1.9000000000005499E-2</v>
      </c>
      <c r="G1984" s="34">
        <v>1.9000000000005499E-2</v>
      </c>
      <c r="H1984" s="35">
        <v>20.8</v>
      </c>
      <c r="I1984" s="37">
        <f t="shared" si="30"/>
        <v>4.359782681601717E-4</v>
      </c>
      <c r="J1984" s="33"/>
    </row>
    <row r="1985" spans="1:10">
      <c r="A1985" s="33" t="s">
        <v>36</v>
      </c>
      <c r="B1985" s="34">
        <v>335.048</v>
      </c>
      <c r="C1985" s="35">
        <v>47708.800000000003</v>
      </c>
      <c r="D1985" s="33" t="s">
        <v>240</v>
      </c>
      <c r="E1985" s="34">
        <v>335.03899999999999</v>
      </c>
      <c r="F1985" s="36">
        <v>9.0000000000145502E-3</v>
      </c>
      <c r="G1985" s="34">
        <v>9.0000000000145502E-3</v>
      </c>
      <c r="H1985" s="35">
        <v>3</v>
      </c>
      <c r="I1985" s="37">
        <f t="shared" si="30"/>
        <v>6.2881480984640147E-5</v>
      </c>
      <c r="J1985" s="33"/>
    </row>
    <row r="1986" spans="1:10">
      <c r="A1986" s="33" t="s">
        <v>36</v>
      </c>
      <c r="B1986" s="34">
        <v>335.048</v>
      </c>
      <c r="C1986" s="35">
        <v>47708.800000000003</v>
      </c>
      <c r="D1986" s="33" t="s">
        <v>165</v>
      </c>
      <c r="E1986" s="34">
        <v>335.04199999999997</v>
      </c>
      <c r="F1986" s="36">
        <v>6.00000000002865E-3</v>
      </c>
      <c r="G1986" s="34">
        <v>6.00000000002865E-3</v>
      </c>
      <c r="H1986" s="35">
        <v>16.399999999999999</v>
      </c>
      <c r="I1986" s="37">
        <f t="shared" ref="I1986:I2049" si="31">H1986/C1986</f>
        <v>3.4375209604936612E-4</v>
      </c>
      <c r="J1986" s="33"/>
    </row>
    <row r="1987" spans="1:10">
      <c r="A1987" s="33" t="s">
        <v>36</v>
      </c>
      <c r="B1987" s="34">
        <v>335.048</v>
      </c>
      <c r="C1987" s="35">
        <v>47708.800000000003</v>
      </c>
      <c r="D1987" s="33" t="s">
        <v>94</v>
      </c>
      <c r="E1987" s="34">
        <v>335.04899999999998</v>
      </c>
      <c r="F1987" s="36">
        <v>9.9999999997635292E-4</v>
      </c>
      <c r="G1987" s="34">
        <v>9.9999999997635292E-4</v>
      </c>
      <c r="H1987" s="35">
        <v>3192</v>
      </c>
      <c r="I1987" s="37">
        <f t="shared" si="31"/>
        <v>6.6905895767657111E-2</v>
      </c>
      <c r="J1987" s="33" t="s">
        <v>116</v>
      </c>
    </row>
    <row r="1988" spans="1:10">
      <c r="A1988" s="33" t="s">
        <v>36</v>
      </c>
      <c r="B1988" s="34">
        <v>335.048</v>
      </c>
      <c r="C1988" s="35">
        <v>47708.800000000003</v>
      </c>
      <c r="D1988" s="33" t="s">
        <v>268</v>
      </c>
      <c r="E1988" s="34">
        <v>335.05</v>
      </c>
      <c r="F1988" s="36">
        <v>2.0000000000095501E-3</v>
      </c>
      <c r="G1988" s="34">
        <v>2.0000000000095501E-3</v>
      </c>
      <c r="H1988" s="35">
        <v>2</v>
      </c>
      <c r="I1988" s="37">
        <f t="shared" si="31"/>
        <v>4.1920987323093432E-5</v>
      </c>
      <c r="J1988" s="33"/>
    </row>
    <row r="1989" spans="1:10">
      <c r="A1989" s="33" t="s">
        <v>36</v>
      </c>
      <c r="B1989" s="34">
        <v>335.048</v>
      </c>
      <c r="C1989" s="35">
        <v>47708.800000000003</v>
      </c>
      <c r="D1989" s="33" t="s">
        <v>237</v>
      </c>
      <c r="E1989" s="34">
        <v>335.053</v>
      </c>
      <c r="F1989" s="36">
        <v>4.9999999999954499E-3</v>
      </c>
      <c r="G1989" s="34">
        <v>4.9999999999954499E-3</v>
      </c>
      <c r="H1989" s="35">
        <v>168.9</v>
      </c>
      <c r="I1989" s="37">
        <f t="shared" si="31"/>
        <v>3.5402273794352406E-3</v>
      </c>
      <c r="J1989" s="33"/>
    </row>
    <row r="1990" spans="1:10">
      <c r="A1990" s="33" t="s">
        <v>36</v>
      </c>
      <c r="B1990" s="34">
        <v>335.048</v>
      </c>
      <c r="C1990" s="35">
        <v>47708.800000000003</v>
      </c>
      <c r="D1990" s="33" t="s">
        <v>278</v>
      </c>
      <c r="E1990" s="34">
        <v>335.05599999999998</v>
      </c>
      <c r="F1990" s="36">
        <v>7.9999999999813606E-3</v>
      </c>
      <c r="G1990" s="34">
        <v>7.9999999999813606E-3</v>
      </c>
      <c r="H1990" s="35">
        <v>25.2</v>
      </c>
      <c r="I1990" s="37">
        <f t="shared" si="31"/>
        <v>5.2820444027097723E-4</v>
      </c>
      <c r="J1990" s="33"/>
    </row>
    <row r="1991" spans="1:10">
      <c r="A1991" s="33" t="s">
        <v>36</v>
      </c>
      <c r="B1991" s="34">
        <v>335.048</v>
      </c>
      <c r="C1991" s="35">
        <v>47708.800000000003</v>
      </c>
      <c r="D1991" s="33" t="s">
        <v>274</v>
      </c>
      <c r="E1991" s="34">
        <v>335.065</v>
      </c>
      <c r="F1991" s="36">
        <v>1.69999999999959E-2</v>
      </c>
      <c r="G1991" s="34">
        <v>1.69999999999959E-2</v>
      </c>
      <c r="H1991" s="35">
        <v>18.600000000000001</v>
      </c>
      <c r="I1991" s="37">
        <f t="shared" si="31"/>
        <v>3.8986518210476896E-4</v>
      </c>
      <c r="J1991" s="33"/>
    </row>
    <row r="1992" spans="1:10">
      <c r="A1992" s="33" t="s">
        <v>36</v>
      </c>
      <c r="B1992" s="34">
        <v>335.048</v>
      </c>
      <c r="C1992" s="35">
        <v>47708.800000000003</v>
      </c>
      <c r="D1992" s="33" t="s">
        <v>25</v>
      </c>
      <c r="E1992" s="34">
        <v>335.06799999999998</v>
      </c>
      <c r="F1992" s="36">
        <v>1.99999999999818E-2</v>
      </c>
      <c r="G1992" s="34">
        <v>1.99999999999818E-2</v>
      </c>
      <c r="H1992" s="35">
        <v>232.8</v>
      </c>
      <c r="I1992" s="37">
        <f t="shared" si="31"/>
        <v>4.8796029244080755E-3</v>
      </c>
      <c r="J1992" s="33" t="s">
        <v>116</v>
      </c>
    </row>
    <row r="1993" spans="1:10">
      <c r="A1993" s="33" t="s">
        <v>36</v>
      </c>
      <c r="B1993" s="34">
        <v>335.048</v>
      </c>
      <c r="C1993" s="35">
        <v>47708.800000000003</v>
      </c>
      <c r="D1993" s="33" t="s">
        <v>270</v>
      </c>
      <c r="E1993" s="34">
        <v>335.089</v>
      </c>
      <c r="F1993" s="36">
        <v>4.0999999999996803E-2</v>
      </c>
      <c r="G1993" s="34">
        <v>4.0999999999996803E-2</v>
      </c>
      <c r="H1993" s="35">
        <v>2020</v>
      </c>
      <c r="I1993" s="37">
        <f t="shared" si="31"/>
        <v>4.2340197196324363E-2</v>
      </c>
      <c r="J1993" s="33"/>
    </row>
    <row r="1994" spans="1:10">
      <c r="A1994" s="33" t="s">
        <v>36</v>
      </c>
      <c r="B1994" s="34">
        <v>335.048</v>
      </c>
      <c r="C1994" s="35">
        <v>47708.800000000003</v>
      </c>
      <c r="D1994" s="33" t="s">
        <v>193</v>
      </c>
      <c r="E1994" s="34">
        <v>335.096</v>
      </c>
      <c r="F1994" s="36">
        <v>4.8000000000001798E-2</v>
      </c>
      <c r="G1994" s="34">
        <v>4.8000000000001798E-2</v>
      </c>
      <c r="H1994" s="35">
        <v>19.2</v>
      </c>
      <c r="I1994" s="37">
        <f t="shared" si="31"/>
        <v>4.0244147830169693E-4</v>
      </c>
      <c r="J1994" s="33"/>
    </row>
    <row r="1995" spans="1:10">
      <c r="A1995" s="33" t="s">
        <v>36</v>
      </c>
      <c r="B1995" s="34">
        <v>335.048</v>
      </c>
      <c r="C1995" s="35">
        <v>47708.800000000003</v>
      </c>
      <c r="D1995" s="33" t="s">
        <v>63</v>
      </c>
      <c r="E1995" s="34">
        <v>335.10899999999998</v>
      </c>
      <c r="F1995" s="36">
        <v>6.0999999999978599E-2</v>
      </c>
      <c r="G1995" s="34">
        <v>6.0999999999978599E-2</v>
      </c>
      <c r="H1995" s="35">
        <v>28.2</v>
      </c>
      <c r="I1995" s="37">
        <f t="shared" si="31"/>
        <v>5.9108592125561735E-4</v>
      </c>
      <c r="J1995" s="33" t="s">
        <v>116</v>
      </c>
    </row>
    <row r="1996" spans="1:10">
      <c r="A1996" s="33" t="s">
        <v>36</v>
      </c>
      <c r="B1996" s="34">
        <v>335.048</v>
      </c>
      <c r="C1996" s="35">
        <v>47708.800000000003</v>
      </c>
      <c r="D1996" s="33" t="s">
        <v>54</v>
      </c>
      <c r="E1996" s="34">
        <v>335.113</v>
      </c>
      <c r="F1996" s="36">
        <v>6.4999999999997699E-2</v>
      </c>
      <c r="G1996" s="34">
        <v>6.4999999999997699E-2</v>
      </c>
      <c r="H1996" s="35">
        <v>5</v>
      </c>
      <c r="I1996" s="37">
        <f t="shared" si="31"/>
        <v>1.0480246830773358E-4</v>
      </c>
      <c r="J1996" s="33"/>
    </row>
    <row r="1997" spans="1:10">
      <c r="A1997" s="33" t="s">
        <v>36</v>
      </c>
      <c r="B1997" s="34">
        <v>335.048</v>
      </c>
      <c r="C1997" s="35">
        <v>47708.800000000003</v>
      </c>
      <c r="D1997" s="33" t="s">
        <v>184</v>
      </c>
      <c r="E1997" s="34">
        <v>335.11599999999999</v>
      </c>
      <c r="F1997" s="36">
        <v>6.7999999999983601E-2</v>
      </c>
      <c r="G1997" s="34">
        <v>6.7999999999983601E-2</v>
      </c>
      <c r="H1997" s="35">
        <v>29.6</v>
      </c>
      <c r="I1997" s="37">
        <f t="shared" si="31"/>
        <v>6.2043061238178281E-4</v>
      </c>
      <c r="J1997" s="33"/>
    </row>
    <row r="1998" spans="1:10">
      <c r="A1998" s="33" t="s">
        <v>36</v>
      </c>
      <c r="B1998" s="34">
        <v>335.048</v>
      </c>
      <c r="C1998" s="35">
        <v>47708.800000000003</v>
      </c>
      <c r="D1998" s="33" t="s">
        <v>271</v>
      </c>
      <c r="E1998" s="34">
        <v>335.12299999999999</v>
      </c>
      <c r="F1998" s="36">
        <v>7.4999999999988604E-2</v>
      </c>
      <c r="G1998" s="34">
        <v>7.4999999999988604E-2</v>
      </c>
      <c r="H1998" s="35">
        <v>8340</v>
      </c>
      <c r="I1998" s="37">
        <f t="shared" si="31"/>
        <v>0.17481051713729961</v>
      </c>
      <c r="J1998" s="33"/>
    </row>
    <row r="1999" spans="1:10">
      <c r="A1999" s="33" t="s">
        <v>36</v>
      </c>
      <c r="B1999" s="34">
        <v>335.048</v>
      </c>
      <c r="C1999" s="35">
        <v>47708.800000000003</v>
      </c>
      <c r="D1999" s="33" t="s">
        <v>302</v>
      </c>
      <c r="E1999" s="34">
        <v>335.12400000000002</v>
      </c>
      <c r="F1999" s="36">
        <v>7.60000000000218E-2</v>
      </c>
      <c r="G1999" s="34">
        <v>7.60000000000218E-2</v>
      </c>
      <c r="H1999" s="35">
        <v>61.6</v>
      </c>
      <c r="I1999" s="37">
        <f t="shared" si="31"/>
        <v>1.2911664095512777E-3</v>
      </c>
      <c r="J1999" s="33"/>
    </row>
    <row r="2000" spans="1:10">
      <c r="A2000" s="33" t="s">
        <v>36</v>
      </c>
      <c r="B2000" s="34">
        <v>335.048</v>
      </c>
      <c r="C2000" s="35">
        <v>47708.800000000003</v>
      </c>
      <c r="D2000" s="33" t="s">
        <v>239</v>
      </c>
      <c r="E2000" s="34">
        <v>335.149</v>
      </c>
      <c r="F2000" s="36">
        <v>0.10099999999999899</v>
      </c>
      <c r="G2000" s="34">
        <v>0.10099999999999899</v>
      </c>
      <c r="H2000" s="35">
        <v>14.9</v>
      </c>
      <c r="I2000" s="37">
        <f t="shared" si="31"/>
        <v>3.1231135555704606E-4</v>
      </c>
      <c r="J2000" s="33"/>
    </row>
    <row r="2001" spans="1:10">
      <c r="A2001" s="33" t="s">
        <v>36</v>
      </c>
      <c r="B2001" s="34">
        <v>335.048</v>
      </c>
      <c r="C2001" s="35">
        <v>47708.800000000003</v>
      </c>
      <c r="D2001" s="33" t="s">
        <v>193</v>
      </c>
      <c r="E2001" s="34">
        <v>335.15</v>
      </c>
      <c r="F2001" s="36">
        <v>0.101999999999975</v>
      </c>
      <c r="G2001" s="34">
        <v>0.101999999999975</v>
      </c>
      <c r="H2001" s="35">
        <v>38.9</v>
      </c>
      <c r="I2001" s="37">
        <f t="shared" si="31"/>
        <v>8.1536320343416724E-4</v>
      </c>
      <c r="J2001" s="33"/>
    </row>
    <row r="2002" spans="1:10">
      <c r="A2002" s="33" t="s">
        <v>36</v>
      </c>
      <c r="B2002" s="34">
        <v>335.048</v>
      </c>
      <c r="C2002" s="35">
        <v>47708.800000000003</v>
      </c>
      <c r="D2002" s="33" t="s">
        <v>25</v>
      </c>
      <c r="E2002" s="34">
        <v>335.15199999999999</v>
      </c>
      <c r="F2002" s="36">
        <v>0.10399999999998499</v>
      </c>
      <c r="G2002" s="34">
        <v>0.10399999999998499</v>
      </c>
      <c r="H2002" s="35">
        <v>158.9</v>
      </c>
      <c r="I2002" s="37">
        <f t="shared" si="31"/>
        <v>3.3306224428197731E-3</v>
      </c>
      <c r="J2002" s="33" t="s">
        <v>116</v>
      </c>
    </row>
    <row r="2003" spans="1:10">
      <c r="A2003" s="33" t="s">
        <v>36</v>
      </c>
      <c r="B2003" s="34">
        <v>335.048</v>
      </c>
      <c r="C2003" s="35">
        <v>47708.800000000003</v>
      </c>
      <c r="D2003" s="33" t="s">
        <v>54</v>
      </c>
      <c r="E2003" s="34">
        <v>335.154</v>
      </c>
      <c r="F2003" s="36">
        <v>0.105999999999995</v>
      </c>
      <c r="G2003" s="34">
        <v>0.105999999999995</v>
      </c>
      <c r="H2003" s="35">
        <v>23.8</v>
      </c>
      <c r="I2003" s="37">
        <f t="shared" si="31"/>
        <v>4.9885974914481187E-4</v>
      </c>
      <c r="J2003" s="33"/>
    </row>
    <row r="2004" spans="1:10">
      <c r="A2004" s="33" t="s">
        <v>36</v>
      </c>
      <c r="B2004" s="34">
        <v>335.048</v>
      </c>
      <c r="C2004" s="35">
        <v>47708.800000000003</v>
      </c>
      <c r="D2004" s="33" t="s">
        <v>280</v>
      </c>
      <c r="E2004" s="34">
        <v>335.15600000000001</v>
      </c>
      <c r="F2004" s="36">
        <v>0.108000000000004</v>
      </c>
      <c r="G2004" s="34">
        <v>0.108000000000004</v>
      </c>
      <c r="H2004" s="35">
        <v>383</v>
      </c>
      <c r="I2004" s="37">
        <f t="shared" si="31"/>
        <v>8.0278690723723928E-3</v>
      </c>
      <c r="J2004" s="33"/>
    </row>
    <row r="2005" spans="1:10">
      <c r="A2005" s="33" t="s">
        <v>36</v>
      </c>
      <c r="B2005" s="34">
        <v>335.048</v>
      </c>
      <c r="C2005" s="35">
        <v>47708.800000000003</v>
      </c>
      <c r="D2005" s="33" t="s">
        <v>237</v>
      </c>
      <c r="E2005" s="34">
        <v>335.16</v>
      </c>
      <c r="F2005" s="36">
        <v>0.112000000000023</v>
      </c>
      <c r="G2005" s="34">
        <v>0.112000000000023</v>
      </c>
      <c r="H2005" s="35">
        <v>214.4</v>
      </c>
      <c r="I2005" s="37">
        <f t="shared" si="31"/>
        <v>4.493929841035616E-3</v>
      </c>
      <c r="J2005" s="33"/>
    </row>
    <row r="2006" spans="1:10">
      <c r="A2006" s="33" t="s">
        <v>36</v>
      </c>
      <c r="B2006" s="34">
        <v>335.048</v>
      </c>
      <c r="C2006" s="35">
        <v>47708.800000000003</v>
      </c>
      <c r="D2006" s="33" t="s">
        <v>240</v>
      </c>
      <c r="E2006" s="34">
        <v>335.16699999999997</v>
      </c>
      <c r="F2006" s="36">
        <v>0.118999999999971</v>
      </c>
      <c r="G2006" s="34">
        <v>0.118999999999971</v>
      </c>
      <c r="H2006" s="35">
        <v>2.9</v>
      </c>
      <c r="I2006" s="37">
        <f t="shared" si="31"/>
        <v>6.0785431618485474E-5</v>
      </c>
      <c r="J2006" s="33"/>
    </row>
    <row r="2007" spans="1:10">
      <c r="A2007" s="33" t="s">
        <v>36</v>
      </c>
      <c r="B2007" s="34">
        <v>335.863</v>
      </c>
      <c r="C2007" s="35">
        <v>26661.1</v>
      </c>
      <c r="D2007" s="33" t="s">
        <v>109</v>
      </c>
      <c r="E2007" s="34">
        <v>335.77300000000002</v>
      </c>
      <c r="F2007" s="36">
        <v>8.9999999999975003E-2</v>
      </c>
      <c r="G2007" s="34">
        <v>8.9999999999975003E-2</v>
      </c>
      <c r="H2007" s="35">
        <v>47.4</v>
      </c>
      <c r="I2007" s="37">
        <f t="shared" si="31"/>
        <v>1.7778711305985126E-3</v>
      </c>
      <c r="J2007" s="33" t="s">
        <v>116</v>
      </c>
    </row>
    <row r="2008" spans="1:10">
      <c r="A2008" s="33" t="s">
        <v>36</v>
      </c>
      <c r="B2008" s="34">
        <v>335.863</v>
      </c>
      <c r="C2008" s="35">
        <v>26661.1</v>
      </c>
      <c r="D2008" s="33" t="s">
        <v>94</v>
      </c>
      <c r="E2008" s="34">
        <v>335.791</v>
      </c>
      <c r="F2008" s="36">
        <v>7.2000000000002701E-2</v>
      </c>
      <c r="G2008" s="34">
        <v>7.2000000000002701E-2</v>
      </c>
      <c r="H2008" s="35">
        <v>2479.6999999999998</v>
      </c>
      <c r="I2008" s="37">
        <f t="shared" si="31"/>
        <v>9.3008165454538633E-2</v>
      </c>
      <c r="J2008" s="33" t="s">
        <v>116</v>
      </c>
    </row>
    <row r="2009" spans="1:10">
      <c r="A2009" s="33" t="s">
        <v>36</v>
      </c>
      <c r="B2009" s="34">
        <v>335.863</v>
      </c>
      <c r="C2009" s="35">
        <v>26661.1</v>
      </c>
      <c r="D2009" s="33" t="s">
        <v>277</v>
      </c>
      <c r="E2009" s="34">
        <v>335.79300000000001</v>
      </c>
      <c r="F2009" s="36">
        <v>6.9999999999993207E-2</v>
      </c>
      <c r="G2009" s="34">
        <v>6.9999999999993207E-2</v>
      </c>
      <c r="H2009" s="35">
        <v>331.8</v>
      </c>
      <c r="I2009" s="37">
        <f t="shared" si="31"/>
        <v>1.2445097914189587E-2</v>
      </c>
      <c r="J2009" s="33"/>
    </row>
    <row r="2010" spans="1:10">
      <c r="A2010" s="33" t="s">
        <v>36</v>
      </c>
      <c r="B2010" s="34">
        <v>335.863</v>
      </c>
      <c r="C2010" s="35">
        <v>26661.1</v>
      </c>
      <c r="D2010" s="33" t="s">
        <v>284</v>
      </c>
      <c r="E2010" s="34">
        <v>335.79700000000003</v>
      </c>
      <c r="F2010" s="36">
        <v>6.5999999999974093E-2</v>
      </c>
      <c r="G2010" s="34">
        <v>6.5999999999974093E-2</v>
      </c>
      <c r="H2010" s="35">
        <v>1.7</v>
      </c>
      <c r="I2010" s="37">
        <f t="shared" si="31"/>
        <v>6.3763310591085897E-5</v>
      </c>
      <c r="J2010" s="33"/>
    </row>
    <row r="2011" spans="1:10">
      <c r="A2011" s="33" t="s">
        <v>36</v>
      </c>
      <c r="B2011" s="34">
        <v>335.863</v>
      </c>
      <c r="C2011" s="35">
        <v>26661.1</v>
      </c>
      <c r="D2011" s="33" t="s">
        <v>54</v>
      </c>
      <c r="E2011" s="34">
        <v>335.8</v>
      </c>
      <c r="F2011" s="36">
        <v>6.2999999999988204E-2</v>
      </c>
      <c r="G2011" s="34">
        <v>6.2999999999988204E-2</v>
      </c>
      <c r="H2011" s="35">
        <v>5</v>
      </c>
      <c r="I2011" s="37">
        <f t="shared" si="31"/>
        <v>1.8753914879731146E-4</v>
      </c>
      <c r="J2011" s="33"/>
    </row>
    <row r="2012" spans="1:10">
      <c r="A2012" s="33" t="s">
        <v>36</v>
      </c>
      <c r="B2012" s="34">
        <v>335.863</v>
      </c>
      <c r="C2012" s="35">
        <v>26661.1</v>
      </c>
      <c r="D2012" s="33" t="s">
        <v>279</v>
      </c>
      <c r="E2012" s="34">
        <v>335.803</v>
      </c>
      <c r="F2012" s="36">
        <v>6.0000000000002301E-2</v>
      </c>
      <c r="G2012" s="34">
        <v>6.0000000000002301E-2</v>
      </c>
      <c r="H2012" s="35">
        <v>11</v>
      </c>
      <c r="I2012" s="37">
        <f t="shared" si="31"/>
        <v>4.1258612735408517E-4</v>
      </c>
      <c r="J2012" s="33"/>
    </row>
    <row r="2013" spans="1:10">
      <c r="A2013" s="33" t="s">
        <v>36</v>
      </c>
      <c r="B2013" s="34">
        <v>335.863</v>
      </c>
      <c r="C2013" s="35">
        <v>26661.1</v>
      </c>
      <c r="D2013" s="33" t="s">
        <v>109</v>
      </c>
      <c r="E2013" s="34">
        <v>335.80900000000003</v>
      </c>
      <c r="F2013" s="36">
        <v>5.3999999999973597E-2</v>
      </c>
      <c r="G2013" s="34">
        <v>5.3999999999973597E-2</v>
      </c>
      <c r="H2013" s="35">
        <v>27.4</v>
      </c>
      <c r="I2013" s="37">
        <f t="shared" si="31"/>
        <v>1.0277145354092667E-3</v>
      </c>
      <c r="J2013" s="33" t="s">
        <v>116</v>
      </c>
    </row>
    <row r="2014" spans="1:10">
      <c r="A2014" s="33" t="s">
        <v>36</v>
      </c>
      <c r="B2014" s="34">
        <v>335.863</v>
      </c>
      <c r="C2014" s="35">
        <v>26661.1</v>
      </c>
      <c r="D2014" s="33" t="s">
        <v>275</v>
      </c>
      <c r="E2014" s="34">
        <v>335.81200000000001</v>
      </c>
      <c r="F2014" s="36">
        <v>5.0999999999987701E-2</v>
      </c>
      <c r="G2014" s="34">
        <v>5.0999999999987701E-2</v>
      </c>
      <c r="H2014" s="35">
        <v>432.5</v>
      </c>
      <c r="I2014" s="37">
        <f t="shared" si="31"/>
        <v>1.6222136370967439E-2</v>
      </c>
      <c r="J2014" s="33"/>
    </row>
    <row r="2015" spans="1:10">
      <c r="A2015" s="33" t="s">
        <v>36</v>
      </c>
      <c r="B2015" s="34">
        <v>335.863</v>
      </c>
      <c r="C2015" s="35">
        <v>26661.1</v>
      </c>
      <c r="D2015" s="33" t="s">
        <v>84</v>
      </c>
      <c r="E2015" s="34">
        <v>335.815</v>
      </c>
      <c r="F2015" s="36">
        <v>4.8000000000001798E-2</v>
      </c>
      <c r="G2015" s="34">
        <v>4.8000000000001798E-2</v>
      </c>
      <c r="H2015" s="35">
        <v>1152.8</v>
      </c>
      <c r="I2015" s="37">
        <f t="shared" si="31"/>
        <v>4.3239026146708125E-2</v>
      </c>
      <c r="J2015" s="33" t="s">
        <v>116</v>
      </c>
    </row>
    <row r="2016" spans="1:10">
      <c r="A2016" s="33" t="s">
        <v>36</v>
      </c>
      <c r="B2016" s="34">
        <v>335.863</v>
      </c>
      <c r="C2016" s="35">
        <v>26661.1</v>
      </c>
      <c r="D2016" s="33" t="s">
        <v>282</v>
      </c>
      <c r="E2016" s="34">
        <v>335.81900000000002</v>
      </c>
      <c r="F2016" s="36">
        <v>4.3999999999982699E-2</v>
      </c>
      <c r="G2016" s="34">
        <v>4.3999999999982699E-2</v>
      </c>
      <c r="H2016" s="35">
        <v>1.2</v>
      </c>
      <c r="I2016" s="37">
        <f t="shared" si="31"/>
        <v>4.5009395711354745E-5</v>
      </c>
      <c r="J2016" s="33"/>
    </row>
    <row r="2017" spans="1:10">
      <c r="A2017" s="33" t="s">
        <v>36</v>
      </c>
      <c r="B2017" s="34">
        <v>335.863</v>
      </c>
      <c r="C2017" s="35">
        <v>26661.1</v>
      </c>
      <c r="D2017" s="33" t="s">
        <v>237</v>
      </c>
      <c r="E2017" s="34">
        <v>335.827</v>
      </c>
      <c r="F2017" s="36">
        <v>3.6000000000001399E-2</v>
      </c>
      <c r="G2017" s="34">
        <v>3.6000000000001399E-2</v>
      </c>
      <c r="H2017" s="35">
        <v>110.6</v>
      </c>
      <c r="I2017" s="37">
        <f t="shared" si="31"/>
        <v>4.1483659713965294E-3</v>
      </c>
      <c r="J2017" s="33"/>
    </row>
    <row r="2018" spans="1:10">
      <c r="A2018" s="33" t="s">
        <v>36</v>
      </c>
      <c r="B2018" s="34">
        <v>335.863</v>
      </c>
      <c r="C2018" s="35">
        <v>26661.1</v>
      </c>
      <c r="D2018" s="33" t="s">
        <v>269</v>
      </c>
      <c r="E2018" s="34">
        <v>335.82900000000001</v>
      </c>
      <c r="F2018" s="36">
        <v>3.3999999999991801E-2</v>
      </c>
      <c r="G2018" s="34">
        <v>3.3999999999991801E-2</v>
      </c>
      <c r="H2018" s="35">
        <v>291.39999999999998</v>
      </c>
      <c r="I2018" s="37">
        <f t="shared" si="31"/>
        <v>1.0929781591907311E-2</v>
      </c>
      <c r="J2018" s="33"/>
    </row>
    <row r="2019" spans="1:10">
      <c r="A2019" s="33" t="s">
        <v>36</v>
      </c>
      <c r="B2019" s="34">
        <v>335.863</v>
      </c>
      <c r="C2019" s="35">
        <v>26661.1</v>
      </c>
      <c r="D2019" s="33" t="s">
        <v>33</v>
      </c>
      <c r="E2019" s="34">
        <v>335.83</v>
      </c>
      <c r="F2019" s="36">
        <v>3.3000000000015503E-2</v>
      </c>
      <c r="G2019" s="34">
        <v>3.3000000000015503E-2</v>
      </c>
      <c r="H2019" s="35">
        <v>340.6</v>
      </c>
      <c r="I2019" s="37">
        <f t="shared" si="31"/>
        <v>1.2775166816072856E-2</v>
      </c>
      <c r="J2019" s="33" t="s">
        <v>116</v>
      </c>
    </row>
    <row r="2020" spans="1:10">
      <c r="A2020" s="33" t="s">
        <v>36</v>
      </c>
      <c r="B2020" s="34">
        <v>335.863</v>
      </c>
      <c r="C2020" s="35">
        <v>26661.1</v>
      </c>
      <c r="D2020" s="33" t="s">
        <v>273</v>
      </c>
      <c r="E2020" s="34">
        <v>335.84199999999998</v>
      </c>
      <c r="F2020" s="36">
        <v>2.1000000000015E-2</v>
      </c>
      <c r="G2020" s="34">
        <v>2.1000000000015E-2</v>
      </c>
      <c r="H2020" s="35">
        <v>1318.9</v>
      </c>
      <c r="I2020" s="37">
        <f t="shared" si="31"/>
        <v>4.9469076669754815E-2</v>
      </c>
      <c r="J2020" s="33"/>
    </row>
    <row r="2021" spans="1:10">
      <c r="A2021" s="33" t="s">
        <v>36</v>
      </c>
      <c r="B2021" s="34">
        <v>335.863</v>
      </c>
      <c r="C2021" s="35">
        <v>26661.1</v>
      </c>
      <c r="D2021" s="33" t="s">
        <v>25</v>
      </c>
      <c r="E2021" s="34">
        <v>335.84300000000002</v>
      </c>
      <c r="F2021" s="36">
        <v>1.99999999999818E-2</v>
      </c>
      <c r="G2021" s="34">
        <v>1.99999999999818E-2</v>
      </c>
      <c r="H2021" s="35">
        <v>156.69999999999999</v>
      </c>
      <c r="I2021" s="37">
        <f t="shared" si="31"/>
        <v>5.8774769233077406E-3</v>
      </c>
      <c r="J2021" s="33" t="s">
        <v>116</v>
      </c>
    </row>
    <row r="2022" spans="1:10">
      <c r="A2022" s="33" t="s">
        <v>36</v>
      </c>
      <c r="B2022" s="34">
        <v>335.863</v>
      </c>
      <c r="C2022" s="35">
        <v>26661.1</v>
      </c>
      <c r="D2022" s="33" t="s">
        <v>239</v>
      </c>
      <c r="E2022" s="34">
        <v>335.84899999999999</v>
      </c>
      <c r="F2022" s="36">
        <v>1.4000000000009999E-2</v>
      </c>
      <c r="G2022" s="34">
        <v>1.4000000000009999E-2</v>
      </c>
      <c r="H2022" s="35">
        <v>2319.5</v>
      </c>
      <c r="I2022" s="37">
        <f t="shared" si="31"/>
        <v>8.6999411127072782E-2</v>
      </c>
      <c r="J2022" s="33"/>
    </row>
    <row r="2023" spans="1:10">
      <c r="A2023" s="33" t="s">
        <v>36</v>
      </c>
      <c r="B2023" s="34">
        <v>335.863</v>
      </c>
      <c r="C2023" s="35">
        <v>26661.1</v>
      </c>
      <c r="D2023" s="33" t="s">
        <v>54</v>
      </c>
      <c r="E2023" s="34">
        <v>335.86</v>
      </c>
      <c r="F2023" s="36">
        <v>2.9999999999858998E-3</v>
      </c>
      <c r="G2023" s="34">
        <v>2.9999999999858998E-3</v>
      </c>
      <c r="H2023" s="35">
        <v>11.2</v>
      </c>
      <c r="I2023" s="37">
        <f t="shared" si="31"/>
        <v>4.200876933059776E-4</v>
      </c>
      <c r="J2023" s="33"/>
    </row>
    <row r="2024" spans="1:10">
      <c r="A2024" s="33" t="s">
        <v>36</v>
      </c>
      <c r="B2024" s="34">
        <v>335.863</v>
      </c>
      <c r="C2024" s="35">
        <v>26661.1</v>
      </c>
      <c r="D2024" s="33" t="s">
        <v>33</v>
      </c>
      <c r="E2024" s="34">
        <v>335.86</v>
      </c>
      <c r="F2024" s="36">
        <v>2.9999999999858998E-3</v>
      </c>
      <c r="G2024" s="34">
        <v>2.9999999999858998E-3</v>
      </c>
      <c r="H2024" s="35">
        <v>446.9</v>
      </c>
      <c r="I2024" s="37">
        <f t="shared" si="31"/>
        <v>1.6762249119503695E-2</v>
      </c>
      <c r="J2024" s="33" t="s">
        <v>116</v>
      </c>
    </row>
    <row r="2025" spans="1:10">
      <c r="A2025" s="33" t="s">
        <v>36</v>
      </c>
      <c r="B2025" s="34">
        <v>335.863</v>
      </c>
      <c r="C2025" s="35">
        <v>26661.1</v>
      </c>
      <c r="D2025" s="33" t="s">
        <v>271</v>
      </c>
      <c r="E2025" s="34">
        <v>335.86</v>
      </c>
      <c r="F2025" s="36">
        <v>2.9999999999858998E-3</v>
      </c>
      <c r="G2025" s="34">
        <v>2.9999999999858998E-3</v>
      </c>
      <c r="H2025" s="35">
        <v>3253</v>
      </c>
      <c r="I2025" s="37">
        <f t="shared" si="31"/>
        <v>0.12201297020753082</v>
      </c>
      <c r="J2025" s="33"/>
    </row>
    <row r="2026" spans="1:10">
      <c r="A2026" s="33" t="s">
        <v>36</v>
      </c>
      <c r="B2026" s="34">
        <v>335.863</v>
      </c>
      <c r="C2026" s="35">
        <v>26661.1</v>
      </c>
      <c r="D2026" s="33" t="s">
        <v>274</v>
      </c>
      <c r="E2026" s="34">
        <v>335.86</v>
      </c>
      <c r="F2026" s="36">
        <v>2.9999999999858998E-3</v>
      </c>
      <c r="G2026" s="34">
        <v>2.9999999999858998E-3</v>
      </c>
      <c r="H2026" s="35">
        <v>165.8</v>
      </c>
      <c r="I2026" s="37">
        <f t="shared" si="31"/>
        <v>6.218798174118848E-3</v>
      </c>
      <c r="J2026" s="33"/>
    </row>
    <row r="2027" spans="1:10">
      <c r="A2027" s="33" t="s">
        <v>36</v>
      </c>
      <c r="B2027" s="34">
        <v>335.863</v>
      </c>
      <c r="C2027" s="35">
        <v>26661.1</v>
      </c>
      <c r="D2027" s="33" t="s">
        <v>193</v>
      </c>
      <c r="E2027" s="34">
        <v>335.87599999999998</v>
      </c>
      <c r="F2027" s="36">
        <v>1.2999999999976799E-2</v>
      </c>
      <c r="G2027" s="34">
        <v>1.2999999999976799E-2</v>
      </c>
      <c r="H2027" s="35">
        <v>116.7</v>
      </c>
      <c r="I2027" s="37">
        <f t="shared" si="31"/>
        <v>4.3771637329292493E-3</v>
      </c>
      <c r="J2027" s="33"/>
    </row>
    <row r="2028" spans="1:10">
      <c r="A2028" s="33" t="s">
        <v>36</v>
      </c>
      <c r="B2028" s="34">
        <v>335.863</v>
      </c>
      <c r="C2028" s="35">
        <v>26661.1</v>
      </c>
      <c r="D2028" s="33" t="s">
        <v>277</v>
      </c>
      <c r="E2028" s="34">
        <v>335.88900000000001</v>
      </c>
      <c r="F2028" s="36">
        <v>2.6000000000010501E-2</v>
      </c>
      <c r="G2028" s="34">
        <v>2.6000000000010501E-2</v>
      </c>
      <c r="H2028" s="35">
        <v>101.1</v>
      </c>
      <c r="I2028" s="37">
        <f t="shared" si="31"/>
        <v>3.7920415886816372E-3</v>
      </c>
      <c r="J2028" s="33"/>
    </row>
    <row r="2029" spans="1:10">
      <c r="A2029" s="33" t="s">
        <v>36</v>
      </c>
      <c r="B2029" s="34">
        <v>335.863</v>
      </c>
      <c r="C2029" s="35">
        <v>26661.1</v>
      </c>
      <c r="D2029" s="33" t="s">
        <v>269</v>
      </c>
      <c r="E2029" s="34">
        <v>335.89100000000002</v>
      </c>
      <c r="F2029" s="36">
        <v>2.8000000000019998E-2</v>
      </c>
      <c r="G2029" s="34">
        <v>2.8000000000019998E-2</v>
      </c>
      <c r="H2029" s="35">
        <v>60.7</v>
      </c>
      <c r="I2029" s="37">
        <f t="shared" si="31"/>
        <v>2.2767252663993612E-3</v>
      </c>
      <c r="J2029" s="33"/>
    </row>
    <row r="2030" spans="1:10">
      <c r="A2030" s="33" t="s">
        <v>36</v>
      </c>
      <c r="B2030" s="34">
        <v>335.863</v>
      </c>
      <c r="C2030" s="35">
        <v>26661.1</v>
      </c>
      <c r="D2030" s="33" t="s">
        <v>165</v>
      </c>
      <c r="E2030" s="34">
        <v>335.91</v>
      </c>
      <c r="F2030" s="36">
        <v>4.7000000000025501E-2</v>
      </c>
      <c r="G2030" s="34">
        <v>4.7000000000025501E-2</v>
      </c>
      <c r="H2030" s="35">
        <v>41.3</v>
      </c>
      <c r="I2030" s="37">
        <f t="shared" si="31"/>
        <v>1.5490733690657925E-3</v>
      </c>
      <c r="J2030" s="33"/>
    </row>
    <row r="2031" spans="1:10">
      <c r="A2031" s="33" t="s">
        <v>36</v>
      </c>
      <c r="B2031" s="34">
        <v>335.863</v>
      </c>
      <c r="C2031" s="35">
        <v>26661.1</v>
      </c>
      <c r="D2031" s="33" t="s">
        <v>279</v>
      </c>
      <c r="E2031" s="34">
        <v>335.923</v>
      </c>
      <c r="F2031" s="36">
        <v>6.0000000000002301E-2</v>
      </c>
      <c r="G2031" s="34">
        <v>6.0000000000002301E-2</v>
      </c>
      <c r="H2031" s="35">
        <v>10.6</v>
      </c>
      <c r="I2031" s="37">
        <f t="shared" si="31"/>
        <v>3.9758299545030026E-4</v>
      </c>
      <c r="J2031" s="33"/>
    </row>
    <row r="2032" spans="1:10">
      <c r="A2032" s="33" t="s">
        <v>36</v>
      </c>
      <c r="B2032" s="34">
        <v>335.863</v>
      </c>
      <c r="C2032" s="35">
        <v>26661.1</v>
      </c>
      <c r="D2032" s="33" t="s">
        <v>54</v>
      </c>
      <c r="E2032" s="34">
        <v>335.928</v>
      </c>
      <c r="F2032" s="36">
        <v>6.4999999999997699E-2</v>
      </c>
      <c r="G2032" s="34">
        <v>6.4999999999997699E-2</v>
      </c>
      <c r="H2032" s="35">
        <v>11.2</v>
      </c>
      <c r="I2032" s="37">
        <f t="shared" si="31"/>
        <v>4.200876933059776E-4</v>
      </c>
      <c r="J2032" s="33"/>
    </row>
    <row r="2033" spans="1:10">
      <c r="A2033" s="33" t="s">
        <v>36</v>
      </c>
      <c r="B2033" s="34">
        <v>335.863</v>
      </c>
      <c r="C2033" s="35">
        <v>26661.1</v>
      </c>
      <c r="D2033" s="33" t="s">
        <v>236</v>
      </c>
      <c r="E2033" s="34">
        <v>335.93599999999998</v>
      </c>
      <c r="F2033" s="36">
        <v>7.2999999999979095E-2</v>
      </c>
      <c r="G2033" s="34">
        <v>7.2999999999979095E-2</v>
      </c>
      <c r="H2033" s="35">
        <v>11.6</v>
      </c>
      <c r="I2033" s="37">
        <f t="shared" si="31"/>
        <v>4.3509082520976257E-4</v>
      </c>
      <c r="J2033" s="33"/>
    </row>
    <row r="2034" spans="1:10">
      <c r="A2034" s="33" t="s">
        <v>36</v>
      </c>
      <c r="B2034" s="34">
        <v>335.863</v>
      </c>
      <c r="C2034" s="35">
        <v>26661.1</v>
      </c>
      <c r="D2034" s="33" t="s">
        <v>33</v>
      </c>
      <c r="E2034" s="34">
        <v>335.94600000000003</v>
      </c>
      <c r="F2034" s="36">
        <v>8.3000000000026802E-2</v>
      </c>
      <c r="G2034" s="34">
        <v>8.3000000000026802E-2</v>
      </c>
      <c r="H2034" s="35">
        <v>809.3</v>
      </c>
      <c r="I2034" s="37">
        <f t="shared" si="31"/>
        <v>3.0355086624332828E-2</v>
      </c>
      <c r="J2034" s="33" t="s">
        <v>116</v>
      </c>
    </row>
    <row r="2035" spans="1:10">
      <c r="A2035" s="33" t="s">
        <v>36</v>
      </c>
      <c r="B2035" s="34">
        <v>335.863</v>
      </c>
      <c r="C2035" s="35">
        <v>26661.1</v>
      </c>
      <c r="D2035" s="33" t="s">
        <v>240</v>
      </c>
      <c r="E2035" s="34">
        <v>335.95299999999997</v>
      </c>
      <c r="F2035" s="36">
        <v>8.9999999999975003E-2</v>
      </c>
      <c r="G2035" s="34">
        <v>8.9999999999975003E-2</v>
      </c>
      <c r="H2035" s="35">
        <v>2.6</v>
      </c>
      <c r="I2035" s="37">
        <f t="shared" si="31"/>
        <v>9.7520357374601959E-5</v>
      </c>
      <c r="J2035" s="33"/>
    </row>
    <row r="2036" spans="1:10">
      <c r="A2036" s="33" t="s">
        <v>36</v>
      </c>
      <c r="B2036" s="34">
        <v>335.863</v>
      </c>
      <c r="C2036" s="35">
        <v>26661.1</v>
      </c>
      <c r="D2036" s="33" t="s">
        <v>85</v>
      </c>
      <c r="E2036" s="34">
        <v>335.95600000000002</v>
      </c>
      <c r="F2036" s="36">
        <v>9.3000000000017694E-2</v>
      </c>
      <c r="G2036" s="34">
        <v>9.3000000000017694E-2</v>
      </c>
      <c r="H2036" s="35">
        <v>2359.4</v>
      </c>
      <c r="I2036" s="37">
        <f t="shared" si="31"/>
        <v>8.8495973534475331E-2</v>
      </c>
      <c r="J2036" s="33" t="s">
        <v>116</v>
      </c>
    </row>
    <row r="2037" spans="1:10">
      <c r="A2037" s="33" t="s">
        <v>36</v>
      </c>
      <c r="B2037" s="34">
        <v>335.863</v>
      </c>
      <c r="C2037" s="35">
        <v>26661.1</v>
      </c>
      <c r="D2037" s="33" t="s">
        <v>165</v>
      </c>
      <c r="E2037" s="34">
        <v>335.95600000000002</v>
      </c>
      <c r="F2037" s="36">
        <v>9.3000000000017694E-2</v>
      </c>
      <c r="G2037" s="34">
        <v>9.3000000000017694E-2</v>
      </c>
      <c r="H2037" s="35">
        <v>1.1000000000000001</v>
      </c>
      <c r="I2037" s="37">
        <f t="shared" si="31"/>
        <v>4.1258612735408524E-5</v>
      </c>
      <c r="J2037" s="33"/>
    </row>
    <row r="2038" spans="1:10">
      <c r="A2038" s="33" t="s">
        <v>36</v>
      </c>
      <c r="B2038" s="34">
        <v>335.863</v>
      </c>
      <c r="C2038" s="35">
        <v>26661.1</v>
      </c>
      <c r="D2038" s="33" t="s">
        <v>184</v>
      </c>
      <c r="E2038" s="34">
        <v>335.96800000000002</v>
      </c>
      <c r="F2038" s="36">
        <v>0.105000000000018</v>
      </c>
      <c r="G2038" s="34">
        <v>0.105000000000018</v>
      </c>
      <c r="H2038" s="35">
        <v>37821.9</v>
      </c>
      <c r="I2038" s="37">
        <f t="shared" si="31"/>
        <v>1.4186173863794069</v>
      </c>
      <c r="J2038" s="33"/>
    </row>
    <row r="2039" spans="1:10">
      <c r="A2039" s="33" t="s">
        <v>36</v>
      </c>
      <c r="B2039" s="34">
        <v>335.863</v>
      </c>
      <c r="C2039" s="35">
        <v>26661.1</v>
      </c>
      <c r="D2039" s="33" t="s">
        <v>27</v>
      </c>
      <c r="E2039" s="34">
        <v>335.97699999999998</v>
      </c>
      <c r="F2039" s="36">
        <v>0.113999999999976</v>
      </c>
      <c r="G2039" s="34">
        <v>0.113999999999976</v>
      </c>
      <c r="H2039" s="35">
        <v>509.8</v>
      </c>
      <c r="I2039" s="37">
        <f t="shared" si="31"/>
        <v>1.9121491611373876E-2</v>
      </c>
      <c r="J2039" s="33" t="s">
        <v>116</v>
      </c>
    </row>
    <row r="2040" spans="1:10">
      <c r="A2040" s="33" t="s">
        <v>36</v>
      </c>
      <c r="B2040" s="34">
        <v>335.863</v>
      </c>
      <c r="C2040" s="35">
        <v>26661.1</v>
      </c>
      <c r="D2040" s="33" t="s">
        <v>282</v>
      </c>
      <c r="E2040" s="34">
        <v>335.98899999999998</v>
      </c>
      <c r="F2040" s="36">
        <v>0.12599999999997599</v>
      </c>
      <c r="G2040" s="34">
        <v>0.12599999999997599</v>
      </c>
      <c r="H2040" s="35">
        <v>24</v>
      </c>
      <c r="I2040" s="37">
        <f t="shared" si="31"/>
        <v>9.0018791422709495E-4</v>
      </c>
      <c r="J2040" s="33"/>
    </row>
    <row r="2041" spans="1:10">
      <c r="A2041" s="33" t="s">
        <v>36</v>
      </c>
      <c r="B2041" s="34">
        <v>335.863</v>
      </c>
      <c r="C2041" s="35">
        <v>26661.1</v>
      </c>
      <c r="D2041" s="33" t="s">
        <v>236</v>
      </c>
      <c r="E2041" s="34">
        <v>335.995</v>
      </c>
      <c r="F2041" s="36">
        <v>0.132000000000005</v>
      </c>
      <c r="G2041" s="34">
        <v>0.132000000000005</v>
      </c>
      <c r="H2041" s="35">
        <v>2386.6999999999998</v>
      </c>
      <c r="I2041" s="37">
        <f t="shared" si="31"/>
        <v>8.9519937286908643E-2</v>
      </c>
      <c r="J2041" s="33"/>
    </row>
    <row r="2042" spans="1:10">
      <c r="A2042" s="33" t="s">
        <v>36</v>
      </c>
      <c r="B2042" s="34">
        <v>335.863</v>
      </c>
      <c r="C2042" s="35">
        <v>26661.1</v>
      </c>
      <c r="D2042" s="33" t="s">
        <v>277</v>
      </c>
      <c r="E2042" s="34">
        <v>336.00099999999998</v>
      </c>
      <c r="F2042" s="36">
        <v>0.137999999999977</v>
      </c>
      <c r="G2042" s="34">
        <v>0.137999999999977</v>
      </c>
      <c r="H2042" s="35">
        <v>53.4</v>
      </c>
      <c r="I2042" s="37">
        <f t="shared" si="31"/>
        <v>2.0029181091552862E-3</v>
      </c>
      <c r="J2042" s="33"/>
    </row>
    <row r="2043" spans="1:10">
      <c r="A2043" s="33" t="s">
        <v>36</v>
      </c>
      <c r="B2043" s="34">
        <v>335.863</v>
      </c>
      <c r="C2043" s="35">
        <v>26661.1</v>
      </c>
      <c r="D2043" s="33" t="s">
        <v>269</v>
      </c>
      <c r="E2043" s="34">
        <v>336.00599999999997</v>
      </c>
      <c r="F2043" s="36">
        <v>0.14299999999997201</v>
      </c>
      <c r="G2043" s="34">
        <v>0.14299999999997201</v>
      </c>
      <c r="H2043" s="35">
        <v>38.5</v>
      </c>
      <c r="I2043" s="37">
        <f t="shared" si="31"/>
        <v>1.4440514457392981E-3</v>
      </c>
      <c r="J2043" s="33"/>
    </row>
    <row r="2044" spans="1:10">
      <c r="A2044" s="33" t="s">
        <v>36</v>
      </c>
      <c r="B2044" s="34">
        <v>335.863</v>
      </c>
      <c r="C2044" s="35">
        <v>26661.1</v>
      </c>
      <c r="D2044" s="33" t="s">
        <v>239</v>
      </c>
      <c r="E2044" s="34">
        <v>336.029</v>
      </c>
      <c r="F2044" s="36">
        <v>0.16599999999999701</v>
      </c>
      <c r="G2044" s="34">
        <v>0.16599999999999701</v>
      </c>
      <c r="H2044" s="35">
        <v>2261</v>
      </c>
      <c r="I2044" s="37">
        <f t="shared" si="31"/>
        <v>8.480520308614424E-2</v>
      </c>
      <c r="J2044" s="33"/>
    </row>
    <row r="2045" spans="1:10">
      <c r="A2045" s="33" t="s">
        <v>36</v>
      </c>
      <c r="B2045" s="34">
        <v>335.863</v>
      </c>
      <c r="C2045" s="35">
        <v>26661.1</v>
      </c>
      <c r="D2045" s="33" t="s">
        <v>271</v>
      </c>
      <c r="E2045" s="34">
        <v>336.03699999999998</v>
      </c>
      <c r="F2045" s="36">
        <v>0.17399999999997801</v>
      </c>
      <c r="G2045" s="34">
        <v>0.17399999999997801</v>
      </c>
      <c r="H2045" s="35">
        <v>526.70000000000005</v>
      </c>
      <c r="I2045" s="37">
        <f t="shared" si="31"/>
        <v>1.975537393430879E-2</v>
      </c>
      <c r="J2045" s="33"/>
    </row>
    <row r="2046" spans="1:10">
      <c r="A2046" s="33" t="s">
        <v>36</v>
      </c>
      <c r="B2046" s="34">
        <v>335.863</v>
      </c>
      <c r="C2046" s="35">
        <v>26661.1</v>
      </c>
      <c r="D2046" s="33" t="s">
        <v>236</v>
      </c>
      <c r="E2046" s="34">
        <v>336.041</v>
      </c>
      <c r="F2046" s="36">
        <v>0.17799999999999699</v>
      </c>
      <c r="G2046" s="34">
        <v>0.17799999999999699</v>
      </c>
      <c r="H2046" s="35">
        <v>53.3</v>
      </c>
      <c r="I2046" s="37">
        <f t="shared" si="31"/>
        <v>1.9991673261793401E-3</v>
      </c>
      <c r="J2046" s="33"/>
    </row>
    <row r="2047" spans="1:10">
      <c r="A2047" s="33" t="s">
        <v>36</v>
      </c>
      <c r="B2047" s="34">
        <v>336.22399999999999</v>
      </c>
      <c r="C2047" s="35">
        <v>31917.1</v>
      </c>
      <c r="D2047" s="33" t="s">
        <v>237</v>
      </c>
      <c r="E2047" s="34">
        <v>336.12200000000001</v>
      </c>
      <c r="F2047" s="36">
        <v>0.101999999999975</v>
      </c>
      <c r="G2047" s="34">
        <v>0.101999999999975</v>
      </c>
      <c r="H2047" s="35">
        <v>153944.4</v>
      </c>
      <c r="I2047" s="37">
        <f t="shared" si="31"/>
        <v>4.8232577521140705</v>
      </c>
      <c r="J2047" s="33"/>
    </row>
    <row r="2048" spans="1:10">
      <c r="A2048" s="33" t="s">
        <v>36</v>
      </c>
      <c r="B2048" s="34">
        <v>336.22399999999999</v>
      </c>
      <c r="C2048" s="35">
        <v>31917.1</v>
      </c>
      <c r="D2048" s="33" t="s">
        <v>165</v>
      </c>
      <c r="E2048" s="34">
        <v>336.12400000000002</v>
      </c>
      <c r="F2048" s="36">
        <v>9.9999999999965894E-2</v>
      </c>
      <c r="G2048" s="34">
        <v>9.9999999999965894E-2</v>
      </c>
      <c r="H2048" s="35">
        <v>15.4</v>
      </c>
      <c r="I2048" s="37">
        <f t="shared" si="31"/>
        <v>4.8249997650162457E-4</v>
      </c>
      <c r="J2048" s="33"/>
    </row>
    <row r="2049" spans="1:10">
      <c r="A2049" s="33" t="s">
        <v>36</v>
      </c>
      <c r="B2049" s="34">
        <v>336.22399999999999</v>
      </c>
      <c r="C2049" s="35">
        <v>31917.1</v>
      </c>
      <c r="D2049" s="33" t="s">
        <v>184</v>
      </c>
      <c r="E2049" s="34">
        <v>336.12599999999998</v>
      </c>
      <c r="F2049" s="36">
        <v>9.8000000000013202E-2</v>
      </c>
      <c r="G2049" s="34">
        <v>9.8000000000013202E-2</v>
      </c>
      <c r="H2049" s="35">
        <v>34631.4</v>
      </c>
      <c r="I2049" s="37">
        <f t="shared" si="31"/>
        <v>1.0850421874167766</v>
      </c>
      <c r="J2049" s="33"/>
    </row>
    <row r="2050" spans="1:10">
      <c r="A2050" s="33" t="s">
        <v>36</v>
      </c>
      <c r="B2050" s="34">
        <v>336.22399999999999</v>
      </c>
      <c r="C2050" s="35">
        <v>31917.1</v>
      </c>
      <c r="D2050" s="33" t="s">
        <v>275</v>
      </c>
      <c r="E2050" s="34">
        <v>336.137</v>
      </c>
      <c r="F2050" s="36">
        <v>8.69999999999891E-2</v>
      </c>
      <c r="G2050" s="34">
        <v>8.69999999999891E-2</v>
      </c>
      <c r="H2050" s="35">
        <v>65.3</v>
      </c>
      <c r="I2050" s="37">
        <f t="shared" ref="I2050:I2113" si="32">H2050/C2050</f>
        <v>2.0459252250361092E-3</v>
      </c>
      <c r="J2050" s="33"/>
    </row>
    <row r="2051" spans="1:10">
      <c r="A2051" s="33" t="s">
        <v>36</v>
      </c>
      <c r="B2051" s="34">
        <v>336.22399999999999</v>
      </c>
      <c r="C2051" s="35">
        <v>31917.1</v>
      </c>
      <c r="D2051" s="33" t="s">
        <v>270</v>
      </c>
      <c r="E2051" s="34">
        <v>336.14400000000001</v>
      </c>
      <c r="F2051" s="36">
        <v>7.9999999999984098E-2</v>
      </c>
      <c r="G2051" s="34">
        <v>7.9999999999984098E-2</v>
      </c>
      <c r="H2051" s="35">
        <v>403.3</v>
      </c>
      <c r="I2051" s="37">
        <f t="shared" si="32"/>
        <v>1.263585977422761E-2</v>
      </c>
      <c r="J2051" s="33"/>
    </row>
    <row r="2052" spans="1:10">
      <c r="A2052" s="33" t="s">
        <v>36</v>
      </c>
      <c r="B2052" s="34">
        <v>336.22399999999999</v>
      </c>
      <c r="C2052" s="35">
        <v>31917.1</v>
      </c>
      <c r="D2052" s="33" t="s">
        <v>278</v>
      </c>
      <c r="E2052" s="34">
        <v>336.15</v>
      </c>
      <c r="F2052" s="36">
        <v>7.4000000000012306E-2</v>
      </c>
      <c r="G2052" s="34">
        <v>7.4000000000012306E-2</v>
      </c>
      <c r="H2052" s="35">
        <v>129.1</v>
      </c>
      <c r="I2052" s="37">
        <f t="shared" si="32"/>
        <v>4.0448536991142675E-3</v>
      </c>
      <c r="J2052" s="33"/>
    </row>
    <row r="2053" spans="1:10">
      <c r="A2053" s="33" t="s">
        <v>36</v>
      </c>
      <c r="B2053" s="34">
        <v>336.22399999999999</v>
      </c>
      <c r="C2053" s="35">
        <v>31917.1</v>
      </c>
      <c r="D2053" s="33" t="s">
        <v>54</v>
      </c>
      <c r="E2053" s="34">
        <v>336.15499999999997</v>
      </c>
      <c r="F2053" s="36">
        <v>6.9000000000016798E-2</v>
      </c>
      <c r="G2053" s="34">
        <v>6.9000000000016798E-2</v>
      </c>
      <c r="H2053" s="35">
        <v>46.1</v>
      </c>
      <c r="I2053" s="37">
        <f t="shared" si="32"/>
        <v>1.4443668127743436E-3</v>
      </c>
      <c r="J2053" s="33"/>
    </row>
    <row r="2054" spans="1:10">
      <c r="A2054" s="33" t="s">
        <v>36</v>
      </c>
      <c r="B2054" s="34">
        <v>336.22399999999999</v>
      </c>
      <c r="C2054" s="35">
        <v>31917.1</v>
      </c>
      <c r="D2054" s="33" t="s">
        <v>165</v>
      </c>
      <c r="E2054" s="34">
        <v>336.15499999999997</v>
      </c>
      <c r="F2054" s="36">
        <v>6.9000000000016798E-2</v>
      </c>
      <c r="G2054" s="34">
        <v>6.9000000000016798E-2</v>
      </c>
      <c r="H2054" s="35">
        <v>274.5</v>
      </c>
      <c r="I2054" s="37">
        <f t="shared" si="32"/>
        <v>8.6004054253049304E-3</v>
      </c>
      <c r="J2054" s="33"/>
    </row>
    <row r="2055" spans="1:10">
      <c r="A2055" s="33" t="s">
        <v>36</v>
      </c>
      <c r="B2055" s="34">
        <v>336.22399999999999</v>
      </c>
      <c r="C2055" s="35">
        <v>31917.1</v>
      </c>
      <c r="D2055" s="33" t="s">
        <v>271</v>
      </c>
      <c r="E2055" s="34">
        <v>336.16199999999998</v>
      </c>
      <c r="F2055" s="36">
        <v>6.2000000000011803E-2</v>
      </c>
      <c r="G2055" s="34">
        <v>6.2000000000011803E-2</v>
      </c>
      <c r="H2055" s="35">
        <v>1085</v>
      </c>
      <c r="I2055" s="37">
        <f t="shared" si="32"/>
        <v>3.3994316526250817E-2</v>
      </c>
      <c r="J2055" s="33"/>
    </row>
    <row r="2056" spans="1:10">
      <c r="A2056" s="33" t="s">
        <v>36</v>
      </c>
      <c r="B2056" s="34">
        <v>336.22399999999999</v>
      </c>
      <c r="C2056" s="35">
        <v>31917.1</v>
      </c>
      <c r="D2056" s="33" t="s">
        <v>193</v>
      </c>
      <c r="E2056" s="34">
        <v>336.16399999999999</v>
      </c>
      <c r="F2056" s="36">
        <v>6.0000000000002301E-2</v>
      </c>
      <c r="G2056" s="34">
        <v>6.0000000000002301E-2</v>
      </c>
      <c r="H2056" s="35">
        <v>35.299999999999997</v>
      </c>
      <c r="I2056" s="37">
        <f t="shared" si="32"/>
        <v>1.1059902058771004E-3</v>
      </c>
      <c r="J2056" s="33"/>
    </row>
    <row r="2057" spans="1:10">
      <c r="A2057" s="33" t="s">
        <v>36</v>
      </c>
      <c r="B2057" s="34">
        <v>336.22399999999999</v>
      </c>
      <c r="C2057" s="35">
        <v>31917.1</v>
      </c>
      <c r="D2057" s="33" t="s">
        <v>84</v>
      </c>
      <c r="E2057" s="34">
        <v>336.16699999999997</v>
      </c>
      <c r="F2057" s="36">
        <v>5.7000000000016399E-2</v>
      </c>
      <c r="G2057" s="34">
        <v>5.7000000000016399E-2</v>
      </c>
      <c r="H2057" s="35">
        <v>576.5</v>
      </c>
      <c r="I2057" s="37">
        <f t="shared" si="32"/>
        <v>1.8062417951505622E-2</v>
      </c>
      <c r="J2057" s="33" t="s">
        <v>116</v>
      </c>
    </row>
    <row r="2058" spans="1:10">
      <c r="A2058" s="33" t="s">
        <v>36</v>
      </c>
      <c r="B2058" s="34">
        <v>336.22399999999999</v>
      </c>
      <c r="C2058" s="35">
        <v>31917.1</v>
      </c>
      <c r="D2058" s="33" t="s">
        <v>277</v>
      </c>
      <c r="E2058" s="34">
        <v>336.17200000000003</v>
      </c>
      <c r="F2058" s="36">
        <v>5.1999999999964103E-2</v>
      </c>
      <c r="G2058" s="34">
        <v>5.1999999999964103E-2</v>
      </c>
      <c r="H2058" s="35">
        <v>168.6</v>
      </c>
      <c r="I2058" s="37">
        <f t="shared" si="32"/>
        <v>5.2824348076736293E-3</v>
      </c>
      <c r="J2058" s="33"/>
    </row>
    <row r="2059" spans="1:10">
      <c r="A2059" s="33" t="s">
        <v>36</v>
      </c>
      <c r="B2059" s="34">
        <v>336.22399999999999</v>
      </c>
      <c r="C2059" s="35">
        <v>31917.1</v>
      </c>
      <c r="D2059" s="33" t="s">
        <v>25</v>
      </c>
      <c r="E2059" s="34">
        <v>336.17599999999999</v>
      </c>
      <c r="F2059" s="36">
        <v>4.8000000000001798E-2</v>
      </c>
      <c r="G2059" s="34">
        <v>4.8000000000001798E-2</v>
      </c>
      <c r="H2059" s="35">
        <v>435.3</v>
      </c>
      <c r="I2059" s="37">
        <f t="shared" si="32"/>
        <v>1.3638457127997218E-2</v>
      </c>
      <c r="J2059" s="33" t="s">
        <v>116</v>
      </c>
    </row>
    <row r="2060" spans="1:10">
      <c r="A2060" s="33" t="s">
        <v>36</v>
      </c>
      <c r="B2060" s="34">
        <v>336.22399999999999</v>
      </c>
      <c r="C2060" s="35">
        <v>31917.1</v>
      </c>
      <c r="D2060" s="33" t="s">
        <v>239</v>
      </c>
      <c r="E2060" s="34">
        <v>336.17700000000002</v>
      </c>
      <c r="F2060" s="36">
        <v>4.6999999999968602E-2</v>
      </c>
      <c r="G2060" s="34">
        <v>4.6999999999968602E-2</v>
      </c>
      <c r="H2060" s="35">
        <v>381.4</v>
      </c>
      <c r="I2060" s="37">
        <f t="shared" si="32"/>
        <v>1.1949707210241531E-2</v>
      </c>
      <c r="J2060" s="33"/>
    </row>
    <row r="2061" spans="1:10">
      <c r="A2061" s="33" t="s">
        <v>36</v>
      </c>
      <c r="B2061" s="34">
        <v>336.22399999999999</v>
      </c>
      <c r="C2061" s="35">
        <v>31917.1</v>
      </c>
      <c r="D2061" s="33" t="s">
        <v>238</v>
      </c>
      <c r="E2061" s="34">
        <v>336.19099999999997</v>
      </c>
      <c r="F2061" s="36">
        <v>3.3000000000015503E-2</v>
      </c>
      <c r="G2061" s="34">
        <v>3.3000000000015503E-2</v>
      </c>
      <c r="H2061" s="35">
        <v>49.4</v>
      </c>
      <c r="I2061" s="37">
        <f t="shared" si="32"/>
        <v>1.5477596648818346E-3</v>
      </c>
      <c r="J2061" s="33"/>
    </row>
    <row r="2062" spans="1:10">
      <c r="A2062" s="33" t="s">
        <v>36</v>
      </c>
      <c r="B2062" s="34">
        <v>336.22399999999999</v>
      </c>
      <c r="C2062" s="35">
        <v>31917.1</v>
      </c>
      <c r="D2062" s="33" t="s">
        <v>184</v>
      </c>
      <c r="E2062" s="34">
        <v>336.19299999999998</v>
      </c>
      <c r="F2062" s="36">
        <v>3.1000000000005901E-2</v>
      </c>
      <c r="G2062" s="34">
        <v>3.1000000000005901E-2</v>
      </c>
      <c r="H2062" s="35">
        <v>37163.800000000003</v>
      </c>
      <c r="I2062" s="37">
        <f t="shared" si="32"/>
        <v>1.1643852355007192</v>
      </c>
      <c r="J2062" s="33"/>
    </row>
    <row r="2063" spans="1:10">
      <c r="A2063" s="33" t="s">
        <v>36</v>
      </c>
      <c r="B2063" s="34">
        <v>336.22399999999999</v>
      </c>
      <c r="C2063" s="35">
        <v>31917.1</v>
      </c>
      <c r="D2063" s="33" t="s">
        <v>116</v>
      </c>
      <c r="E2063" s="34">
        <v>336.19900000000001</v>
      </c>
      <c r="F2063" s="36">
        <v>2.4999999999977301E-2</v>
      </c>
      <c r="G2063" s="34">
        <v>2.4999999999977301E-2</v>
      </c>
      <c r="H2063" s="35">
        <v>2215.8000000000002</v>
      </c>
      <c r="I2063" s="37">
        <f t="shared" si="32"/>
        <v>6.9423600515084394E-2</v>
      </c>
      <c r="J2063" s="33" t="s">
        <v>116</v>
      </c>
    </row>
    <row r="2064" spans="1:10">
      <c r="A2064" s="33" t="s">
        <v>36</v>
      </c>
      <c r="B2064" s="34">
        <v>336.22399999999999</v>
      </c>
      <c r="C2064" s="35">
        <v>31917.1</v>
      </c>
      <c r="D2064" s="33" t="s">
        <v>268</v>
      </c>
      <c r="E2064" s="34">
        <v>336.2</v>
      </c>
      <c r="F2064" s="36">
        <v>2.4000000000000899E-2</v>
      </c>
      <c r="G2064" s="34">
        <v>2.4000000000000899E-2</v>
      </c>
      <c r="H2064" s="35">
        <v>20.2</v>
      </c>
      <c r="I2064" s="37">
        <f t="shared" si="32"/>
        <v>6.3288957956706597E-4</v>
      </c>
      <c r="J2064" s="33"/>
    </row>
    <row r="2065" spans="1:10">
      <c r="A2065" s="33" t="s">
        <v>36</v>
      </c>
      <c r="B2065" s="34">
        <v>336.22399999999999</v>
      </c>
      <c r="C2065" s="35">
        <v>31917.1</v>
      </c>
      <c r="D2065" s="33" t="s">
        <v>282</v>
      </c>
      <c r="E2065" s="34">
        <v>336.21800000000002</v>
      </c>
      <c r="F2065" s="36">
        <v>5.99999999997181E-3</v>
      </c>
      <c r="G2065" s="34">
        <v>5.99999999997181E-3</v>
      </c>
      <c r="H2065" s="35">
        <v>12.7</v>
      </c>
      <c r="I2065" s="37">
        <f t="shared" si="32"/>
        <v>3.9790582477731371E-4</v>
      </c>
      <c r="J2065" s="33"/>
    </row>
    <row r="2066" spans="1:10">
      <c r="A2066" s="33" t="s">
        <v>36</v>
      </c>
      <c r="B2066" s="34">
        <v>336.22399999999999</v>
      </c>
      <c r="C2066" s="35">
        <v>31917.1</v>
      </c>
      <c r="D2066" s="33" t="s">
        <v>239</v>
      </c>
      <c r="E2066" s="34">
        <v>336.22199999999998</v>
      </c>
      <c r="F2066" s="36">
        <v>2.0000000000095501E-3</v>
      </c>
      <c r="G2066" s="34">
        <v>2.0000000000095501E-3</v>
      </c>
      <c r="H2066" s="35">
        <v>13.9</v>
      </c>
      <c r="I2066" s="37">
        <f t="shared" si="32"/>
        <v>4.3550322554367413E-4</v>
      </c>
      <c r="J2066" s="33"/>
    </row>
    <row r="2067" spans="1:10">
      <c r="A2067" s="33" t="s">
        <v>36</v>
      </c>
      <c r="B2067" s="34">
        <v>336.22399999999999</v>
      </c>
      <c r="C2067" s="35">
        <v>31917.1</v>
      </c>
      <c r="D2067" s="33" t="s">
        <v>275</v>
      </c>
      <c r="E2067" s="34">
        <v>336.23599999999999</v>
      </c>
      <c r="F2067" s="36">
        <v>1.20000000000005E-2</v>
      </c>
      <c r="G2067" s="34">
        <v>1.20000000000005E-2</v>
      </c>
      <c r="H2067" s="35">
        <v>19.2</v>
      </c>
      <c r="I2067" s="37">
        <f t="shared" si="32"/>
        <v>6.0155841226176561E-4</v>
      </c>
      <c r="J2067" s="33"/>
    </row>
    <row r="2068" spans="1:10">
      <c r="A2068" s="33" t="s">
        <v>36</v>
      </c>
      <c r="B2068" s="34">
        <v>336.22399999999999</v>
      </c>
      <c r="C2068" s="35">
        <v>31917.1</v>
      </c>
      <c r="D2068" s="33" t="s">
        <v>63</v>
      </c>
      <c r="E2068" s="34">
        <v>336.24400000000003</v>
      </c>
      <c r="F2068" s="36">
        <v>2.0000000000038699E-2</v>
      </c>
      <c r="G2068" s="34">
        <v>2.0000000000038699E-2</v>
      </c>
      <c r="H2068" s="35">
        <v>34.200000000000003</v>
      </c>
      <c r="I2068" s="37">
        <f t="shared" si="32"/>
        <v>1.0715259218412702E-3</v>
      </c>
      <c r="J2068" s="33" t="s">
        <v>116</v>
      </c>
    </row>
    <row r="2069" spans="1:10">
      <c r="A2069" s="33" t="s">
        <v>36</v>
      </c>
      <c r="B2069" s="34">
        <v>336.22399999999999</v>
      </c>
      <c r="C2069" s="35">
        <v>31917.1</v>
      </c>
      <c r="D2069" s="33" t="s">
        <v>193</v>
      </c>
      <c r="E2069" s="34">
        <v>336.25099999999998</v>
      </c>
      <c r="F2069" s="36">
        <v>2.6999999999986798E-2</v>
      </c>
      <c r="G2069" s="34">
        <v>2.6999999999986798E-2</v>
      </c>
      <c r="H2069" s="35">
        <v>9.4</v>
      </c>
      <c r="I2069" s="37">
        <f t="shared" si="32"/>
        <v>2.9451297266982281E-4</v>
      </c>
      <c r="J2069" s="33"/>
    </row>
    <row r="2070" spans="1:10">
      <c r="A2070" s="33" t="s">
        <v>36</v>
      </c>
      <c r="B2070" s="34">
        <v>336.22399999999999</v>
      </c>
      <c r="C2070" s="35">
        <v>31917.1</v>
      </c>
      <c r="D2070" s="33" t="s">
        <v>271</v>
      </c>
      <c r="E2070" s="34">
        <v>336.25200000000001</v>
      </c>
      <c r="F2070" s="36">
        <v>2.8000000000019998E-2</v>
      </c>
      <c r="G2070" s="34">
        <v>2.8000000000019998E-2</v>
      </c>
      <c r="H2070" s="35">
        <v>444.9</v>
      </c>
      <c r="I2070" s="37">
        <f t="shared" si="32"/>
        <v>1.3939236334128101E-2</v>
      </c>
      <c r="J2070" s="33"/>
    </row>
    <row r="2071" spans="1:10">
      <c r="A2071" s="33" t="s">
        <v>36</v>
      </c>
      <c r="B2071" s="34">
        <v>336.22399999999999</v>
      </c>
      <c r="C2071" s="35">
        <v>31917.1</v>
      </c>
      <c r="D2071" s="33" t="s">
        <v>109</v>
      </c>
      <c r="E2071" s="34">
        <v>336.26100000000002</v>
      </c>
      <c r="F2071" s="36">
        <v>3.7000000000034602E-2</v>
      </c>
      <c r="G2071" s="34">
        <v>3.7000000000034602E-2</v>
      </c>
      <c r="H2071" s="35">
        <v>46888.4</v>
      </c>
      <c r="I2071" s="37">
        <f t="shared" si="32"/>
        <v>1.4690683050778424</v>
      </c>
      <c r="J2071" s="33" t="s">
        <v>116</v>
      </c>
    </row>
    <row r="2072" spans="1:10">
      <c r="A2072" s="33" t="s">
        <v>36</v>
      </c>
      <c r="B2072" s="34">
        <v>336.22399999999999</v>
      </c>
      <c r="C2072" s="35">
        <v>31917.1</v>
      </c>
      <c r="D2072" s="33" t="s">
        <v>237</v>
      </c>
      <c r="E2072" s="34">
        <v>336.26400000000001</v>
      </c>
      <c r="F2072" s="36">
        <v>4.0000000000020498E-2</v>
      </c>
      <c r="G2072" s="34">
        <v>4.0000000000020498E-2</v>
      </c>
      <c r="H2072" s="35">
        <v>90.3</v>
      </c>
      <c r="I2072" s="37">
        <f t="shared" si="32"/>
        <v>2.8292044076686164E-3</v>
      </c>
      <c r="J2072" s="33"/>
    </row>
    <row r="2073" spans="1:10">
      <c r="A2073" s="33" t="s">
        <v>36</v>
      </c>
      <c r="B2073" s="34">
        <v>336.22399999999999</v>
      </c>
      <c r="C2073" s="35">
        <v>31917.1</v>
      </c>
      <c r="D2073" s="33" t="s">
        <v>236</v>
      </c>
      <c r="E2073" s="34">
        <v>336.27</v>
      </c>
      <c r="F2073" s="36">
        <v>4.5999999999992297E-2</v>
      </c>
      <c r="G2073" s="34">
        <v>4.5999999999992297E-2</v>
      </c>
      <c r="H2073" s="35">
        <v>591</v>
      </c>
      <c r="I2073" s="37">
        <f t="shared" si="32"/>
        <v>1.8516719877432475E-2</v>
      </c>
      <c r="J2073" s="33"/>
    </row>
    <row r="2074" spans="1:10">
      <c r="A2074" s="33" t="s">
        <v>36</v>
      </c>
      <c r="B2074" s="34">
        <v>336.22399999999999</v>
      </c>
      <c r="C2074" s="35">
        <v>31917.1</v>
      </c>
      <c r="D2074" s="33" t="s">
        <v>279</v>
      </c>
      <c r="E2074" s="34">
        <v>336.27499999999998</v>
      </c>
      <c r="F2074" s="36">
        <v>5.0999999999987701E-2</v>
      </c>
      <c r="G2074" s="34">
        <v>5.0999999999987701E-2</v>
      </c>
      <c r="H2074" s="35">
        <v>7.2</v>
      </c>
      <c r="I2074" s="37">
        <f t="shared" si="32"/>
        <v>2.2558440459816213E-4</v>
      </c>
      <c r="J2074" s="33"/>
    </row>
    <row r="2075" spans="1:10">
      <c r="A2075" s="33" t="s">
        <v>36</v>
      </c>
      <c r="B2075" s="34">
        <v>336.22399999999999</v>
      </c>
      <c r="C2075" s="35">
        <v>31917.1</v>
      </c>
      <c r="D2075" s="33" t="s">
        <v>54</v>
      </c>
      <c r="E2075" s="34">
        <v>336.279</v>
      </c>
      <c r="F2075" s="36">
        <v>5.50000000000068E-2</v>
      </c>
      <c r="G2075" s="34">
        <v>5.50000000000068E-2</v>
      </c>
      <c r="H2075" s="35">
        <v>47.3</v>
      </c>
      <c r="I2075" s="37">
        <f t="shared" si="32"/>
        <v>1.4819642135407039E-3</v>
      </c>
      <c r="J2075" s="33"/>
    </row>
    <row r="2076" spans="1:10">
      <c r="A2076" s="33" t="s">
        <v>36</v>
      </c>
      <c r="B2076" s="34">
        <v>336.22399999999999</v>
      </c>
      <c r="C2076" s="35">
        <v>31917.1</v>
      </c>
      <c r="D2076" s="33" t="s">
        <v>165</v>
      </c>
      <c r="E2076" s="34">
        <v>336.28</v>
      </c>
      <c r="F2076" s="36">
        <v>5.5999999999983202E-2</v>
      </c>
      <c r="G2076" s="34">
        <v>5.5999999999983202E-2</v>
      </c>
      <c r="H2076" s="35">
        <v>6.8</v>
      </c>
      <c r="I2076" s="37">
        <f t="shared" si="32"/>
        <v>2.13051937676042E-4</v>
      </c>
      <c r="J2076" s="33"/>
    </row>
    <row r="2077" spans="1:10">
      <c r="A2077" s="33" t="s">
        <v>36</v>
      </c>
      <c r="B2077" s="34">
        <v>336.22399999999999</v>
      </c>
      <c r="C2077" s="35">
        <v>31917.1</v>
      </c>
      <c r="D2077" s="33" t="s">
        <v>275</v>
      </c>
      <c r="E2077" s="34">
        <v>336.3</v>
      </c>
      <c r="F2077" s="36">
        <v>7.60000000000218E-2</v>
      </c>
      <c r="G2077" s="34">
        <v>7.60000000000218E-2</v>
      </c>
      <c r="H2077" s="35">
        <v>106.4</v>
      </c>
      <c r="I2077" s="37">
        <f t="shared" si="32"/>
        <v>3.3336362012839514E-3</v>
      </c>
      <c r="J2077" s="33"/>
    </row>
    <row r="2078" spans="1:10">
      <c r="A2078" s="33" t="s">
        <v>36</v>
      </c>
      <c r="B2078" s="34">
        <v>336.22399999999999</v>
      </c>
      <c r="C2078" s="35">
        <v>31917.1</v>
      </c>
      <c r="D2078" s="33" t="s">
        <v>240</v>
      </c>
      <c r="E2078" s="34">
        <v>336.30200000000002</v>
      </c>
      <c r="F2078" s="36">
        <v>7.8000000000031405E-2</v>
      </c>
      <c r="G2078" s="34">
        <v>7.8000000000031405E-2</v>
      </c>
      <c r="H2078" s="35">
        <v>4.0999999999999996</v>
      </c>
      <c r="I2078" s="37">
        <f t="shared" si="32"/>
        <v>1.2845778595173119E-4</v>
      </c>
      <c r="J2078" s="33"/>
    </row>
    <row r="2079" spans="1:10">
      <c r="A2079" s="33" t="s">
        <v>36</v>
      </c>
      <c r="B2079" s="34">
        <v>336.22399999999999</v>
      </c>
      <c r="C2079" s="35">
        <v>31917.1</v>
      </c>
      <c r="D2079" s="33" t="s">
        <v>271</v>
      </c>
      <c r="E2079" s="34">
        <v>336.30700000000002</v>
      </c>
      <c r="F2079" s="36">
        <v>8.3000000000026802E-2</v>
      </c>
      <c r="G2079" s="34">
        <v>8.3000000000026802E-2</v>
      </c>
      <c r="H2079" s="35">
        <v>302.5</v>
      </c>
      <c r="I2079" s="37">
        <f t="shared" si="32"/>
        <v>9.4776781098533398E-3</v>
      </c>
      <c r="J2079" s="33"/>
    </row>
    <row r="2080" spans="1:10">
      <c r="A2080" s="33" t="s">
        <v>36</v>
      </c>
      <c r="B2080" s="34">
        <v>336.22399999999999</v>
      </c>
      <c r="C2080" s="35">
        <v>31917.1</v>
      </c>
      <c r="D2080" s="33" t="s">
        <v>84</v>
      </c>
      <c r="E2080" s="34">
        <v>336.32299999999998</v>
      </c>
      <c r="F2080" s="36">
        <v>9.8999999999989499E-2</v>
      </c>
      <c r="G2080" s="34">
        <v>9.8999999999989499E-2</v>
      </c>
      <c r="H2080" s="35">
        <v>16.399999999999999</v>
      </c>
      <c r="I2080" s="37">
        <f t="shared" si="32"/>
        <v>5.1383114380692478E-4</v>
      </c>
      <c r="J2080" s="33" t="s">
        <v>116</v>
      </c>
    </row>
    <row r="2081" spans="1:10">
      <c r="A2081" s="33" t="s">
        <v>36</v>
      </c>
      <c r="B2081" s="34">
        <v>336.22399999999999</v>
      </c>
      <c r="C2081" s="35">
        <v>31917.1</v>
      </c>
      <c r="D2081" s="33" t="s">
        <v>274</v>
      </c>
      <c r="E2081" s="34">
        <v>336.334</v>
      </c>
      <c r="F2081" s="36">
        <v>0.110000000000014</v>
      </c>
      <c r="G2081" s="34">
        <v>0.110000000000014</v>
      </c>
      <c r="H2081" s="35">
        <v>6.9</v>
      </c>
      <c r="I2081" s="37">
        <f t="shared" si="32"/>
        <v>2.1618505440657205E-4</v>
      </c>
      <c r="J2081" s="33"/>
    </row>
    <row r="2082" spans="1:10">
      <c r="A2082" s="33" t="s">
        <v>36</v>
      </c>
      <c r="B2082" s="34">
        <v>336.22399999999999</v>
      </c>
      <c r="C2082" s="35">
        <v>31917.1</v>
      </c>
      <c r="D2082" s="33" t="s">
        <v>184</v>
      </c>
      <c r="E2082" s="34">
        <v>336.34699999999998</v>
      </c>
      <c r="F2082" s="36">
        <v>0.12299999999999101</v>
      </c>
      <c r="G2082" s="34">
        <v>0.12299999999999101</v>
      </c>
      <c r="H2082" s="35">
        <v>133.5</v>
      </c>
      <c r="I2082" s="37">
        <f t="shared" si="32"/>
        <v>4.1827108352575897E-3</v>
      </c>
      <c r="J2082" s="33"/>
    </row>
    <row r="2083" spans="1:10">
      <c r="A2083" s="33" t="s">
        <v>36</v>
      </c>
      <c r="B2083" s="34">
        <v>336.22399999999999</v>
      </c>
      <c r="C2083" s="35">
        <v>31917.1</v>
      </c>
      <c r="D2083" s="33" t="s">
        <v>165</v>
      </c>
      <c r="E2083" s="34">
        <v>336.36</v>
      </c>
      <c r="F2083" s="36">
        <v>0.13600000000002399</v>
      </c>
      <c r="G2083" s="34">
        <v>0.13600000000002399</v>
      </c>
      <c r="H2083" s="35">
        <v>14.3</v>
      </c>
      <c r="I2083" s="37">
        <f t="shared" si="32"/>
        <v>4.4803569246579423E-4</v>
      </c>
      <c r="J2083" s="33"/>
    </row>
    <row r="2084" spans="1:10">
      <c r="A2084" s="33" t="s">
        <v>36</v>
      </c>
      <c r="B2084" s="34">
        <v>336.22399999999999</v>
      </c>
      <c r="C2084" s="35">
        <v>31917.1</v>
      </c>
      <c r="D2084" s="33" t="s">
        <v>63</v>
      </c>
      <c r="E2084" s="34">
        <v>336.36399999999998</v>
      </c>
      <c r="F2084" s="36">
        <v>0.139999999999986</v>
      </c>
      <c r="G2084" s="34">
        <v>0.139999999999986</v>
      </c>
      <c r="H2084" s="35">
        <v>16.8</v>
      </c>
      <c r="I2084" s="37">
        <f t="shared" si="32"/>
        <v>5.2636361072904499E-4</v>
      </c>
      <c r="J2084" s="33" t="s">
        <v>116</v>
      </c>
    </row>
    <row r="2085" spans="1:10">
      <c r="A2085" s="33" t="s">
        <v>36</v>
      </c>
      <c r="B2085" s="34">
        <v>336.22399999999999</v>
      </c>
      <c r="C2085" s="35">
        <v>31917.1</v>
      </c>
      <c r="D2085" s="33" t="s">
        <v>271</v>
      </c>
      <c r="E2085" s="34">
        <v>336.36799999999999</v>
      </c>
      <c r="F2085" s="36">
        <v>0.14400000000000601</v>
      </c>
      <c r="G2085" s="34">
        <v>0.14400000000000601</v>
      </c>
      <c r="H2085" s="35">
        <v>265.39999999999998</v>
      </c>
      <c r="I2085" s="37">
        <f t="shared" si="32"/>
        <v>8.3152918028266982E-3</v>
      </c>
      <c r="J2085" s="33"/>
    </row>
    <row r="2086" spans="1:10">
      <c r="A2086" s="33" t="s">
        <v>36</v>
      </c>
      <c r="B2086" s="34">
        <v>336.22399999999999</v>
      </c>
      <c r="C2086" s="35">
        <v>31917.1</v>
      </c>
      <c r="D2086" s="33" t="s">
        <v>239</v>
      </c>
      <c r="E2086" s="34">
        <v>336.37</v>
      </c>
      <c r="F2086" s="36">
        <v>0.14600000000001501</v>
      </c>
      <c r="G2086" s="34">
        <v>0.14600000000001501</v>
      </c>
      <c r="H2086" s="35">
        <v>62.3</v>
      </c>
      <c r="I2086" s="37">
        <f t="shared" si="32"/>
        <v>1.9519317231202083E-3</v>
      </c>
      <c r="J2086" s="33"/>
    </row>
    <row r="2087" spans="1:10">
      <c r="A2087" s="33" t="s">
        <v>36</v>
      </c>
      <c r="B2087" s="34">
        <v>342.24599999999998</v>
      </c>
      <c r="C2087" s="35">
        <v>56269</v>
      </c>
      <c r="D2087" s="33" t="s">
        <v>271</v>
      </c>
      <c r="E2087" s="34">
        <v>342.12099999999998</v>
      </c>
      <c r="F2087" s="36">
        <v>0.125</v>
      </c>
      <c r="G2087" s="34">
        <v>0.125</v>
      </c>
      <c r="H2087" s="35">
        <v>408.9</v>
      </c>
      <c r="I2087" s="37">
        <f t="shared" si="32"/>
        <v>7.2668787431800809E-3</v>
      </c>
      <c r="J2087" s="33"/>
    </row>
    <row r="2088" spans="1:10">
      <c r="A2088" s="33" t="s">
        <v>36</v>
      </c>
      <c r="B2088" s="34">
        <v>342.24599999999998</v>
      </c>
      <c r="C2088" s="35">
        <v>56269</v>
      </c>
      <c r="D2088" s="33" t="s">
        <v>285</v>
      </c>
      <c r="E2088" s="34">
        <v>342.12200000000001</v>
      </c>
      <c r="F2088" s="36">
        <v>0.123999999999967</v>
      </c>
      <c r="G2088" s="34">
        <v>0.123999999999967</v>
      </c>
      <c r="H2088" s="35">
        <v>6083.8</v>
      </c>
      <c r="I2088" s="37">
        <f t="shared" si="32"/>
        <v>0.10811992393680357</v>
      </c>
      <c r="J2088" s="33"/>
    </row>
    <row r="2089" spans="1:10">
      <c r="A2089" s="33" t="s">
        <v>36</v>
      </c>
      <c r="B2089" s="34">
        <v>342.24599999999998</v>
      </c>
      <c r="C2089" s="35">
        <v>56269</v>
      </c>
      <c r="D2089" s="33" t="s">
        <v>282</v>
      </c>
      <c r="E2089" s="34">
        <v>342.12200000000001</v>
      </c>
      <c r="F2089" s="36">
        <v>0.123999999999967</v>
      </c>
      <c r="G2089" s="34">
        <v>0.123999999999967</v>
      </c>
      <c r="H2089" s="35">
        <v>119.8</v>
      </c>
      <c r="I2089" s="37">
        <f t="shared" si="32"/>
        <v>2.1290586290852865E-3</v>
      </c>
      <c r="J2089" s="33"/>
    </row>
    <row r="2090" spans="1:10">
      <c r="A2090" s="33" t="s">
        <v>36</v>
      </c>
      <c r="B2090" s="34">
        <v>342.24599999999998</v>
      </c>
      <c r="C2090" s="35">
        <v>56269</v>
      </c>
      <c r="D2090" s="33" t="s">
        <v>275</v>
      </c>
      <c r="E2090" s="34">
        <v>342.125</v>
      </c>
      <c r="F2090" s="36">
        <v>0.120999999999981</v>
      </c>
      <c r="G2090" s="34">
        <v>0.120999999999981</v>
      </c>
      <c r="H2090" s="35">
        <v>23.3</v>
      </c>
      <c r="I2090" s="37">
        <f t="shared" si="32"/>
        <v>4.1408235440473442E-4</v>
      </c>
      <c r="J2090" s="33"/>
    </row>
    <row r="2091" spans="1:10">
      <c r="A2091" s="33" t="s">
        <v>36</v>
      </c>
      <c r="B2091" s="34">
        <v>342.24599999999998</v>
      </c>
      <c r="C2091" s="35">
        <v>56269</v>
      </c>
      <c r="D2091" s="33" t="s">
        <v>33</v>
      </c>
      <c r="E2091" s="34">
        <v>342.13099999999997</v>
      </c>
      <c r="F2091" s="36">
        <v>0.115000000000009</v>
      </c>
      <c r="G2091" s="34">
        <v>0.115000000000009</v>
      </c>
      <c r="H2091" s="35">
        <v>808.3</v>
      </c>
      <c r="I2091" s="37">
        <f t="shared" si="32"/>
        <v>1.436492562512218E-2</v>
      </c>
      <c r="J2091" s="33" t="s">
        <v>116</v>
      </c>
    </row>
    <row r="2092" spans="1:10">
      <c r="A2092" s="33" t="s">
        <v>36</v>
      </c>
      <c r="B2092" s="34">
        <v>342.24599999999998</v>
      </c>
      <c r="C2092" s="35">
        <v>56269</v>
      </c>
      <c r="D2092" s="33" t="s">
        <v>165</v>
      </c>
      <c r="E2092" s="34">
        <v>342.13299999999998</v>
      </c>
      <c r="F2092" s="36">
        <v>0.113</v>
      </c>
      <c r="G2092" s="34">
        <v>0.113</v>
      </c>
      <c r="H2092" s="35">
        <v>64.400000000000006</v>
      </c>
      <c r="I2092" s="37">
        <f t="shared" si="32"/>
        <v>1.1445023014448454E-3</v>
      </c>
      <c r="J2092" s="33"/>
    </row>
    <row r="2093" spans="1:10">
      <c r="A2093" s="33" t="s">
        <v>36</v>
      </c>
      <c r="B2093" s="34">
        <v>342.24599999999998</v>
      </c>
      <c r="C2093" s="35">
        <v>56269</v>
      </c>
      <c r="D2093" s="33" t="s">
        <v>269</v>
      </c>
      <c r="E2093" s="34">
        <v>342.14400000000001</v>
      </c>
      <c r="F2093" s="36">
        <v>0.101999999999975</v>
      </c>
      <c r="G2093" s="34">
        <v>0.101999999999975</v>
      </c>
      <c r="H2093" s="35">
        <v>213.1</v>
      </c>
      <c r="I2093" s="37">
        <f t="shared" si="32"/>
        <v>3.78716522419094E-3</v>
      </c>
      <c r="J2093" s="33"/>
    </row>
    <row r="2094" spans="1:10">
      <c r="A2094" s="33" t="s">
        <v>36</v>
      </c>
      <c r="B2094" s="34">
        <v>342.24599999999998</v>
      </c>
      <c r="C2094" s="35">
        <v>56269</v>
      </c>
      <c r="D2094" s="33" t="s">
        <v>54</v>
      </c>
      <c r="E2094" s="34">
        <v>342.16199999999998</v>
      </c>
      <c r="F2094" s="36">
        <v>8.4000000000003197E-2</v>
      </c>
      <c r="G2094" s="34">
        <v>8.4000000000003197E-2</v>
      </c>
      <c r="H2094" s="35">
        <v>6</v>
      </c>
      <c r="I2094" s="37">
        <f t="shared" si="32"/>
        <v>1.066306492029359E-4</v>
      </c>
      <c r="J2094" s="33"/>
    </row>
    <row r="2095" spans="1:10">
      <c r="A2095" s="33" t="s">
        <v>36</v>
      </c>
      <c r="B2095" s="34">
        <v>342.24599999999998</v>
      </c>
      <c r="C2095" s="35">
        <v>56269</v>
      </c>
      <c r="D2095" s="33" t="s">
        <v>239</v>
      </c>
      <c r="E2095" s="34">
        <v>342.16199999999998</v>
      </c>
      <c r="F2095" s="36">
        <v>8.4000000000003197E-2</v>
      </c>
      <c r="G2095" s="34">
        <v>8.4000000000003197E-2</v>
      </c>
      <c r="H2095" s="35">
        <v>29.2</v>
      </c>
      <c r="I2095" s="37">
        <f t="shared" si="32"/>
        <v>5.1893582612095473E-4</v>
      </c>
      <c r="J2095" s="33"/>
    </row>
    <row r="2096" spans="1:10">
      <c r="A2096" s="33" t="s">
        <v>36</v>
      </c>
      <c r="B2096" s="34">
        <v>342.24599999999998</v>
      </c>
      <c r="C2096" s="35">
        <v>56269</v>
      </c>
      <c r="D2096" s="33" t="s">
        <v>94</v>
      </c>
      <c r="E2096" s="34">
        <v>342.16300000000001</v>
      </c>
      <c r="F2096" s="36">
        <v>8.2999999999970001E-2</v>
      </c>
      <c r="G2096" s="34">
        <v>8.2999999999970001E-2</v>
      </c>
      <c r="H2096" s="35">
        <v>7167</v>
      </c>
      <c r="I2096" s="37">
        <f t="shared" si="32"/>
        <v>0.12737031047290692</v>
      </c>
      <c r="J2096" s="33" t="s">
        <v>116</v>
      </c>
    </row>
    <row r="2097" spans="1:10">
      <c r="A2097" s="33" t="s">
        <v>36</v>
      </c>
      <c r="B2097" s="34">
        <v>342.24599999999998</v>
      </c>
      <c r="C2097" s="35">
        <v>56269</v>
      </c>
      <c r="D2097" s="33" t="s">
        <v>284</v>
      </c>
      <c r="E2097" s="34">
        <v>342.16899999999998</v>
      </c>
      <c r="F2097" s="36">
        <v>7.6999999999998195E-2</v>
      </c>
      <c r="G2097" s="34">
        <v>7.6999999999998195E-2</v>
      </c>
      <c r="H2097" s="35">
        <v>0.6</v>
      </c>
      <c r="I2097" s="37">
        <f t="shared" si="32"/>
        <v>1.0663064920293589E-5</v>
      </c>
      <c r="J2097" s="33"/>
    </row>
    <row r="2098" spans="1:10">
      <c r="A2098" s="33" t="s">
        <v>36</v>
      </c>
      <c r="B2098" s="34">
        <v>342.24599999999998</v>
      </c>
      <c r="C2098" s="35">
        <v>56269</v>
      </c>
      <c r="D2098" s="33" t="s">
        <v>277</v>
      </c>
      <c r="E2098" s="34">
        <v>342.16899999999998</v>
      </c>
      <c r="F2098" s="36">
        <v>7.6999999999998195E-2</v>
      </c>
      <c r="G2098" s="34">
        <v>7.6999999999998195E-2</v>
      </c>
      <c r="H2098" s="35">
        <v>248.4</v>
      </c>
      <c r="I2098" s="37">
        <f t="shared" si="32"/>
        <v>4.4145088770015462E-3</v>
      </c>
      <c r="J2098" s="33"/>
    </row>
    <row r="2099" spans="1:10">
      <c r="A2099" s="33" t="s">
        <v>36</v>
      </c>
      <c r="B2099" s="34">
        <v>342.24599999999998</v>
      </c>
      <c r="C2099" s="35">
        <v>56269</v>
      </c>
      <c r="D2099" s="33" t="s">
        <v>109</v>
      </c>
      <c r="E2099" s="34">
        <v>342.17899999999997</v>
      </c>
      <c r="F2099" s="36">
        <v>6.7000000000007304E-2</v>
      </c>
      <c r="G2099" s="34">
        <v>6.7000000000007304E-2</v>
      </c>
      <c r="H2099" s="35">
        <v>32.1</v>
      </c>
      <c r="I2099" s="37">
        <f t="shared" si="32"/>
        <v>5.7047397323570703E-4</v>
      </c>
      <c r="J2099" s="33" t="s">
        <v>116</v>
      </c>
    </row>
    <row r="2100" spans="1:10">
      <c r="A2100" s="33" t="s">
        <v>36</v>
      </c>
      <c r="B2100" s="34">
        <v>342.24599999999998</v>
      </c>
      <c r="C2100" s="35">
        <v>56269</v>
      </c>
      <c r="D2100" s="33" t="s">
        <v>193</v>
      </c>
      <c r="E2100" s="34">
        <v>342.18</v>
      </c>
      <c r="F2100" s="36">
        <v>6.5999999999974093E-2</v>
      </c>
      <c r="G2100" s="34">
        <v>6.5999999999974093E-2</v>
      </c>
      <c r="H2100" s="35">
        <v>107.2</v>
      </c>
      <c r="I2100" s="37">
        <f t="shared" si="32"/>
        <v>1.9051342657591215E-3</v>
      </c>
      <c r="J2100" s="33"/>
    </row>
    <row r="2101" spans="1:10">
      <c r="A2101" s="33" t="s">
        <v>36</v>
      </c>
      <c r="B2101" s="34">
        <v>342.24599999999998</v>
      </c>
      <c r="C2101" s="35">
        <v>56269</v>
      </c>
      <c r="D2101" s="33" t="s">
        <v>97</v>
      </c>
      <c r="E2101" s="34">
        <v>342.21199999999999</v>
      </c>
      <c r="F2101" s="36">
        <v>3.3999999999991801E-2</v>
      </c>
      <c r="G2101" s="34">
        <v>3.3999999999991801E-2</v>
      </c>
      <c r="H2101" s="35">
        <v>0.8</v>
      </c>
      <c r="I2101" s="37">
        <f t="shared" si="32"/>
        <v>1.4217419893724787E-5</v>
      </c>
      <c r="J2101" s="33"/>
    </row>
    <row r="2102" spans="1:10">
      <c r="A2102" s="33" t="s">
        <v>36</v>
      </c>
      <c r="B2102" s="34">
        <v>342.24599999999998</v>
      </c>
      <c r="C2102" s="35">
        <v>56269</v>
      </c>
      <c r="D2102" s="33" t="s">
        <v>275</v>
      </c>
      <c r="E2102" s="34">
        <v>342.23099999999999</v>
      </c>
      <c r="F2102" s="36">
        <v>1.4999999999986399E-2</v>
      </c>
      <c r="G2102" s="34">
        <v>1.4999999999986399E-2</v>
      </c>
      <c r="H2102" s="35">
        <v>33.299999999999997</v>
      </c>
      <c r="I2102" s="37">
        <f t="shared" si="32"/>
        <v>5.9180010307629421E-4</v>
      </c>
      <c r="J2102" s="33"/>
    </row>
    <row r="2103" spans="1:10">
      <c r="A2103" s="33" t="s">
        <v>36</v>
      </c>
      <c r="B2103" s="34">
        <v>342.24599999999998</v>
      </c>
      <c r="C2103" s="35">
        <v>56269</v>
      </c>
      <c r="D2103" s="33" t="s">
        <v>165</v>
      </c>
      <c r="E2103" s="34">
        <v>342.23200000000003</v>
      </c>
      <c r="F2103" s="36">
        <v>1.3999999999953199E-2</v>
      </c>
      <c r="G2103" s="34">
        <v>1.3999999999953199E-2</v>
      </c>
      <c r="H2103" s="35">
        <v>17.5</v>
      </c>
      <c r="I2103" s="37">
        <f t="shared" si="32"/>
        <v>3.1100606017522972E-4</v>
      </c>
      <c r="J2103" s="33"/>
    </row>
    <row r="2104" spans="1:10">
      <c r="A2104" s="33" t="s">
        <v>36</v>
      </c>
      <c r="B2104" s="34">
        <v>342.24599999999998</v>
      </c>
      <c r="C2104" s="35">
        <v>56269</v>
      </c>
      <c r="D2104" s="33" t="s">
        <v>277</v>
      </c>
      <c r="E2104" s="34">
        <v>342.23500000000001</v>
      </c>
      <c r="F2104" s="36">
        <v>1.09999999999673E-2</v>
      </c>
      <c r="G2104" s="34">
        <v>1.09999999999673E-2</v>
      </c>
      <c r="H2104" s="35">
        <v>176.6</v>
      </c>
      <c r="I2104" s="37">
        <f t="shared" si="32"/>
        <v>3.1384954415397464E-3</v>
      </c>
      <c r="J2104" s="33"/>
    </row>
    <row r="2105" spans="1:10">
      <c r="A2105" s="33" t="s">
        <v>36</v>
      </c>
      <c r="B2105" s="34">
        <v>342.24599999999998</v>
      </c>
      <c r="C2105" s="35">
        <v>56269</v>
      </c>
      <c r="D2105" s="33" t="s">
        <v>133</v>
      </c>
      <c r="E2105" s="34">
        <v>342.238</v>
      </c>
      <c r="F2105" s="36">
        <v>7.9999999999813606E-3</v>
      </c>
      <c r="G2105" s="34">
        <v>7.9999999999813606E-3</v>
      </c>
      <c r="H2105" s="35">
        <v>35.5</v>
      </c>
      <c r="I2105" s="37">
        <f t="shared" si="32"/>
        <v>6.3089800778403737E-4</v>
      </c>
      <c r="J2105" s="33"/>
    </row>
    <row r="2106" spans="1:10">
      <c r="A2106" s="33" t="s">
        <v>36</v>
      </c>
      <c r="B2106" s="34">
        <v>342.24599999999998</v>
      </c>
      <c r="C2106" s="35">
        <v>56269</v>
      </c>
      <c r="D2106" s="33" t="s">
        <v>274</v>
      </c>
      <c r="E2106" s="34">
        <v>342.24200000000002</v>
      </c>
      <c r="F2106" s="36">
        <v>3.9999999999622603E-3</v>
      </c>
      <c r="G2106" s="34">
        <v>3.9999999999622603E-3</v>
      </c>
      <c r="H2106" s="35">
        <v>23.1</v>
      </c>
      <c r="I2106" s="37">
        <f t="shared" si="32"/>
        <v>4.1052799943130323E-4</v>
      </c>
      <c r="J2106" s="33"/>
    </row>
    <row r="2107" spans="1:10">
      <c r="A2107" s="33" t="s">
        <v>36</v>
      </c>
      <c r="B2107" s="34">
        <v>342.24599999999998</v>
      </c>
      <c r="C2107" s="35">
        <v>56269</v>
      </c>
      <c r="D2107" s="33" t="s">
        <v>271</v>
      </c>
      <c r="E2107" s="34">
        <v>342.25799999999998</v>
      </c>
      <c r="F2107" s="36">
        <v>1.20000000000005E-2</v>
      </c>
      <c r="G2107" s="34">
        <v>1.20000000000005E-2</v>
      </c>
      <c r="H2107" s="35">
        <v>150.30000000000001</v>
      </c>
      <c r="I2107" s="37">
        <f t="shared" si="32"/>
        <v>2.6710977625335444E-3</v>
      </c>
      <c r="J2107" s="33"/>
    </row>
    <row r="2108" spans="1:10">
      <c r="A2108" s="33" t="s">
        <v>36</v>
      </c>
      <c r="B2108" s="34">
        <v>342.24599999999998</v>
      </c>
      <c r="C2108" s="35">
        <v>56269</v>
      </c>
      <c r="D2108" s="33" t="s">
        <v>33</v>
      </c>
      <c r="E2108" s="34">
        <v>342.26</v>
      </c>
      <c r="F2108" s="36">
        <v>1.4000000000009999E-2</v>
      </c>
      <c r="G2108" s="34">
        <v>1.4000000000009999E-2</v>
      </c>
      <c r="H2108" s="35">
        <v>507.9</v>
      </c>
      <c r="I2108" s="37">
        <f t="shared" si="32"/>
        <v>9.0262844550285225E-3</v>
      </c>
      <c r="J2108" s="33" t="s">
        <v>116</v>
      </c>
    </row>
    <row r="2109" spans="1:10">
      <c r="A2109" s="33" t="s">
        <v>36</v>
      </c>
      <c r="B2109" s="34">
        <v>342.24599999999998</v>
      </c>
      <c r="C2109" s="35">
        <v>56269</v>
      </c>
      <c r="D2109" s="33" t="s">
        <v>97</v>
      </c>
      <c r="E2109" s="34">
        <v>342.26600000000002</v>
      </c>
      <c r="F2109" s="36">
        <v>2.0000000000038699E-2</v>
      </c>
      <c r="G2109" s="34">
        <v>2.0000000000038699E-2</v>
      </c>
      <c r="H2109" s="35">
        <v>21.3</v>
      </c>
      <c r="I2109" s="37">
        <f t="shared" si="32"/>
        <v>3.7853880467042246E-4</v>
      </c>
      <c r="J2109" s="33"/>
    </row>
    <row r="2110" spans="1:10">
      <c r="A2110" s="33" t="s">
        <v>36</v>
      </c>
      <c r="B2110" s="34">
        <v>342.24599999999998</v>
      </c>
      <c r="C2110" s="35">
        <v>56269</v>
      </c>
      <c r="D2110" s="33" t="s">
        <v>25</v>
      </c>
      <c r="E2110" s="34">
        <v>342.27100000000002</v>
      </c>
      <c r="F2110" s="36">
        <v>2.5000000000034099E-2</v>
      </c>
      <c r="G2110" s="34">
        <v>2.5000000000034099E-2</v>
      </c>
      <c r="H2110" s="35">
        <v>2019</v>
      </c>
      <c r="I2110" s="37">
        <f t="shared" si="32"/>
        <v>3.5881213456787929E-2</v>
      </c>
      <c r="J2110" s="33" t="s">
        <v>116</v>
      </c>
    </row>
    <row r="2111" spans="1:10">
      <c r="A2111" s="33" t="s">
        <v>36</v>
      </c>
      <c r="B2111" s="34">
        <v>342.24599999999998</v>
      </c>
      <c r="C2111" s="35">
        <v>56269</v>
      </c>
      <c r="D2111" s="33" t="s">
        <v>239</v>
      </c>
      <c r="E2111" s="34">
        <v>342.27300000000002</v>
      </c>
      <c r="F2111" s="36">
        <v>2.7000000000043701E-2</v>
      </c>
      <c r="G2111" s="34">
        <v>2.7000000000043701E-2</v>
      </c>
      <c r="H2111" s="35">
        <v>4337.5</v>
      </c>
      <c r="I2111" s="37">
        <f t="shared" si="32"/>
        <v>7.7085073486289082E-2</v>
      </c>
      <c r="J2111" s="33"/>
    </row>
    <row r="2112" spans="1:10">
      <c r="A2112" s="33" t="s">
        <v>36</v>
      </c>
      <c r="B2112" s="34">
        <v>342.24599999999998</v>
      </c>
      <c r="C2112" s="35">
        <v>56269</v>
      </c>
      <c r="D2112" s="33" t="s">
        <v>36</v>
      </c>
      <c r="E2112" s="34">
        <v>342.27499999999998</v>
      </c>
      <c r="F2112" s="36">
        <v>2.89999999999964E-2</v>
      </c>
      <c r="G2112" s="34">
        <v>2.89999999999964E-2</v>
      </c>
      <c r="H2112" s="35">
        <v>2214.4</v>
      </c>
      <c r="I2112" s="37">
        <f t="shared" si="32"/>
        <v>3.9353818265830211E-2</v>
      </c>
      <c r="J2112" s="33" t="s">
        <v>116</v>
      </c>
    </row>
    <row r="2113" spans="1:10">
      <c r="A2113" s="33" t="s">
        <v>36</v>
      </c>
      <c r="B2113" s="34">
        <v>342.24599999999998</v>
      </c>
      <c r="C2113" s="35">
        <v>56269</v>
      </c>
      <c r="D2113" s="33" t="s">
        <v>54</v>
      </c>
      <c r="E2113" s="34">
        <v>342.27600000000001</v>
      </c>
      <c r="F2113" s="36">
        <v>3.00000000000296E-2</v>
      </c>
      <c r="G2113" s="34">
        <v>3.00000000000296E-2</v>
      </c>
      <c r="H2113" s="35">
        <v>12.5</v>
      </c>
      <c r="I2113" s="37">
        <f t="shared" si="32"/>
        <v>2.221471858394498E-4</v>
      </c>
      <c r="J2113" s="33"/>
    </row>
    <row r="2114" spans="1:10">
      <c r="A2114" s="33" t="s">
        <v>36</v>
      </c>
      <c r="B2114" s="34">
        <v>342.24599999999998</v>
      </c>
      <c r="C2114" s="35">
        <v>56269</v>
      </c>
      <c r="D2114" s="33" t="s">
        <v>275</v>
      </c>
      <c r="E2114" s="34">
        <v>342.27699999999999</v>
      </c>
      <c r="F2114" s="36">
        <v>3.1000000000005901E-2</v>
      </c>
      <c r="G2114" s="34">
        <v>3.1000000000005901E-2</v>
      </c>
      <c r="H2114" s="35">
        <v>198.3</v>
      </c>
      <c r="I2114" s="37">
        <f t="shared" ref="I2114:I2177" si="33">H2114/C2114</f>
        <v>3.5241429561570317E-3</v>
      </c>
      <c r="J2114" s="33"/>
    </row>
    <row r="2115" spans="1:10">
      <c r="A2115" s="33" t="s">
        <v>36</v>
      </c>
      <c r="B2115" s="34">
        <v>342.24599999999998</v>
      </c>
      <c r="C2115" s="35">
        <v>56269</v>
      </c>
      <c r="D2115" s="33" t="s">
        <v>240</v>
      </c>
      <c r="E2115" s="34">
        <v>342.28199999999998</v>
      </c>
      <c r="F2115" s="36">
        <v>3.6000000000001399E-2</v>
      </c>
      <c r="G2115" s="34">
        <v>3.6000000000001399E-2</v>
      </c>
      <c r="H2115" s="35">
        <v>1.9</v>
      </c>
      <c r="I2115" s="37">
        <f t="shared" si="33"/>
        <v>3.3766372247596363E-5</v>
      </c>
      <c r="J2115" s="33"/>
    </row>
    <row r="2116" spans="1:10">
      <c r="A2116" s="33" t="s">
        <v>36</v>
      </c>
      <c r="B2116" s="34">
        <v>342.24599999999998</v>
      </c>
      <c r="C2116" s="35">
        <v>56269</v>
      </c>
      <c r="D2116" s="33" t="s">
        <v>273</v>
      </c>
      <c r="E2116" s="34">
        <v>342.28500000000003</v>
      </c>
      <c r="F2116" s="36">
        <v>3.9000000000044097E-2</v>
      </c>
      <c r="G2116" s="34">
        <v>3.9000000000044097E-2</v>
      </c>
      <c r="H2116" s="35">
        <v>193.9</v>
      </c>
      <c r="I2116" s="37">
        <f t="shared" si="33"/>
        <v>3.4459471467415451E-3</v>
      </c>
      <c r="J2116" s="33"/>
    </row>
    <row r="2117" spans="1:10">
      <c r="A2117" s="33" t="s">
        <v>36</v>
      </c>
      <c r="B2117" s="34">
        <v>342.24599999999998</v>
      </c>
      <c r="C2117" s="35">
        <v>56269</v>
      </c>
      <c r="D2117" s="33" t="s">
        <v>33</v>
      </c>
      <c r="E2117" s="34">
        <v>342.286</v>
      </c>
      <c r="F2117" s="36">
        <v>4.0000000000020498E-2</v>
      </c>
      <c r="G2117" s="34">
        <v>4.0000000000020498E-2</v>
      </c>
      <c r="H2117" s="35">
        <v>1157.9000000000001</v>
      </c>
      <c r="I2117" s="37">
        <f t="shared" si="33"/>
        <v>2.0577938118679914E-2</v>
      </c>
      <c r="J2117" s="33" t="s">
        <v>116</v>
      </c>
    </row>
    <row r="2118" spans="1:10">
      <c r="A2118" s="33" t="s">
        <v>36</v>
      </c>
      <c r="B2118" s="34">
        <v>342.24599999999998</v>
      </c>
      <c r="C2118" s="35">
        <v>56269</v>
      </c>
      <c r="D2118" s="33" t="s">
        <v>165</v>
      </c>
      <c r="E2118" s="34">
        <v>342.28699999999998</v>
      </c>
      <c r="F2118" s="36">
        <v>4.0999999999996803E-2</v>
      </c>
      <c r="G2118" s="34">
        <v>4.0999999999996803E-2</v>
      </c>
      <c r="H2118" s="35">
        <v>25.6</v>
      </c>
      <c r="I2118" s="37">
        <f t="shared" si="33"/>
        <v>4.5495743659919319E-4</v>
      </c>
      <c r="J2118" s="33"/>
    </row>
    <row r="2119" spans="1:10">
      <c r="A2119" s="33" t="s">
        <v>36</v>
      </c>
      <c r="B2119" s="34">
        <v>342.24599999999998</v>
      </c>
      <c r="C2119" s="35">
        <v>56269</v>
      </c>
      <c r="D2119" s="33" t="s">
        <v>84</v>
      </c>
      <c r="E2119" s="34">
        <v>342.29</v>
      </c>
      <c r="F2119" s="36">
        <v>4.4000000000039598E-2</v>
      </c>
      <c r="G2119" s="34">
        <v>4.4000000000039598E-2</v>
      </c>
      <c r="H2119" s="35">
        <v>373.4</v>
      </c>
      <c r="I2119" s="37">
        <f t="shared" si="33"/>
        <v>6.6359807353960432E-3</v>
      </c>
      <c r="J2119" s="33" t="s">
        <v>116</v>
      </c>
    </row>
    <row r="2120" spans="1:10">
      <c r="A2120" s="33" t="s">
        <v>36</v>
      </c>
      <c r="B2120" s="34">
        <v>342.24599999999998</v>
      </c>
      <c r="C2120" s="35">
        <v>56269</v>
      </c>
      <c r="D2120" s="33" t="s">
        <v>277</v>
      </c>
      <c r="E2120" s="34">
        <v>342.30500000000001</v>
      </c>
      <c r="F2120" s="36">
        <v>5.90000000000259E-2</v>
      </c>
      <c r="G2120" s="34">
        <v>5.90000000000259E-2</v>
      </c>
      <c r="H2120" s="35">
        <v>277.10000000000002</v>
      </c>
      <c r="I2120" s="37">
        <f t="shared" si="33"/>
        <v>4.9245588156889234E-3</v>
      </c>
      <c r="J2120" s="33"/>
    </row>
    <row r="2121" spans="1:10">
      <c r="A2121" s="33" t="s">
        <v>36</v>
      </c>
      <c r="B2121" s="34">
        <v>342.24599999999998</v>
      </c>
      <c r="C2121" s="35">
        <v>56269</v>
      </c>
      <c r="D2121" s="33" t="s">
        <v>280</v>
      </c>
      <c r="E2121" s="34">
        <v>342.30900000000003</v>
      </c>
      <c r="F2121" s="36">
        <v>6.3000000000045006E-2</v>
      </c>
      <c r="G2121" s="34">
        <v>6.3000000000045006E-2</v>
      </c>
      <c r="H2121" s="35">
        <v>498.6</v>
      </c>
      <c r="I2121" s="37">
        <f t="shared" si="33"/>
        <v>8.861006948763973E-3</v>
      </c>
      <c r="J2121" s="33"/>
    </row>
    <row r="2122" spans="1:10">
      <c r="A2122" s="33" t="s">
        <v>36</v>
      </c>
      <c r="B2122" s="34">
        <v>342.24599999999998</v>
      </c>
      <c r="C2122" s="35">
        <v>56269</v>
      </c>
      <c r="D2122" s="33" t="s">
        <v>271</v>
      </c>
      <c r="E2122" s="34">
        <v>342.31299999999999</v>
      </c>
      <c r="F2122" s="36">
        <v>6.7000000000007304E-2</v>
      </c>
      <c r="G2122" s="34">
        <v>6.7000000000007304E-2</v>
      </c>
      <c r="H2122" s="35">
        <v>369.7</v>
      </c>
      <c r="I2122" s="37">
        <f t="shared" si="33"/>
        <v>6.5702251683875668E-3</v>
      </c>
      <c r="J2122" s="33"/>
    </row>
    <row r="2123" spans="1:10">
      <c r="A2123" s="33" t="s">
        <v>36</v>
      </c>
      <c r="B2123" s="34">
        <v>342.24599999999998</v>
      </c>
      <c r="C2123" s="35">
        <v>56269</v>
      </c>
      <c r="D2123" s="33" t="s">
        <v>33</v>
      </c>
      <c r="E2123" s="34">
        <v>342.32299999999998</v>
      </c>
      <c r="F2123" s="36">
        <v>7.6999999999998195E-2</v>
      </c>
      <c r="G2123" s="34">
        <v>7.6999999999998195E-2</v>
      </c>
      <c r="H2123" s="35">
        <v>422.9</v>
      </c>
      <c r="I2123" s="37">
        <f t="shared" si="33"/>
        <v>7.5156835913202649E-3</v>
      </c>
      <c r="J2123" s="33" t="s">
        <v>116</v>
      </c>
    </row>
    <row r="2124" spans="1:10">
      <c r="A2124" s="33" t="s">
        <v>36</v>
      </c>
      <c r="B2124" s="34">
        <v>342.24599999999998</v>
      </c>
      <c r="C2124" s="35">
        <v>56269</v>
      </c>
      <c r="D2124" s="33" t="s">
        <v>306</v>
      </c>
      <c r="E2124" s="34">
        <v>342.33600000000001</v>
      </c>
      <c r="F2124" s="36">
        <v>9.0000000000031805E-2</v>
      </c>
      <c r="G2124" s="34">
        <v>9.0000000000031805E-2</v>
      </c>
      <c r="H2124" s="35">
        <v>0.3</v>
      </c>
      <c r="I2124" s="37">
        <f t="shared" si="33"/>
        <v>5.3315324601467943E-6</v>
      </c>
      <c r="J2124" s="33"/>
    </row>
    <row r="2125" spans="1:10">
      <c r="A2125" s="33" t="s">
        <v>36</v>
      </c>
      <c r="B2125" s="34">
        <v>342.24599999999998</v>
      </c>
      <c r="C2125" s="35">
        <v>56269</v>
      </c>
      <c r="D2125" s="33" t="s">
        <v>165</v>
      </c>
      <c r="E2125" s="34">
        <v>342.37</v>
      </c>
      <c r="F2125" s="36">
        <v>0.12400000000002399</v>
      </c>
      <c r="G2125" s="34">
        <v>0.12400000000002399</v>
      </c>
      <c r="H2125" s="35">
        <v>1262</v>
      </c>
      <c r="I2125" s="37">
        <f t="shared" si="33"/>
        <v>2.2427979882350849E-2</v>
      </c>
      <c r="J2125" s="33"/>
    </row>
    <row r="2126" spans="1:10">
      <c r="A2126" s="33" t="s">
        <v>36</v>
      </c>
      <c r="B2126" s="34">
        <v>342.24599999999998</v>
      </c>
      <c r="C2126" s="35">
        <v>56269</v>
      </c>
      <c r="D2126" s="33" t="s">
        <v>269</v>
      </c>
      <c r="E2126" s="34">
        <v>342.37099999999998</v>
      </c>
      <c r="F2126" s="36">
        <v>0.125</v>
      </c>
      <c r="G2126" s="34">
        <v>0.125</v>
      </c>
      <c r="H2126" s="35">
        <v>5.5</v>
      </c>
      <c r="I2126" s="37">
        <f t="shared" si="33"/>
        <v>9.7744761769357911E-5</v>
      </c>
      <c r="J2126" s="33"/>
    </row>
    <row r="2127" spans="1:10">
      <c r="A2127" s="33" t="s">
        <v>36</v>
      </c>
      <c r="B2127" s="34">
        <v>343.99900000000002</v>
      </c>
      <c r="C2127" s="35">
        <v>15763.4</v>
      </c>
      <c r="D2127" s="33" t="s">
        <v>63</v>
      </c>
      <c r="E2127" s="34">
        <v>343.88499999999999</v>
      </c>
      <c r="F2127" s="36">
        <v>0.11400000000003301</v>
      </c>
      <c r="G2127" s="34">
        <v>0.11400000000003301</v>
      </c>
      <c r="H2127" s="35">
        <v>1010.7</v>
      </c>
      <c r="I2127" s="37">
        <f t="shared" si="33"/>
        <v>6.4116878338429537E-2</v>
      </c>
      <c r="J2127" s="33" t="s">
        <v>116</v>
      </c>
    </row>
    <row r="2128" spans="1:10">
      <c r="A2128" s="33" t="s">
        <v>36</v>
      </c>
      <c r="B2128" s="34">
        <v>343.99900000000002</v>
      </c>
      <c r="C2128" s="35">
        <v>15763.4</v>
      </c>
      <c r="D2128" s="33" t="s">
        <v>275</v>
      </c>
      <c r="E2128" s="34">
        <v>343.887</v>
      </c>
      <c r="F2128" s="36">
        <v>0.112000000000023</v>
      </c>
      <c r="G2128" s="34">
        <v>0.112000000000023</v>
      </c>
      <c r="H2128" s="35">
        <v>52.8</v>
      </c>
      <c r="I2128" s="37">
        <f t="shared" si="33"/>
        <v>3.3495311925092301E-3</v>
      </c>
      <c r="J2128" s="33"/>
    </row>
    <row r="2129" spans="1:10">
      <c r="A2129" s="33" t="s">
        <v>36</v>
      </c>
      <c r="B2129" s="34">
        <v>343.99900000000002</v>
      </c>
      <c r="C2129" s="35">
        <v>15763.4</v>
      </c>
      <c r="D2129" s="33" t="s">
        <v>54</v>
      </c>
      <c r="E2129" s="34">
        <v>343.89100000000002</v>
      </c>
      <c r="F2129" s="36">
        <v>0.108000000000004</v>
      </c>
      <c r="G2129" s="34">
        <v>0.108000000000004</v>
      </c>
      <c r="H2129" s="35">
        <v>40</v>
      </c>
      <c r="I2129" s="37">
        <f t="shared" si="33"/>
        <v>2.5375236306888109E-3</v>
      </c>
      <c r="J2129" s="33"/>
    </row>
    <row r="2130" spans="1:10">
      <c r="A2130" s="33" t="s">
        <v>36</v>
      </c>
      <c r="B2130" s="34">
        <v>343.99900000000002</v>
      </c>
      <c r="C2130" s="35">
        <v>15763.4</v>
      </c>
      <c r="D2130" s="33" t="s">
        <v>33</v>
      </c>
      <c r="E2130" s="34">
        <v>343.89400000000001</v>
      </c>
      <c r="F2130" s="36">
        <v>0.105000000000018</v>
      </c>
      <c r="G2130" s="34">
        <v>0.105000000000018</v>
      </c>
      <c r="H2130" s="35">
        <v>1136.5999999999999</v>
      </c>
      <c r="I2130" s="37">
        <f t="shared" si="33"/>
        <v>7.2103733966022557E-2</v>
      </c>
      <c r="J2130" s="33" t="s">
        <v>116</v>
      </c>
    </row>
    <row r="2131" spans="1:10">
      <c r="A2131" s="33" t="s">
        <v>36</v>
      </c>
      <c r="B2131" s="34">
        <v>343.99900000000002</v>
      </c>
      <c r="C2131" s="35">
        <v>15763.4</v>
      </c>
      <c r="D2131" s="33" t="s">
        <v>271</v>
      </c>
      <c r="E2131" s="34">
        <v>343.89499999999998</v>
      </c>
      <c r="F2131" s="36">
        <v>0.104000000000042</v>
      </c>
      <c r="G2131" s="34">
        <v>0.104000000000042</v>
      </c>
      <c r="H2131" s="35">
        <v>1848</v>
      </c>
      <c r="I2131" s="37">
        <f t="shared" si="33"/>
        <v>0.11723359173782306</v>
      </c>
      <c r="J2131" s="33"/>
    </row>
    <row r="2132" spans="1:10">
      <c r="A2132" s="33" t="s">
        <v>36</v>
      </c>
      <c r="B2132" s="34">
        <v>343.99900000000002</v>
      </c>
      <c r="C2132" s="35">
        <v>15763.4</v>
      </c>
      <c r="D2132" s="33" t="s">
        <v>240</v>
      </c>
      <c r="E2132" s="34">
        <v>343.89699999999999</v>
      </c>
      <c r="F2132" s="36">
        <v>0.102000000000032</v>
      </c>
      <c r="G2132" s="34">
        <v>0.102000000000032</v>
      </c>
      <c r="H2132" s="35">
        <v>266.7</v>
      </c>
      <c r="I2132" s="37">
        <f t="shared" si="33"/>
        <v>1.6918938807617644E-2</v>
      </c>
      <c r="J2132" s="33"/>
    </row>
    <row r="2133" spans="1:10">
      <c r="A2133" s="33" t="s">
        <v>36</v>
      </c>
      <c r="B2133" s="34">
        <v>343.99900000000002</v>
      </c>
      <c r="C2133" s="35">
        <v>15763.4</v>
      </c>
      <c r="D2133" s="33" t="s">
        <v>193</v>
      </c>
      <c r="E2133" s="34">
        <v>343.9</v>
      </c>
      <c r="F2133" s="36">
        <v>9.9000000000046398E-2</v>
      </c>
      <c r="G2133" s="34">
        <v>9.9000000000046398E-2</v>
      </c>
      <c r="H2133" s="35">
        <v>170</v>
      </c>
      <c r="I2133" s="37">
        <f t="shared" si="33"/>
        <v>1.0784475430427445E-2</v>
      </c>
      <c r="J2133" s="33"/>
    </row>
    <row r="2134" spans="1:10">
      <c r="A2134" s="33" t="s">
        <v>36</v>
      </c>
      <c r="B2134" s="34">
        <v>343.99900000000002</v>
      </c>
      <c r="C2134" s="35">
        <v>15763.4</v>
      </c>
      <c r="D2134" s="33" t="s">
        <v>275</v>
      </c>
      <c r="E2134" s="34">
        <v>343.91199999999998</v>
      </c>
      <c r="F2134" s="36">
        <v>8.7000000000045902E-2</v>
      </c>
      <c r="G2134" s="34">
        <v>8.7000000000045902E-2</v>
      </c>
      <c r="H2134" s="35">
        <v>9.4</v>
      </c>
      <c r="I2134" s="37">
        <f t="shared" si="33"/>
        <v>5.9631805321187054E-4</v>
      </c>
      <c r="J2134" s="33"/>
    </row>
    <row r="2135" spans="1:10">
      <c r="A2135" s="33" t="s">
        <v>36</v>
      </c>
      <c r="B2135" s="34">
        <v>343.99900000000002</v>
      </c>
      <c r="C2135" s="35">
        <v>15763.4</v>
      </c>
      <c r="D2135" s="33" t="s">
        <v>36</v>
      </c>
      <c r="E2135" s="34">
        <v>343.92099999999999</v>
      </c>
      <c r="F2135" s="36">
        <v>7.8000000000031405E-2</v>
      </c>
      <c r="G2135" s="34">
        <v>7.8000000000031405E-2</v>
      </c>
      <c r="H2135" s="35">
        <v>9923.1</v>
      </c>
      <c r="I2135" s="37">
        <f t="shared" si="33"/>
        <v>0.62950251849220351</v>
      </c>
      <c r="J2135" s="33" t="s">
        <v>116</v>
      </c>
    </row>
    <row r="2136" spans="1:10">
      <c r="A2136" s="33" t="s">
        <v>36</v>
      </c>
      <c r="B2136" s="34">
        <v>343.99900000000002</v>
      </c>
      <c r="C2136" s="35">
        <v>15763.4</v>
      </c>
      <c r="D2136" s="33" t="s">
        <v>239</v>
      </c>
      <c r="E2136" s="34">
        <v>343.94200000000001</v>
      </c>
      <c r="F2136" s="36">
        <v>5.7000000000016399E-2</v>
      </c>
      <c r="G2136" s="34">
        <v>5.7000000000016399E-2</v>
      </c>
      <c r="H2136" s="35">
        <v>1.3</v>
      </c>
      <c r="I2136" s="37">
        <f t="shared" si="33"/>
        <v>8.2469517997386358E-5</v>
      </c>
      <c r="J2136" s="33"/>
    </row>
    <row r="2137" spans="1:10">
      <c r="A2137" s="33" t="s">
        <v>36</v>
      </c>
      <c r="B2137" s="34">
        <v>343.99900000000002</v>
      </c>
      <c r="C2137" s="35">
        <v>15763.4</v>
      </c>
      <c r="D2137" s="33" t="s">
        <v>237</v>
      </c>
      <c r="E2137" s="34">
        <v>343.94200000000001</v>
      </c>
      <c r="F2137" s="36">
        <v>5.7000000000016399E-2</v>
      </c>
      <c r="G2137" s="34">
        <v>5.7000000000016399E-2</v>
      </c>
      <c r="H2137" s="35">
        <v>99.7</v>
      </c>
      <c r="I2137" s="37">
        <f t="shared" si="33"/>
        <v>6.3247776494918615E-3</v>
      </c>
      <c r="J2137" s="33"/>
    </row>
    <row r="2138" spans="1:10">
      <c r="A2138" s="33" t="s">
        <v>36</v>
      </c>
      <c r="B2138" s="34">
        <v>343.99900000000002</v>
      </c>
      <c r="C2138" s="35">
        <v>15763.4</v>
      </c>
      <c r="D2138" s="33" t="s">
        <v>184</v>
      </c>
      <c r="E2138" s="34">
        <v>343.94499999999999</v>
      </c>
      <c r="F2138" s="36">
        <v>5.4000000000030503E-2</v>
      </c>
      <c r="G2138" s="34">
        <v>5.4000000000030503E-2</v>
      </c>
      <c r="H2138" s="35">
        <v>35</v>
      </c>
      <c r="I2138" s="37">
        <f t="shared" si="33"/>
        <v>2.2203331768527097E-3</v>
      </c>
      <c r="J2138" s="33"/>
    </row>
    <row r="2139" spans="1:10">
      <c r="A2139" s="33" t="s">
        <v>36</v>
      </c>
      <c r="B2139" s="34">
        <v>343.99900000000002</v>
      </c>
      <c r="C2139" s="35">
        <v>15763.4</v>
      </c>
      <c r="D2139" s="33" t="s">
        <v>284</v>
      </c>
      <c r="E2139" s="34">
        <v>343.94900000000001</v>
      </c>
      <c r="F2139" s="36">
        <v>5.0000000000011403E-2</v>
      </c>
      <c r="G2139" s="34">
        <v>5.0000000000011403E-2</v>
      </c>
      <c r="H2139" s="35">
        <v>0.4</v>
      </c>
      <c r="I2139" s="37">
        <f t="shared" si="33"/>
        <v>2.537523630688811E-5</v>
      </c>
      <c r="J2139" s="33"/>
    </row>
    <row r="2140" spans="1:10">
      <c r="A2140" s="33" t="s">
        <v>36</v>
      </c>
      <c r="B2140" s="34">
        <v>343.99900000000002</v>
      </c>
      <c r="C2140" s="35">
        <v>15763.4</v>
      </c>
      <c r="D2140" s="33" t="s">
        <v>275</v>
      </c>
      <c r="E2140" s="34">
        <v>343.95499999999998</v>
      </c>
      <c r="F2140" s="36">
        <v>4.4000000000039598E-2</v>
      </c>
      <c r="G2140" s="34">
        <v>4.4000000000039598E-2</v>
      </c>
      <c r="H2140" s="35">
        <v>3.3</v>
      </c>
      <c r="I2140" s="37">
        <f t="shared" si="33"/>
        <v>2.0934569953182688E-4</v>
      </c>
      <c r="J2140" s="33"/>
    </row>
    <row r="2141" spans="1:10">
      <c r="A2141" s="33" t="s">
        <v>36</v>
      </c>
      <c r="B2141" s="34">
        <v>343.99900000000002</v>
      </c>
      <c r="C2141" s="35">
        <v>15763.4</v>
      </c>
      <c r="D2141" s="33" t="s">
        <v>271</v>
      </c>
      <c r="E2141" s="34">
        <v>343.971</v>
      </c>
      <c r="F2141" s="36">
        <v>2.8000000000019998E-2</v>
      </c>
      <c r="G2141" s="34">
        <v>2.8000000000019998E-2</v>
      </c>
      <c r="H2141" s="35">
        <v>2911</v>
      </c>
      <c r="I2141" s="37">
        <f t="shared" si="33"/>
        <v>0.18466828222337822</v>
      </c>
      <c r="J2141" s="33"/>
    </row>
    <row r="2142" spans="1:10">
      <c r="A2142" s="33" t="s">
        <v>36</v>
      </c>
      <c r="B2142" s="34">
        <v>343.99900000000002</v>
      </c>
      <c r="C2142" s="35">
        <v>15763.4</v>
      </c>
      <c r="D2142" s="33" t="s">
        <v>201</v>
      </c>
      <c r="E2142" s="34">
        <v>343.97199999999998</v>
      </c>
      <c r="F2142" s="36">
        <v>2.7000000000043701E-2</v>
      </c>
      <c r="G2142" s="34">
        <v>2.7000000000043701E-2</v>
      </c>
      <c r="H2142" s="35">
        <v>1141.0999999999999</v>
      </c>
      <c r="I2142" s="37">
        <f t="shared" si="33"/>
        <v>7.2389205374475046E-2</v>
      </c>
      <c r="J2142" s="33"/>
    </row>
    <row r="2143" spans="1:10">
      <c r="A2143" s="33" t="s">
        <v>36</v>
      </c>
      <c r="B2143" s="34">
        <v>343.99900000000002</v>
      </c>
      <c r="C2143" s="35">
        <v>15763.4</v>
      </c>
      <c r="D2143" s="33" t="s">
        <v>54</v>
      </c>
      <c r="E2143" s="34">
        <v>343.97500000000002</v>
      </c>
      <c r="F2143" s="36">
        <v>2.4000000000000899E-2</v>
      </c>
      <c r="G2143" s="34">
        <v>2.4000000000000899E-2</v>
      </c>
      <c r="H2143" s="35">
        <v>0.9</v>
      </c>
      <c r="I2143" s="37">
        <f t="shared" si="33"/>
        <v>5.7094281690498244E-5</v>
      </c>
      <c r="J2143" s="33"/>
    </row>
    <row r="2144" spans="1:10">
      <c r="A2144" s="33" t="s">
        <v>36</v>
      </c>
      <c r="B2144" s="34">
        <v>343.99900000000002</v>
      </c>
      <c r="C2144" s="35">
        <v>15763.4</v>
      </c>
      <c r="D2144" s="33" t="s">
        <v>25</v>
      </c>
      <c r="E2144" s="34">
        <v>343.983</v>
      </c>
      <c r="F2144" s="36">
        <v>1.6000000000019599E-2</v>
      </c>
      <c r="G2144" s="34">
        <v>1.6000000000019599E-2</v>
      </c>
      <c r="H2144" s="35">
        <v>367.9</v>
      </c>
      <c r="I2144" s="37">
        <f t="shared" si="33"/>
        <v>2.3338873593260336E-2</v>
      </c>
      <c r="J2144" s="33" t="s">
        <v>116</v>
      </c>
    </row>
    <row r="2145" spans="1:10">
      <c r="A2145" s="33" t="s">
        <v>36</v>
      </c>
      <c r="B2145" s="34">
        <v>343.99900000000002</v>
      </c>
      <c r="C2145" s="35">
        <v>15763.4</v>
      </c>
      <c r="D2145" s="33" t="s">
        <v>275</v>
      </c>
      <c r="E2145" s="34">
        <v>343.983</v>
      </c>
      <c r="F2145" s="36">
        <v>1.6000000000019599E-2</v>
      </c>
      <c r="G2145" s="34">
        <v>1.6000000000019599E-2</v>
      </c>
      <c r="H2145" s="35">
        <v>2.2000000000000002</v>
      </c>
      <c r="I2145" s="37">
        <f t="shared" si="33"/>
        <v>1.3956379968788462E-4</v>
      </c>
      <c r="J2145" s="33"/>
    </row>
    <row r="2146" spans="1:10">
      <c r="A2146" s="33" t="s">
        <v>36</v>
      </c>
      <c r="B2146" s="34">
        <v>343.99900000000002</v>
      </c>
      <c r="C2146" s="35">
        <v>15763.4</v>
      </c>
      <c r="D2146" s="33" t="s">
        <v>273</v>
      </c>
      <c r="E2146" s="34">
        <v>343.99200000000002</v>
      </c>
      <c r="F2146" s="36">
        <v>7.0000000000049996E-3</v>
      </c>
      <c r="G2146" s="34">
        <v>7.0000000000049996E-3</v>
      </c>
      <c r="H2146" s="35">
        <v>876.9</v>
      </c>
      <c r="I2146" s="37">
        <f t="shared" si="33"/>
        <v>5.5628861793775457E-2</v>
      </c>
      <c r="J2146" s="33"/>
    </row>
    <row r="2147" spans="1:10">
      <c r="A2147" s="33" t="s">
        <v>36</v>
      </c>
      <c r="B2147" s="34">
        <v>343.99900000000002</v>
      </c>
      <c r="C2147" s="35">
        <v>15763.4</v>
      </c>
      <c r="D2147" s="33" t="s">
        <v>184</v>
      </c>
      <c r="E2147" s="34">
        <v>344.017</v>
      </c>
      <c r="F2147" s="36">
        <v>1.7999999999972299E-2</v>
      </c>
      <c r="G2147" s="34">
        <v>1.7999999999972299E-2</v>
      </c>
      <c r="H2147" s="35">
        <v>74.8</v>
      </c>
      <c r="I2147" s="37">
        <f t="shared" si="33"/>
        <v>4.745169189388076E-3</v>
      </c>
      <c r="J2147" s="33"/>
    </row>
    <row r="2148" spans="1:10">
      <c r="A2148" s="33" t="s">
        <v>36</v>
      </c>
      <c r="B2148" s="34">
        <v>343.99900000000002</v>
      </c>
      <c r="C2148" s="35">
        <v>15763.4</v>
      </c>
      <c r="D2148" s="33" t="s">
        <v>165</v>
      </c>
      <c r="E2148" s="34">
        <v>344.02100000000002</v>
      </c>
      <c r="F2148" s="36">
        <v>2.1999999999991401E-2</v>
      </c>
      <c r="G2148" s="34">
        <v>2.1999999999991401E-2</v>
      </c>
      <c r="H2148" s="35">
        <v>0.7</v>
      </c>
      <c r="I2148" s="37">
        <f t="shared" si="33"/>
        <v>4.4406663537054188E-5</v>
      </c>
      <c r="J2148" s="33"/>
    </row>
    <row r="2149" spans="1:10">
      <c r="A2149" s="33" t="s">
        <v>36</v>
      </c>
      <c r="B2149" s="34">
        <v>343.99900000000002</v>
      </c>
      <c r="C2149" s="35">
        <v>15763.4</v>
      </c>
      <c r="D2149" s="33" t="s">
        <v>268</v>
      </c>
      <c r="E2149" s="34">
        <v>344.02199999999999</v>
      </c>
      <c r="F2149" s="36">
        <v>2.2999999999967699E-2</v>
      </c>
      <c r="G2149" s="34">
        <v>2.2999999999967699E-2</v>
      </c>
      <c r="H2149" s="35">
        <v>49.9</v>
      </c>
      <c r="I2149" s="37">
        <f t="shared" si="33"/>
        <v>3.1655607292842914E-3</v>
      </c>
      <c r="J2149" s="33"/>
    </row>
    <row r="2150" spans="1:10">
      <c r="A2150" s="33" t="s">
        <v>36</v>
      </c>
      <c r="B2150" s="34">
        <v>343.99900000000002</v>
      </c>
      <c r="C2150" s="35">
        <v>15763.4</v>
      </c>
      <c r="D2150" s="33" t="s">
        <v>193</v>
      </c>
      <c r="E2150" s="34">
        <v>344.03100000000001</v>
      </c>
      <c r="F2150" s="36">
        <v>3.19999999999823E-2</v>
      </c>
      <c r="G2150" s="34">
        <v>3.19999999999823E-2</v>
      </c>
      <c r="H2150" s="35">
        <v>135.6</v>
      </c>
      <c r="I2150" s="37">
        <f t="shared" si="33"/>
        <v>8.6022051080350687E-3</v>
      </c>
      <c r="J2150" s="33"/>
    </row>
    <row r="2151" spans="1:10">
      <c r="A2151" s="33" t="s">
        <v>36</v>
      </c>
      <c r="B2151" s="34">
        <v>343.99900000000002</v>
      </c>
      <c r="C2151" s="35">
        <v>15763.4</v>
      </c>
      <c r="D2151" s="33" t="s">
        <v>201</v>
      </c>
      <c r="E2151" s="34">
        <v>344.03699999999998</v>
      </c>
      <c r="F2151" s="36">
        <v>3.7999999999954098E-2</v>
      </c>
      <c r="G2151" s="34">
        <v>3.7999999999954098E-2</v>
      </c>
      <c r="H2151" s="35">
        <v>3038.9</v>
      </c>
      <c r="I2151" s="37">
        <f t="shared" si="33"/>
        <v>0.19278201403250569</v>
      </c>
      <c r="J2151" s="33"/>
    </row>
    <row r="2152" spans="1:10">
      <c r="A2152" s="33" t="s">
        <v>36</v>
      </c>
      <c r="B2152" s="34">
        <v>343.99900000000002</v>
      </c>
      <c r="C2152" s="35">
        <v>15763.4</v>
      </c>
      <c r="D2152" s="33" t="s">
        <v>236</v>
      </c>
      <c r="E2152" s="34">
        <v>344.04300000000001</v>
      </c>
      <c r="F2152" s="36">
        <v>4.3999999999982699E-2</v>
      </c>
      <c r="G2152" s="34">
        <v>4.3999999999982699E-2</v>
      </c>
      <c r="H2152" s="35">
        <v>94.3</v>
      </c>
      <c r="I2152" s="37">
        <f t="shared" si="33"/>
        <v>5.9822119593488715E-3</v>
      </c>
      <c r="J2152" s="33"/>
    </row>
    <row r="2153" spans="1:10">
      <c r="A2153" s="33" t="s">
        <v>36</v>
      </c>
      <c r="B2153" s="34">
        <v>343.99900000000002</v>
      </c>
      <c r="C2153" s="35">
        <v>15763.4</v>
      </c>
      <c r="D2153" s="33" t="s">
        <v>33</v>
      </c>
      <c r="E2153" s="34">
        <v>344.04500000000002</v>
      </c>
      <c r="F2153" s="36">
        <v>4.5999999999992297E-2</v>
      </c>
      <c r="G2153" s="34">
        <v>4.5999999999992297E-2</v>
      </c>
      <c r="H2153" s="35">
        <v>381.7</v>
      </c>
      <c r="I2153" s="37">
        <f t="shared" si="33"/>
        <v>2.4214319245847975E-2</v>
      </c>
      <c r="J2153" s="33" t="s">
        <v>116</v>
      </c>
    </row>
    <row r="2154" spans="1:10">
      <c r="A2154" s="33" t="s">
        <v>36</v>
      </c>
      <c r="B2154" s="34">
        <v>343.99900000000002</v>
      </c>
      <c r="C2154" s="35">
        <v>15763.4</v>
      </c>
      <c r="D2154" s="33" t="s">
        <v>25</v>
      </c>
      <c r="E2154" s="34">
        <v>344.04599999999999</v>
      </c>
      <c r="F2154" s="36">
        <v>4.6999999999968602E-2</v>
      </c>
      <c r="G2154" s="34">
        <v>4.6999999999968602E-2</v>
      </c>
      <c r="H2154" s="35">
        <v>106.3</v>
      </c>
      <c r="I2154" s="37">
        <f t="shared" si="33"/>
        <v>6.7434690485555148E-3</v>
      </c>
      <c r="J2154" s="33" t="s">
        <v>116</v>
      </c>
    </row>
    <row r="2155" spans="1:10">
      <c r="A2155" s="33" t="s">
        <v>36</v>
      </c>
      <c r="B2155" s="34">
        <v>343.99900000000002</v>
      </c>
      <c r="C2155" s="35">
        <v>15763.4</v>
      </c>
      <c r="D2155" s="33" t="s">
        <v>286</v>
      </c>
      <c r="E2155" s="34">
        <v>344.05</v>
      </c>
      <c r="F2155" s="36">
        <v>5.0999999999987701E-2</v>
      </c>
      <c r="G2155" s="34">
        <v>5.0999999999987701E-2</v>
      </c>
      <c r="H2155" s="35">
        <v>0.9</v>
      </c>
      <c r="I2155" s="37">
        <f t="shared" si="33"/>
        <v>5.7094281690498244E-5</v>
      </c>
      <c r="J2155" s="33"/>
    </row>
    <row r="2156" spans="1:10">
      <c r="A2156" s="33" t="s">
        <v>36</v>
      </c>
      <c r="B2156" s="34">
        <v>343.99900000000002</v>
      </c>
      <c r="C2156" s="35">
        <v>15763.4</v>
      </c>
      <c r="D2156" s="33" t="s">
        <v>270</v>
      </c>
      <c r="E2156" s="34">
        <v>344.05099999999999</v>
      </c>
      <c r="F2156" s="36">
        <v>5.1999999999964103E-2</v>
      </c>
      <c r="G2156" s="34">
        <v>5.1999999999964103E-2</v>
      </c>
      <c r="H2156" s="35">
        <v>989.5</v>
      </c>
      <c r="I2156" s="37">
        <f t="shared" si="33"/>
        <v>6.2771990814164458E-2</v>
      </c>
      <c r="J2156" s="33"/>
    </row>
    <row r="2157" spans="1:10">
      <c r="A2157" s="33" t="s">
        <v>36</v>
      </c>
      <c r="B2157" s="34">
        <v>343.99900000000002</v>
      </c>
      <c r="C2157" s="35">
        <v>15763.4</v>
      </c>
      <c r="D2157" s="33" t="s">
        <v>282</v>
      </c>
      <c r="E2157" s="34">
        <v>344.05599999999998</v>
      </c>
      <c r="F2157" s="36">
        <v>5.69999999999595E-2</v>
      </c>
      <c r="G2157" s="34">
        <v>5.69999999999595E-2</v>
      </c>
      <c r="H2157" s="35">
        <v>224.9</v>
      </c>
      <c r="I2157" s="37">
        <f t="shared" si="33"/>
        <v>1.426722661354784E-2</v>
      </c>
      <c r="J2157" s="33"/>
    </row>
    <row r="2158" spans="1:10">
      <c r="A2158" s="33" t="s">
        <v>36</v>
      </c>
      <c r="B2158" s="34">
        <v>343.99900000000002</v>
      </c>
      <c r="C2158" s="35">
        <v>15763.4</v>
      </c>
      <c r="D2158" s="33" t="s">
        <v>273</v>
      </c>
      <c r="E2158" s="34">
        <v>344.05799999999999</v>
      </c>
      <c r="F2158" s="36">
        <v>5.8999999999969098E-2</v>
      </c>
      <c r="G2158" s="34">
        <v>5.8999999999969098E-2</v>
      </c>
      <c r="H2158" s="35">
        <v>1691.1</v>
      </c>
      <c r="I2158" s="37">
        <f t="shared" si="33"/>
        <v>0.10728015529644619</v>
      </c>
      <c r="J2158" s="33"/>
    </row>
    <row r="2159" spans="1:10">
      <c r="A2159" s="33" t="s">
        <v>36</v>
      </c>
      <c r="B2159" s="34">
        <v>343.99900000000002</v>
      </c>
      <c r="C2159" s="35">
        <v>15763.4</v>
      </c>
      <c r="D2159" s="33" t="s">
        <v>284</v>
      </c>
      <c r="E2159" s="34">
        <v>344.05900000000003</v>
      </c>
      <c r="F2159" s="36">
        <v>6.0000000000002301E-2</v>
      </c>
      <c r="G2159" s="34">
        <v>6.0000000000002301E-2</v>
      </c>
      <c r="H2159" s="35">
        <v>1.1000000000000001</v>
      </c>
      <c r="I2159" s="37">
        <f t="shared" si="33"/>
        <v>6.9781899843942308E-5</v>
      </c>
      <c r="J2159" s="33"/>
    </row>
    <row r="2160" spans="1:10">
      <c r="A2160" s="33" t="s">
        <v>36</v>
      </c>
      <c r="B2160" s="34">
        <v>343.99900000000002</v>
      </c>
      <c r="C2160" s="35">
        <v>15763.4</v>
      </c>
      <c r="D2160" s="33" t="s">
        <v>97</v>
      </c>
      <c r="E2160" s="34">
        <v>344.06099999999998</v>
      </c>
      <c r="F2160" s="36">
        <v>6.1999999999955001E-2</v>
      </c>
      <c r="G2160" s="34">
        <v>6.1999999999955001E-2</v>
      </c>
      <c r="H2160" s="35">
        <v>1322.8</v>
      </c>
      <c r="I2160" s="37">
        <f t="shared" si="33"/>
        <v>8.3915906466878978E-2</v>
      </c>
      <c r="J2160" s="33"/>
    </row>
    <row r="2161" spans="1:10">
      <c r="A2161" s="33" t="s">
        <v>36</v>
      </c>
      <c r="B2161" s="34">
        <v>343.99900000000002</v>
      </c>
      <c r="C2161" s="35">
        <v>15763.4</v>
      </c>
      <c r="D2161" s="33" t="s">
        <v>33</v>
      </c>
      <c r="E2161" s="34">
        <v>344.09300000000002</v>
      </c>
      <c r="F2161" s="36">
        <v>9.3999999999994102E-2</v>
      </c>
      <c r="G2161" s="34">
        <v>9.3999999999994102E-2</v>
      </c>
      <c r="H2161" s="35">
        <v>2080.1999999999998</v>
      </c>
      <c r="I2161" s="37">
        <f t="shared" si="33"/>
        <v>0.13196391641397159</v>
      </c>
      <c r="J2161" s="33" t="s">
        <v>116</v>
      </c>
    </row>
    <row r="2162" spans="1:10">
      <c r="A2162" s="33" t="s">
        <v>36</v>
      </c>
      <c r="B2162" s="34">
        <v>343.99900000000002</v>
      </c>
      <c r="C2162" s="35">
        <v>15763.4</v>
      </c>
      <c r="D2162" s="33" t="s">
        <v>280</v>
      </c>
      <c r="E2162" s="34">
        <v>344.09899999999999</v>
      </c>
      <c r="F2162" s="36">
        <v>9.9999999999965894E-2</v>
      </c>
      <c r="G2162" s="34">
        <v>9.9999999999965894E-2</v>
      </c>
      <c r="H2162" s="35">
        <v>719.4</v>
      </c>
      <c r="I2162" s="37">
        <f t="shared" si="33"/>
        <v>4.5637362497938261E-2</v>
      </c>
      <c r="J2162" s="33"/>
    </row>
    <row r="2163" spans="1:10">
      <c r="A2163" s="33" t="s">
        <v>36</v>
      </c>
      <c r="B2163" s="34">
        <v>343.99900000000002</v>
      </c>
      <c r="C2163" s="35">
        <v>15763.4</v>
      </c>
      <c r="D2163" s="33" t="s">
        <v>97</v>
      </c>
      <c r="E2163" s="34">
        <v>344.09899999999999</v>
      </c>
      <c r="F2163" s="36">
        <v>9.9999999999965894E-2</v>
      </c>
      <c r="G2163" s="34">
        <v>9.9999999999965894E-2</v>
      </c>
      <c r="H2163" s="35">
        <v>593</v>
      </c>
      <c r="I2163" s="37">
        <f t="shared" si="33"/>
        <v>3.7618787824961621E-2</v>
      </c>
      <c r="J2163" s="33"/>
    </row>
    <row r="2164" spans="1:10">
      <c r="A2164" s="33" t="s">
        <v>36</v>
      </c>
      <c r="B2164" s="34">
        <v>343.99900000000002</v>
      </c>
      <c r="C2164" s="35">
        <v>15763.4</v>
      </c>
      <c r="D2164" s="33" t="s">
        <v>275</v>
      </c>
      <c r="E2164" s="34">
        <v>344.1</v>
      </c>
      <c r="F2164" s="36">
        <v>0.10099999999999899</v>
      </c>
      <c r="G2164" s="34">
        <v>0.10099999999999899</v>
      </c>
      <c r="H2164" s="35">
        <v>29.2</v>
      </c>
      <c r="I2164" s="37">
        <f t="shared" si="33"/>
        <v>1.8523922504028319E-3</v>
      </c>
      <c r="J2164" s="33"/>
    </row>
    <row r="2165" spans="1:10">
      <c r="A2165" s="33" t="s">
        <v>36</v>
      </c>
      <c r="B2165" s="34">
        <v>343.99900000000002</v>
      </c>
      <c r="C2165" s="35">
        <v>15763.4</v>
      </c>
      <c r="D2165" s="33" t="s">
        <v>271</v>
      </c>
      <c r="E2165" s="34">
        <v>344.10399999999998</v>
      </c>
      <c r="F2165" s="36">
        <v>0.104999999999961</v>
      </c>
      <c r="G2165" s="34">
        <v>0.104999999999961</v>
      </c>
      <c r="H2165" s="35">
        <v>456.2</v>
      </c>
      <c r="I2165" s="37">
        <f t="shared" si="33"/>
        <v>2.8940457008005887E-2</v>
      </c>
      <c r="J2165" s="33"/>
    </row>
    <row r="2166" spans="1:10">
      <c r="A2166" s="33" t="s">
        <v>36</v>
      </c>
      <c r="B2166" s="34">
        <v>343.99900000000002</v>
      </c>
      <c r="C2166" s="35">
        <v>15763.4</v>
      </c>
      <c r="D2166" s="33" t="s">
        <v>239</v>
      </c>
      <c r="E2166" s="34">
        <v>344.11099999999999</v>
      </c>
      <c r="F2166" s="36">
        <v>0.111999999999966</v>
      </c>
      <c r="G2166" s="34">
        <v>0.111999999999966</v>
      </c>
      <c r="H2166" s="35">
        <v>11.9</v>
      </c>
      <c r="I2166" s="37">
        <f t="shared" si="33"/>
        <v>7.5491328012992128E-4</v>
      </c>
      <c r="J2166" s="33"/>
    </row>
    <row r="2167" spans="1:10">
      <c r="A2167" s="33" t="s">
        <v>36</v>
      </c>
      <c r="B2167" s="34">
        <v>358.49599999999998</v>
      </c>
      <c r="C2167" s="35">
        <v>34906</v>
      </c>
      <c r="D2167" s="33" t="s">
        <v>270</v>
      </c>
      <c r="E2167" s="34">
        <v>358.33699999999999</v>
      </c>
      <c r="F2167" s="36">
        <v>0.15899999999999201</v>
      </c>
      <c r="G2167" s="34">
        <v>0.15899999999999201</v>
      </c>
      <c r="H2167" s="35">
        <v>1638.4</v>
      </c>
      <c r="I2167" s="37">
        <f t="shared" si="33"/>
        <v>4.6937489256861288E-2</v>
      </c>
      <c r="J2167" s="33"/>
    </row>
    <row r="2168" spans="1:10">
      <c r="A2168" s="33" t="s">
        <v>36</v>
      </c>
      <c r="B2168" s="34">
        <v>358.49599999999998</v>
      </c>
      <c r="C2168" s="35">
        <v>34906</v>
      </c>
      <c r="D2168" s="33" t="s">
        <v>274</v>
      </c>
      <c r="E2168" s="34">
        <v>358.34899999999999</v>
      </c>
      <c r="F2168" s="36">
        <v>0.146999999999991</v>
      </c>
      <c r="G2168" s="34">
        <v>0.146999999999991</v>
      </c>
      <c r="H2168" s="35">
        <v>7.2</v>
      </c>
      <c r="I2168" s="37">
        <f t="shared" si="33"/>
        <v>2.0626826333581619E-4</v>
      </c>
      <c r="J2168" s="33"/>
    </row>
    <row r="2169" spans="1:10">
      <c r="A2169" s="33" t="s">
        <v>36</v>
      </c>
      <c r="B2169" s="34">
        <v>358.49599999999998</v>
      </c>
      <c r="C2169" s="35">
        <v>34906</v>
      </c>
      <c r="D2169" s="33" t="s">
        <v>282</v>
      </c>
      <c r="E2169" s="34">
        <v>358.35199999999998</v>
      </c>
      <c r="F2169" s="36">
        <v>0.14400000000000601</v>
      </c>
      <c r="G2169" s="34">
        <v>0.14400000000000601</v>
      </c>
      <c r="H2169" s="35">
        <v>55.7</v>
      </c>
      <c r="I2169" s="37">
        <f t="shared" si="33"/>
        <v>1.5957142038618003E-3</v>
      </c>
      <c r="J2169" s="33"/>
    </row>
    <row r="2170" spans="1:10">
      <c r="A2170" s="33" t="s">
        <v>36</v>
      </c>
      <c r="B2170" s="34">
        <v>358.49599999999998</v>
      </c>
      <c r="C2170" s="35">
        <v>34906</v>
      </c>
      <c r="D2170" s="33" t="s">
        <v>25</v>
      </c>
      <c r="E2170" s="34">
        <v>358.36599999999999</v>
      </c>
      <c r="F2170" s="36">
        <v>0.12999999999999601</v>
      </c>
      <c r="G2170" s="34">
        <v>0.12999999999999601</v>
      </c>
      <c r="H2170" s="35">
        <v>342.1</v>
      </c>
      <c r="I2170" s="37">
        <f t="shared" si="33"/>
        <v>9.8006073454420441E-3</v>
      </c>
      <c r="J2170" s="33" t="s">
        <v>116</v>
      </c>
    </row>
    <row r="2171" spans="1:10">
      <c r="A2171" s="33" t="s">
        <v>36</v>
      </c>
      <c r="B2171" s="34">
        <v>358.49599999999998</v>
      </c>
      <c r="C2171" s="35">
        <v>34906</v>
      </c>
      <c r="D2171" s="33" t="s">
        <v>275</v>
      </c>
      <c r="E2171" s="34">
        <v>358.38600000000002</v>
      </c>
      <c r="F2171" s="36">
        <v>0.10999999999995699</v>
      </c>
      <c r="G2171" s="34">
        <v>0.10999999999995699</v>
      </c>
      <c r="H2171" s="35">
        <v>3.3</v>
      </c>
      <c r="I2171" s="37">
        <f t="shared" si="33"/>
        <v>9.4539620695582413E-5</v>
      </c>
      <c r="J2171" s="33"/>
    </row>
    <row r="2172" spans="1:10">
      <c r="A2172" s="33" t="s">
        <v>36</v>
      </c>
      <c r="B2172" s="34">
        <v>358.49599999999998</v>
      </c>
      <c r="C2172" s="35">
        <v>34906</v>
      </c>
      <c r="D2172" s="33" t="s">
        <v>268</v>
      </c>
      <c r="E2172" s="34">
        <v>358.41899999999998</v>
      </c>
      <c r="F2172" s="36">
        <v>7.6999999999998195E-2</v>
      </c>
      <c r="G2172" s="34">
        <v>7.6999999999998195E-2</v>
      </c>
      <c r="H2172" s="35">
        <v>22.1</v>
      </c>
      <c r="I2172" s="37">
        <f t="shared" si="33"/>
        <v>6.3312897496132473E-4</v>
      </c>
      <c r="J2172" s="33"/>
    </row>
    <row r="2173" spans="1:10">
      <c r="A2173" s="33" t="s">
        <v>36</v>
      </c>
      <c r="B2173" s="34">
        <v>358.49599999999998</v>
      </c>
      <c r="C2173" s="35">
        <v>34906</v>
      </c>
      <c r="D2173" s="33" t="s">
        <v>173</v>
      </c>
      <c r="E2173" s="34">
        <v>358.42099999999999</v>
      </c>
      <c r="F2173" s="36">
        <v>7.4999999999988604E-2</v>
      </c>
      <c r="G2173" s="34">
        <v>7.4999999999988604E-2</v>
      </c>
      <c r="H2173" s="35">
        <v>1409.8</v>
      </c>
      <c r="I2173" s="37">
        <f t="shared" si="33"/>
        <v>4.0388471895949123E-2</v>
      </c>
      <c r="J2173" s="33"/>
    </row>
    <row r="2174" spans="1:10">
      <c r="A2174" s="33" t="s">
        <v>36</v>
      </c>
      <c r="B2174" s="34">
        <v>358.49599999999998</v>
      </c>
      <c r="C2174" s="35">
        <v>34906</v>
      </c>
      <c r="D2174" s="33" t="s">
        <v>193</v>
      </c>
      <c r="E2174" s="34">
        <v>358.42099999999999</v>
      </c>
      <c r="F2174" s="36">
        <v>7.4999999999988604E-2</v>
      </c>
      <c r="G2174" s="34">
        <v>7.4999999999988604E-2</v>
      </c>
      <c r="H2174" s="35">
        <v>22.5</v>
      </c>
      <c r="I2174" s="37">
        <f t="shared" si="33"/>
        <v>6.4458832292442556E-4</v>
      </c>
      <c r="J2174" s="33"/>
    </row>
    <row r="2175" spans="1:10">
      <c r="A2175" s="33" t="s">
        <v>36</v>
      </c>
      <c r="B2175" s="34">
        <v>358.49599999999998</v>
      </c>
      <c r="C2175" s="35">
        <v>34906</v>
      </c>
      <c r="D2175" s="33" t="s">
        <v>270</v>
      </c>
      <c r="E2175" s="34">
        <v>358.42500000000001</v>
      </c>
      <c r="F2175" s="36">
        <v>7.0999999999969504E-2</v>
      </c>
      <c r="G2175" s="34">
        <v>7.0999999999969504E-2</v>
      </c>
      <c r="H2175" s="35">
        <v>1049.4000000000001</v>
      </c>
      <c r="I2175" s="37">
        <f t="shared" si="33"/>
        <v>3.0063599381195214E-2</v>
      </c>
      <c r="J2175" s="33"/>
    </row>
    <row r="2176" spans="1:10">
      <c r="A2176" s="33" t="s">
        <v>36</v>
      </c>
      <c r="B2176" s="34">
        <v>358.49599999999998</v>
      </c>
      <c r="C2176" s="35">
        <v>34906</v>
      </c>
      <c r="D2176" s="33" t="s">
        <v>239</v>
      </c>
      <c r="E2176" s="34">
        <v>358.43299999999999</v>
      </c>
      <c r="F2176" s="36">
        <v>6.2999999999988204E-2</v>
      </c>
      <c r="G2176" s="34">
        <v>6.2999999999988204E-2</v>
      </c>
      <c r="H2176" s="35">
        <v>39.299999999999997</v>
      </c>
      <c r="I2176" s="37">
        <f t="shared" si="33"/>
        <v>1.1258809373746632E-3</v>
      </c>
      <c r="J2176" s="33"/>
    </row>
    <row r="2177" spans="1:10">
      <c r="A2177" s="33" t="s">
        <v>36</v>
      </c>
      <c r="B2177" s="34">
        <v>358.49599999999998</v>
      </c>
      <c r="C2177" s="35">
        <v>34906</v>
      </c>
      <c r="D2177" s="33" t="s">
        <v>25</v>
      </c>
      <c r="E2177" s="34">
        <v>358.43400000000003</v>
      </c>
      <c r="F2177" s="36">
        <v>6.1999999999955001E-2</v>
      </c>
      <c r="G2177" s="34">
        <v>6.1999999999955001E-2</v>
      </c>
      <c r="H2177" s="35">
        <v>537.79999999999995</v>
      </c>
      <c r="I2177" s="37">
        <f t="shared" si="33"/>
        <v>1.5407093336389158E-2</v>
      </c>
      <c r="J2177" s="33" t="s">
        <v>116</v>
      </c>
    </row>
    <row r="2178" spans="1:10">
      <c r="A2178" s="33" t="s">
        <v>36</v>
      </c>
      <c r="B2178" s="34">
        <v>358.49599999999998</v>
      </c>
      <c r="C2178" s="35">
        <v>34906</v>
      </c>
      <c r="D2178" s="33" t="s">
        <v>276</v>
      </c>
      <c r="E2178" s="34">
        <v>358.43700000000001</v>
      </c>
      <c r="F2178" s="36">
        <v>5.8999999999969098E-2</v>
      </c>
      <c r="G2178" s="34">
        <v>5.8999999999969098E-2</v>
      </c>
      <c r="H2178" s="35">
        <v>0.3</v>
      </c>
      <c r="I2178" s="37">
        <f t="shared" ref="I2178:I2241" si="34">H2178/C2178</f>
        <v>8.594510972325674E-6</v>
      </c>
      <c r="J2178" s="33"/>
    </row>
    <row r="2179" spans="1:10">
      <c r="A2179" s="33" t="s">
        <v>36</v>
      </c>
      <c r="B2179" s="34">
        <v>358.49599999999998</v>
      </c>
      <c r="C2179" s="35">
        <v>34906</v>
      </c>
      <c r="D2179" s="33" t="s">
        <v>33</v>
      </c>
      <c r="E2179" s="34">
        <v>358.44200000000001</v>
      </c>
      <c r="F2179" s="36">
        <v>5.3999999999973597E-2</v>
      </c>
      <c r="G2179" s="34">
        <v>5.3999999999973597E-2</v>
      </c>
      <c r="H2179" s="35">
        <v>2058.1</v>
      </c>
      <c r="I2179" s="37">
        <f t="shared" si="34"/>
        <v>5.8961210107144904E-2</v>
      </c>
      <c r="J2179" s="33" t="s">
        <v>116</v>
      </c>
    </row>
    <row r="2180" spans="1:10">
      <c r="A2180" s="33" t="s">
        <v>36</v>
      </c>
      <c r="B2180" s="34">
        <v>358.49599999999998</v>
      </c>
      <c r="C2180" s="35">
        <v>34906</v>
      </c>
      <c r="D2180" s="33" t="s">
        <v>193</v>
      </c>
      <c r="E2180" s="34">
        <v>358.45</v>
      </c>
      <c r="F2180" s="36">
        <v>4.5999999999992297E-2</v>
      </c>
      <c r="G2180" s="34">
        <v>4.5999999999992297E-2</v>
      </c>
      <c r="H2180" s="35">
        <v>21.9</v>
      </c>
      <c r="I2180" s="37">
        <f t="shared" si="34"/>
        <v>6.2739930097977425E-4</v>
      </c>
      <c r="J2180" s="33"/>
    </row>
    <row r="2181" spans="1:10">
      <c r="A2181" s="33" t="s">
        <v>36</v>
      </c>
      <c r="B2181" s="34">
        <v>358.49599999999998</v>
      </c>
      <c r="C2181" s="35">
        <v>34906</v>
      </c>
      <c r="D2181" s="33" t="s">
        <v>116</v>
      </c>
      <c r="E2181" s="34">
        <v>358.452</v>
      </c>
      <c r="F2181" s="36">
        <v>4.3999999999982699E-2</v>
      </c>
      <c r="G2181" s="34">
        <v>4.3999999999982699E-2</v>
      </c>
      <c r="H2181" s="35">
        <v>70250</v>
      </c>
      <c r="I2181" s="37">
        <f t="shared" si="34"/>
        <v>2.0125479860195954</v>
      </c>
      <c r="J2181" s="33" t="s">
        <v>116</v>
      </c>
    </row>
    <row r="2182" spans="1:10">
      <c r="A2182" s="33" t="s">
        <v>36</v>
      </c>
      <c r="B2182" s="34">
        <v>358.49599999999998</v>
      </c>
      <c r="C2182" s="35">
        <v>34906</v>
      </c>
      <c r="D2182" s="33" t="s">
        <v>97</v>
      </c>
      <c r="E2182" s="34">
        <v>358.46600000000001</v>
      </c>
      <c r="F2182" s="36">
        <v>2.9999999999972701E-2</v>
      </c>
      <c r="G2182" s="34">
        <v>2.9999999999972701E-2</v>
      </c>
      <c r="H2182" s="35">
        <v>69.3</v>
      </c>
      <c r="I2182" s="37">
        <f t="shared" si="34"/>
        <v>1.985332034607231E-3</v>
      </c>
      <c r="J2182" s="33"/>
    </row>
    <row r="2183" spans="1:10">
      <c r="A2183" s="33" t="s">
        <v>36</v>
      </c>
      <c r="B2183" s="34">
        <v>358.49599999999998</v>
      </c>
      <c r="C2183" s="35">
        <v>34906</v>
      </c>
      <c r="D2183" s="33" t="s">
        <v>274</v>
      </c>
      <c r="E2183" s="34">
        <v>358.46899999999999</v>
      </c>
      <c r="F2183" s="36">
        <v>2.6999999999986798E-2</v>
      </c>
      <c r="G2183" s="34">
        <v>2.6999999999986798E-2</v>
      </c>
      <c r="H2183" s="35">
        <v>3.1</v>
      </c>
      <c r="I2183" s="37">
        <f t="shared" si="34"/>
        <v>8.880994671403198E-5</v>
      </c>
      <c r="J2183" s="33"/>
    </row>
    <row r="2184" spans="1:10">
      <c r="A2184" s="33" t="s">
        <v>36</v>
      </c>
      <c r="B2184" s="34">
        <v>358.49599999999998</v>
      </c>
      <c r="C2184" s="35">
        <v>34906</v>
      </c>
      <c r="D2184" s="33" t="s">
        <v>54</v>
      </c>
      <c r="E2184" s="34">
        <v>358.47899999999998</v>
      </c>
      <c r="F2184" s="36">
        <v>1.69999999999959E-2</v>
      </c>
      <c r="G2184" s="34">
        <v>1.69999999999959E-2</v>
      </c>
      <c r="H2184" s="35">
        <v>27.4</v>
      </c>
      <c r="I2184" s="37">
        <f t="shared" si="34"/>
        <v>7.8496533547241156E-4</v>
      </c>
      <c r="J2184" s="33"/>
    </row>
    <row r="2185" spans="1:10">
      <c r="A2185" s="33" t="s">
        <v>36</v>
      </c>
      <c r="B2185" s="34">
        <v>358.49599999999998</v>
      </c>
      <c r="C2185" s="35">
        <v>34906</v>
      </c>
      <c r="D2185" s="33" t="s">
        <v>25</v>
      </c>
      <c r="E2185" s="34">
        <v>358.48</v>
      </c>
      <c r="F2185" s="36">
        <v>1.59999999999627E-2</v>
      </c>
      <c r="G2185" s="34">
        <v>1.59999999999627E-2</v>
      </c>
      <c r="H2185" s="35">
        <v>177.4</v>
      </c>
      <c r="I2185" s="37">
        <f t="shared" si="34"/>
        <v>5.0822208216352487E-3</v>
      </c>
      <c r="J2185" s="33" t="s">
        <v>116</v>
      </c>
    </row>
    <row r="2186" spans="1:10">
      <c r="A2186" s="33" t="s">
        <v>36</v>
      </c>
      <c r="B2186" s="34">
        <v>358.49599999999998</v>
      </c>
      <c r="C2186" s="35">
        <v>34906</v>
      </c>
      <c r="D2186" s="33" t="s">
        <v>277</v>
      </c>
      <c r="E2186" s="34">
        <v>358.488</v>
      </c>
      <c r="F2186" s="36">
        <v>7.9999999999813606E-3</v>
      </c>
      <c r="G2186" s="34">
        <v>7.9999999999813606E-3</v>
      </c>
      <c r="H2186" s="35">
        <v>152.6</v>
      </c>
      <c r="I2186" s="37">
        <f t="shared" si="34"/>
        <v>4.3717412479229931E-3</v>
      </c>
      <c r="J2186" s="33"/>
    </row>
    <row r="2187" spans="1:10">
      <c r="A2187" s="33" t="s">
        <v>36</v>
      </c>
      <c r="B2187" s="34">
        <v>358.49599999999998</v>
      </c>
      <c r="C2187" s="35">
        <v>34906</v>
      </c>
      <c r="D2187" s="33" t="s">
        <v>97</v>
      </c>
      <c r="E2187" s="34">
        <v>358.49599999999998</v>
      </c>
      <c r="F2187" s="36">
        <v>0</v>
      </c>
      <c r="G2187" s="34">
        <v>0</v>
      </c>
      <c r="H2187" s="35">
        <v>52</v>
      </c>
      <c r="I2187" s="37">
        <f t="shared" si="34"/>
        <v>1.4897152352031169E-3</v>
      </c>
      <c r="J2187" s="33"/>
    </row>
    <row r="2188" spans="1:10">
      <c r="A2188" s="33" t="s">
        <v>36</v>
      </c>
      <c r="B2188" s="34">
        <v>358.49599999999998</v>
      </c>
      <c r="C2188" s="35">
        <v>34906</v>
      </c>
      <c r="D2188" s="33" t="s">
        <v>273</v>
      </c>
      <c r="E2188" s="34">
        <v>358.49700000000001</v>
      </c>
      <c r="F2188" s="36">
        <v>1.0000000000332E-3</v>
      </c>
      <c r="G2188" s="34">
        <v>1.0000000000332E-3</v>
      </c>
      <c r="H2188" s="35">
        <v>240</v>
      </c>
      <c r="I2188" s="37">
        <f t="shared" si="34"/>
        <v>6.8756087778605399E-3</v>
      </c>
      <c r="J2188" s="33"/>
    </row>
    <row r="2189" spans="1:10">
      <c r="A2189" s="33" t="s">
        <v>36</v>
      </c>
      <c r="B2189" s="34">
        <v>358.49599999999998</v>
      </c>
      <c r="C2189" s="35">
        <v>34906</v>
      </c>
      <c r="D2189" s="33" t="s">
        <v>271</v>
      </c>
      <c r="E2189" s="34">
        <v>358.505</v>
      </c>
      <c r="F2189" s="36">
        <v>9.0000000000145502E-3</v>
      </c>
      <c r="G2189" s="34">
        <v>9.0000000000145502E-3</v>
      </c>
      <c r="H2189" s="35">
        <v>409</v>
      </c>
      <c r="I2189" s="37">
        <f t="shared" si="34"/>
        <v>1.171718329227067E-2</v>
      </c>
      <c r="J2189" s="33"/>
    </row>
    <row r="2190" spans="1:10">
      <c r="A2190" s="33" t="s">
        <v>36</v>
      </c>
      <c r="B2190" s="34">
        <v>358.49599999999998</v>
      </c>
      <c r="C2190" s="35">
        <v>34906</v>
      </c>
      <c r="D2190" s="33" t="s">
        <v>33</v>
      </c>
      <c r="E2190" s="34">
        <v>358.50599999999997</v>
      </c>
      <c r="F2190" s="36">
        <v>9.9999999999909103E-3</v>
      </c>
      <c r="G2190" s="34">
        <v>9.9999999999909103E-3</v>
      </c>
      <c r="H2190" s="35">
        <v>10508.8</v>
      </c>
      <c r="I2190" s="37">
        <f t="shared" si="34"/>
        <v>0.30105998968658682</v>
      </c>
      <c r="J2190" s="33" t="s">
        <v>116</v>
      </c>
    </row>
    <row r="2191" spans="1:10">
      <c r="A2191" s="33" t="s">
        <v>36</v>
      </c>
      <c r="B2191" s="34">
        <v>358.49599999999998</v>
      </c>
      <c r="C2191" s="35">
        <v>34906</v>
      </c>
      <c r="D2191" s="33" t="s">
        <v>201</v>
      </c>
      <c r="E2191" s="34">
        <v>358.50799999999998</v>
      </c>
      <c r="F2191" s="36">
        <v>1.20000000000005E-2</v>
      </c>
      <c r="G2191" s="34">
        <v>1.20000000000005E-2</v>
      </c>
      <c r="H2191" s="35">
        <v>5854.6</v>
      </c>
      <c r="I2191" s="37">
        <f t="shared" si="34"/>
        <v>0.16772474646192634</v>
      </c>
      <c r="J2191" s="33"/>
    </row>
    <row r="2192" spans="1:10">
      <c r="A2192" s="33" t="s">
        <v>36</v>
      </c>
      <c r="B2192" s="34">
        <v>358.49599999999998</v>
      </c>
      <c r="C2192" s="35">
        <v>34906</v>
      </c>
      <c r="D2192" s="33" t="s">
        <v>54</v>
      </c>
      <c r="E2192" s="34">
        <v>358.51499999999999</v>
      </c>
      <c r="F2192" s="36">
        <v>1.9000000000005499E-2</v>
      </c>
      <c r="G2192" s="34">
        <v>1.9000000000005499E-2</v>
      </c>
      <c r="H2192" s="35">
        <v>408.3</v>
      </c>
      <c r="I2192" s="37">
        <f t="shared" si="34"/>
        <v>1.1697129433335243E-2</v>
      </c>
      <c r="J2192" s="33"/>
    </row>
    <row r="2193" spans="1:10">
      <c r="A2193" s="33" t="s">
        <v>36</v>
      </c>
      <c r="B2193" s="34">
        <v>358.49599999999998</v>
      </c>
      <c r="C2193" s="35">
        <v>34906</v>
      </c>
      <c r="D2193" s="33" t="s">
        <v>239</v>
      </c>
      <c r="E2193" s="34">
        <v>358.529</v>
      </c>
      <c r="F2193" s="36">
        <v>3.3000000000015503E-2</v>
      </c>
      <c r="G2193" s="34">
        <v>3.3000000000015503E-2</v>
      </c>
      <c r="H2193" s="35">
        <v>1080.5999999999999</v>
      </c>
      <c r="I2193" s="37">
        <f t="shared" si="34"/>
        <v>3.0957428522317077E-2</v>
      </c>
      <c r="J2193" s="33"/>
    </row>
    <row r="2194" spans="1:10">
      <c r="A2194" s="33" t="s">
        <v>36</v>
      </c>
      <c r="B2194" s="34">
        <v>358.49599999999998</v>
      </c>
      <c r="C2194" s="35">
        <v>34906</v>
      </c>
      <c r="D2194" s="33" t="s">
        <v>97</v>
      </c>
      <c r="E2194" s="34">
        <v>358.53199999999998</v>
      </c>
      <c r="F2194" s="36">
        <v>3.6000000000001399E-2</v>
      </c>
      <c r="G2194" s="34">
        <v>3.6000000000001399E-2</v>
      </c>
      <c r="H2194" s="35">
        <v>292.3</v>
      </c>
      <c r="I2194" s="37">
        <f t="shared" si="34"/>
        <v>8.3739185240359823E-3</v>
      </c>
      <c r="J2194" s="33"/>
    </row>
    <row r="2195" spans="1:10">
      <c r="A2195" s="33" t="s">
        <v>36</v>
      </c>
      <c r="B2195" s="34">
        <v>358.49599999999998</v>
      </c>
      <c r="C2195" s="35">
        <v>34906</v>
      </c>
      <c r="D2195" s="33" t="s">
        <v>63</v>
      </c>
      <c r="E2195" s="34">
        <v>358.54700000000003</v>
      </c>
      <c r="F2195" s="36">
        <v>5.10000000000446E-2</v>
      </c>
      <c r="G2195" s="34">
        <v>5.10000000000446E-2</v>
      </c>
      <c r="H2195" s="35">
        <v>4077.4</v>
      </c>
      <c r="I2195" s="37">
        <f t="shared" si="34"/>
        <v>0.11681086346186902</v>
      </c>
      <c r="J2195" s="33" t="s">
        <v>116</v>
      </c>
    </row>
    <row r="2196" spans="1:10">
      <c r="A2196" s="33" t="s">
        <v>36</v>
      </c>
      <c r="B2196" s="34">
        <v>358.49599999999998</v>
      </c>
      <c r="C2196" s="35">
        <v>34906</v>
      </c>
      <c r="D2196" s="33" t="s">
        <v>239</v>
      </c>
      <c r="E2196" s="34">
        <v>358.54899999999998</v>
      </c>
      <c r="F2196" s="36">
        <v>5.2999999999997299E-2</v>
      </c>
      <c r="G2196" s="34">
        <v>5.2999999999997299E-2</v>
      </c>
      <c r="H2196" s="35">
        <v>471.5</v>
      </c>
      <c r="I2196" s="37">
        <f t="shared" si="34"/>
        <v>1.3507706411505185E-2</v>
      </c>
      <c r="J2196" s="33"/>
    </row>
    <row r="2197" spans="1:10">
      <c r="A2197" s="33" t="s">
        <v>36</v>
      </c>
      <c r="B2197" s="34">
        <v>358.49599999999998</v>
      </c>
      <c r="C2197" s="35">
        <v>34906</v>
      </c>
      <c r="D2197" s="33" t="s">
        <v>97</v>
      </c>
      <c r="E2197" s="34">
        <v>358.57100000000003</v>
      </c>
      <c r="F2197" s="36">
        <v>7.5000000000045502E-2</v>
      </c>
      <c r="G2197" s="34">
        <v>7.5000000000045502E-2</v>
      </c>
      <c r="H2197" s="35">
        <v>138.9</v>
      </c>
      <c r="I2197" s="37">
        <f t="shared" si="34"/>
        <v>3.9792585801867878E-3</v>
      </c>
      <c r="J2197" s="33"/>
    </row>
    <row r="2198" spans="1:10">
      <c r="A2198" s="33" t="s">
        <v>36</v>
      </c>
      <c r="B2198" s="34">
        <v>358.49599999999998</v>
      </c>
      <c r="C2198" s="35">
        <v>34906</v>
      </c>
      <c r="D2198" s="33" t="s">
        <v>271</v>
      </c>
      <c r="E2198" s="34">
        <v>358.577</v>
      </c>
      <c r="F2198" s="36">
        <v>8.1000000000017294E-2</v>
      </c>
      <c r="G2198" s="34">
        <v>8.1000000000017294E-2</v>
      </c>
      <c r="H2198" s="35">
        <v>484.2</v>
      </c>
      <c r="I2198" s="37">
        <f t="shared" si="34"/>
        <v>1.3871540709333639E-2</v>
      </c>
      <c r="J2198" s="33"/>
    </row>
    <row r="2199" spans="1:10">
      <c r="A2199" s="33" t="s">
        <v>36</v>
      </c>
      <c r="B2199" s="34">
        <v>358.49599999999998</v>
      </c>
      <c r="C2199" s="35">
        <v>34906</v>
      </c>
      <c r="D2199" s="33" t="s">
        <v>33</v>
      </c>
      <c r="E2199" s="34">
        <v>358.57799999999997</v>
      </c>
      <c r="F2199" s="36">
        <v>8.1999999999993606E-2</v>
      </c>
      <c r="G2199" s="34">
        <v>8.1999999999993606E-2</v>
      </c>
      <c r="H2199" s="35">
        <v>6351.9</v>
      </c>
      <c r="I2199" s="37">
        <f t="shared" si="34"/>
        <v>0.1819715808170515</v>
      </c>
      <c r="J2199" s="33" t="s">
        <v>116</v>
      </c>
    </row>
    <row r="2200" spans="1:10">
      <c r="A2200" s="33" t="s">
        <v>36</v>
      </c>
      <c r="B2200" s="34">
        <v>358.49599999999998</v>
      </c>
      <c r="C2200" s="35">
        <v>34906</v>
      </c>
      <c r="D2200" s="33" t="s">
        <v>54</v>
      </c>
      <c r="E2200" s="34">
        <v>358.57900000000001</v>
      </c>
      <c r="F2200" s="36">
        <v>8.3000000000026802E-2</v>
      </c>
      <c r="G2200" s="34">
        <v>8.3000000000026802E-2</v>
      </c>
      <c r="H2200" s="35">
        <v>6.6</v>
      </c>
      <c r="I2200" s="37">
        <f t="shared" si="34"/>
        <v>1.8907924139116483E-4</v>
      </c>
      <c r="J2200" s="33"/>
    </row>
    <row r="2201" spans="1:10">
      <c r="A2201" s="33" t="s">
        <v>36</v>
      </c>
      <c r="B2201" s="34">
        <v>358.49599999999998</v>
      </c>
      <c r="C2201" s="35">
        <v>34906</v>
      </c>
      <c r="D2201" s="33" t="s">
        <v>275</v>
      </c>
      <c r="E2201" s="34">
        <v>358.59</v>
      </c>
      <c r="F2201" s="36">
        <v>9.3999999999994102E-2</v>
      </c>
      <c r="G2201" s="34">
        <v>9.3999999999994102E-2</v>
      </c>
      <c r="H2201" s="35">
        <v>95.3</v>
      </c>
      <c r="I2201" s="37">
        <f t="shared" si="34"/>
        <v>2.7301896522087892E-3</v>
      </c>
      <c r="J2201" s="33"/>
    </row>
    <row r="2202" spans="1:10">
      <c r="A2202" s="33" t="s">
        <v>36</v>
      </c>
      <c r="B2202" s="34">
        <v>358.49599999999998</v>
      </c>
      <c r="C2202" s="35">
        <v>34906</v>
      </c>
      <c r="D2202" s="33" t="s">
        <v>109</v>
      </c>
      <c r="E2202" s="34">
        <v>358.60700000000003</v>
      </c>
      <c r="F2202" s="36">
        <v>0.11100000000004701</v>
      </c>
      <c r="G2202" s="34">
        <v>0.11100000000004701</v>
      </c>
      <c r="H2202" s="35">
        <v>135.1</v>
      </c>
      <c r="I2202" s="37">
        <f t="shared" si="34"/>
        <v>3.8703947745373285E-3</v>
      </c>
      <c r="J2202" s="33" t="s">
        <v>116</v>
      </c>
    </row>
    <row r="2203" spans="1:10">
      <c r="A2203" s="33" t="s">
        <v>36</v>
      </c>
      <c r="B2203" s="34">
        <v>358.49599999999998</v>
      </c>
      <c r="C2203" s="35">
        <v>34906</v>
      </c>
      <c r="D2203" s="33" t="s">
        <v>33</v>
      </c>
      <c r="E2203" s="34">
        <v>358.61099999999999</v>
      </c>
      <c r="F2203" s="36">
        <v>0.115000000000009</v>
      </c>
      <c r="G2203" s="34">
        <v>0.115000000000009</v>
      </c>
      <c r="H2203" s="35">
        <v>2341.6999999999998</v>
      </c>
      <c r="I2203" s="37">
        <f t="shared" si="34"/>
        <v>6.7085887812983441E-2</v>
      </c>
      <c r="J2203" s="33" t="s">
        <v>116</v>
      </c>
    </row>
    <row r="2204" spans="1:10">
      <c r="A2204" s="33" t="s">
        <v>36</v>
      </c>
      <c r="B2204" s="34">
        <v>358.49599999999998</v>
      </c>
      <c r="C2204" s="35">
        <v>34906</v>
      </c>
      <c r="D2204" s="33" t="s">
        <v>97</v>
      </c>
      <c r="E2204" s="34">
        <v>358.61099999999999</v>
      </c>
      <c r="F2204" s="36">
        <v>0.115000000000009</v>
      </c>
      <c r="G2204" s="34">
        <v>0.115000000000009</v>
      </c>
      <c r="H2204" s="35">
        <v>94.3</v>
      </c>
      <c r="I2204" s="37">
        <f t="shared" si="34"/>
        <v>2.7015412823010372E-3</v>
      </c>
      <c r="J2204" s="33"/>
    </row>
    <row r="2205" spans="1:10">
      <c r="A2205" s="33" t="s">
        <v>36</v>
      </c>
      <c r="B2205" s="34">
        <v>358.49599999999998</v>
      </c>
      <c r="C2205" s="35">
        <v>34906</v>
      </c>
      <c r="D2205" s="33" t="s">
        <v>236</v>
      </c>
      <c r="E2205" s="34">
        <v>358.62700000000001</v>
      </c>
      <c r="F2205" s="36">
        <v>0.13100000000002901</v>
      </c>
      <c r="G2205" s="34">
        <v>0.13100000000002901</v>
      </c>
      <c r="H2205" s="35">
        <v>588.1</v>
      </c>
      <c r="I2205" s="37">
        <f t="shared" si="34"/>
        <v>1.6848106342749098E-2</v>
      </c>
      <c r="J2205" s="33"/>
    </row>
    <row r="2206" spans="1:10">
      <c r="A2206" s="33" t="s">
        <v>36</v>
      </c>
      <c r="B2206" s="34">
        <v>358.49599999999998</v>
      </c>
      <c r="C2206" s="35">
        <v>34906</v>
      </c>
      <c r="D2206" s="33" t="s">
        <v>193</v>
      </c>
      <c r="E2206" s="34">
        <v>358.62799999999999</v>
      </c>
      <c r="F2206" s="36">
        <v>0.132000000000005</v>
      </c>
      <c r="G2206" s="34">
        <v>0.132000000000005</v>
      </c>
      <c r="H2206" s="35">
        <v>30.8</v>
      </c>
      <c r="I2206" s="37">
        <f t="shared" si="34"/>
        <v>8.8236979315876928E-4</v>
      </c>
      <c r="J2206" s="33"/>
    </row>
    <row r="2207" spans="1:10">
      <c r="A2207" s="33" t="s">
        <v>36</v>
      </c>
      <c r="B2207" s="34">
        <v>364.62</v>
      </c>
      <c r="C2207" s="35">
        <v>13368.1</v>
      </c>
      <c r="D2207" s="33" t="s">
        <v>273</v>
      </c>
      <c r="E2207" s="34">
        <v>364.49299999999999</v>
      </c>
      <c r="F2207" s="36">
        <v>0.12700000000000999</v>
      </c>
      <c r="G2207" s="34">
        <v>0.12700000000000999</v>
      </c>
      <c r="H2207" s="35">
        <v>11.1</v>
      </c>
      <c r="I2207" s="37">
        <f t="shared" si="34"/>
        <v>8.3033490174370321E-4</v>
      </c>
      <c r="J2207" s="33"/>
    </row>
    <row r="2208" spans="1:10">
      <c r="A2208" s="33" t="s">
        <v>36</v>
      </c>
      <c r="B2208" s="34">
        <v>364.62</v>
      </c>
      <c r="C2208" s="35">
        <v>13368.1</v>
      </c>
      <c r="D2208" s="33" t="s">
        <v>277</v>
      </c>
      <c r="E2208" s="34">
        <v>364.50299999999999</v>
      </c>
      <c r="F2208" s="36">
        <v>0.11700000000001901</v>
      </c>
      <c r="G2208" s="34">
        <v>0.11700000000001901</v>
      </c>
      <c r="H2208" s="35">
        <v>133.69999999999999</v>
      </c>
      <c r="I2208" s="37">
        <f t="shared" si="34"/>
        <v>1.0001421293975956E-2</v>
      </c>
      <c r="J2208" s="33"/>
    </row>
    <row r="2209" spans="1:10">
      <c r="A2209" s="33" t="s">
        <v>36</v>
      </c>
      <c r="B2209" s="34">
        <v>364.62</v>
      </c>
      <c r="C2209" s="35">
        <v>13368.1</v>
      </c>
      <c r="D2209" s="33" t="s">
        <v>97</v>
      </c>
      <c r="E2209" s="34">
        <v>364.50599999999997</v>
      </c>
      <c r="F2209" s="36">
        <v>0.11400000000003301</v>
      </c>
      <c r="G2209" s="34">
        <v>0.11400000000003301</v>
      </c>
      <c r="H2209" s="35">
        <v>1.3</v>
      </c>
      <c r="I2209" s="37">
        <f t="shared" si="34"/>
        <v>9.7246429933947232E-5</v>
      </c>
      <c r="J2209" s="33"/>
    </row>
    <row r="2210" spans="1:10">
      <c r="A2210" s="33" t="s">
        <v>36</v>
      </c>
      <c r="B2210" s="34">
        <v>364.62</v>
      </c>
      <c r="C2210" s="35">
        <v>13368.1</v>
      </c>
      <c r="D2210" s="33" t="s">
        <v>54</v>
      </c>
      <c r="E2210" s="34">
        <v>364.51900000000001</v>
      </c>
      <c r="F2210" s="36">
        <v>0.10099999999999899</v>
      </c>
      <c r="G2210" s="34">
        <v>0.10099999999999899</v>
      </c>
      <c r="H2210" s="35">
        <v>3.1</v>
      </c>
      <c r="I2210" s="37">
        <f t="shared" si="34"/>
        <v>2.3189533291941263E-4</v>
      </c>
      <c r="J2210" s="33"/>
    </row>
    <row r="2211" spans="1:10">
      <c r="A2211" s="33" t="s">
        <v>36</v>
      </c>
      <c r="B2211" s="34">
        <v>364.62</v>
      </c>
      <c r="C2211" s="35">
        <v>13368.1</v>
      </c>
      <c r="D2211" s="33" t="s">
        <v>184</v>
      </c>
      <c r="E2211" s="34">
        <v>364.53100000000001</v>
      </c>
      <c r="F2211" s="36">
        <v>8.8999999999998594E-2</v>
      </c>
      <c r="G2211" s="34">
        <v>8.8999999999998594E-2</v>
      </c>
      <c r="H2211" s="35">
        <v>35830</v>
      </c>
      <c r="I2211" s="37">
        <f t="shared" si="34"/>
        <v>2.6802612188717916</v>
      </c>
      <c r="J2211" s="33"/>
    </row>
    <row r="2212" spans="1:10">
      <c r="A2212" s="33" t="s">
        <v>36</v>
      </c>
      <c r="B2212" s="34">
        <v>364.62</v>
      </c>
      <c r="C2212" s="35">
        <v>13368.1</v>
      </c>
      <c r="D2212" s="33" t="s">
        <v>270</v>
      </c>
      <c r="E2212" s="34">
        <v>364.53899999999999</v>
      </c>
      <c r="F2212" s="36">
        <v>8.1000000000017294E-2</v>
      </c>
      <c r="G2212" s="34">
        <v>8.1000000000017294E-2</v>
      </c>
      <c r="H2212" s="35">
        <v>2070.9</v>
      </c>
      <c r="I2212" s="37">
        <f t="shared" si="34"/>
        <v>0.15491356288477795</v>
      </c>
      <c r="J2212" s="33"/>
    </row>
    <row r="2213" spans="1:10">
      <c r="A2213" s="33" t="s">
        <v>36</v>
      </c>
      <c r="B2213" s="34">
        <v>364.62</v>
      </c>
      <c r="C2213" s="35">
        <v>13368.1</v>
      </c>
      <c r="D2213" s="33" t="s">
        <v>33</v>
      </c>
      <c r="E2213" s="34">
        <v>364.54</v>
      </c>
      <c r="F2213" s="36">
        <v>7.9999999999984098E-2</v>
      </c>
      <c r="G2213" s="34">
        <v>7.9999999999984098E-2</v>
      </c>
      <c r="H2213" s="35">
        <v>16509.7</v>
      </c>
      <c r="I2213" s="37">
        <f t="shared" si="34"/>
        <v>1.2350072186772989</v>
      </c>
      <c r="J2213" s="33" t="s">
        <v>116</v>
      </c>
    </row>
    <row r="2214" spans="1:10">
      <c r="A2214" s="33" t="s">
        <v>36</v>
      </c>
      <c r="B2214" s="34">
        <v>364.62</v>
      </c>
      <c r="C2214" s="35">
        <v>13368.1</v>
      </c>
      <c r="D2214" s="33" t="s">
        <v>277</v>
      </c>
      <c r="E2214" s="34">
        <v>364.54</v>
      </c>
      <c r="F2214" s="36">
        <v>7.9999999999984098E-2</v>
      </c>
      <c r="G2214" s="34">
        <v>7.9999999999984098E-2</v>
      </c>
      <c r="H2214" s="35">
        <v>29.2</v>
      </c>
      <c r="I2214" s="37">
        <f t="shared" si="34"/>
        <v>2.184304426208661E-3</v>
      </c>
      <c r="J2214" s="33"/>
    </row>
    <row r="2215" spans="1:10">
      <c r="A2215" s="33" t="s">
        <v>36</v>
      </c>
      <c r="B2215" s="34">
        <v>364.62</v>
      </c>
      <c r="C2215" s="35">
        <v>13368.1</v>
      </c>
      <c r="D2215" s="33" t="s">
        <v>133</v>
      </c>
      <c r="E2215" s="34">
        <v>364.541</v>
      </c>
      <c r="F2215" s="36">
        <v>7.9000000000007703E-2</v>
      </c>
      <c r="G2215" s="34">
        <v>7.9000000000007703E-2</v>
      </c>
      <c r="H2215" s="35">
        <v>7567.6</v>
      </c>
      <c r="I2215" s="37">
        <f t="shared" si="34"/>
        <v>0.56609391012933774</v>
      </c>
      <c r="J2215" s="33"/>
    </row>
    <row r="2216" spans="1:10">
      <c r="A2216" s="33" t="s">
        <v>36</v>
      </c>
      <c r="B2216" s="34">
        <v>364.62</v>
      </c>
      <c r="C2216" s="35">
        <v>13368.1</v>
      </c>
      <c r="D2216" s="33" t="s">
        <v>25</v>
      </c>
      <c r="E2216" s="34">
        <v>364.54599999999999</v>
      </c>
      <c r="F2216" s="36">
        <v>7.4000000000012306E-2</v>
      </c>
      <c r="G2216" s="34">
        <v>7.4000000000012306E-2</v>
      </c>
      <c r="H2216" s="35">
        <v>249.2</v>
      </c>
      <c r="I2216" s="37">
        <f t="shared" si="34"/>
        <v>1.8641392568876654E-2</v>
      </c>
      <c r="J2216" s="33" t="s">
        <v>116</v>
      </c>
    </row>
    <row r="2217" spans="1:10">
      <c r="A2217" s="33" t="s">
        <v>36</v>
      </c>
      <c r="B2217" s="34">
        <v>364.62</v>
      </c>
      <c r="C2217" s="35">
        <v>13368.1</v>
      </c>
      <c r="D2217" s="33" t="s">
        <v>173</v>
      </c>
      <c r="E2217" s="34">
        <v>364.55500000000001</v>
      </c>
      <c r="F2217" s="36">
        <v>6.4999999999997699E-2</v>
      </c>
      <c r="G2217" s="34">
        <v>6.4999999999997699E-2</v>
      </c>
      <c r="H2217" s="35">
        <v>1173.5999999999999</v>
      </c>
      <c r="I2217" s="37">
        <f t="shared" si="34"/>
        <v>8.7791084746523432E-2</v>
      </c>
      <c r="J2217" s="33"/>
    </row>
    <row r="2218" spans="1:10">
      <c r="A2218" s="33" t="s">
        <v>36</v>
      </c>
      <c r="B2218" s="34">
        <v>364.62</v>
      </c>
      <c r="C2218" s="35">
        <v>13368.1</v>
      </c>
      <c r="D2218" s="33" t="s">
        <v>274</v>
      </c>
      <c r="E2218" s="34">
        <v>364.56099999999998</v>
      </c>
      <c r="F2218" s="36">
        <v>5.90000000000259E-2</v>
      </c>
      <c r="G2218" s="34">
        <v>5.90000000000259E-2</v>
      </c>
      <c r="H2218" s="35">
        <v>37.200000000000003</v>
      </c>
      <c r="I2218" s="37">
        <f t="shared" si="34"/>
        <v>2.7827439950329517E-3</v>
      </c>
      <c r="J2218" s="33"/>
    </row>
    <row r="2219" spans="1:10">
      <c r="A2219" s="33" t="s">
        <v>36</v>
      </c>
      <c r="B2219" s="34">
        <v>364.62</v>
      </c>
      <c r="C2219" s="35">
        <v>13368.1</v>
      </c>
      <c r="D2219" s="33" t="s">
        <v>36</v>
      </c>
      <c r="E2219" s="34">
        <v>364.56200000000001</v>
      </c>
      <c r="F2219" s="36">
        <v>5.7999999999992703E-2</v>
      </c>
      <c r="G2219" s="34">
        <v>5.7999999999992703E-2</v>
      </c>
      <c r="H2219" s="35">
        <v>1758.3</v>
      </c>
      <c r="I2219" s="37">
        <f t="shared" si="34"/>
        <v>0.13152953673296877</v>
      </c>
      <c r="J2219" s="33" t="s">
        <v>116</v>
      </c>
    </row>
    <row r="2220" spans="1:10">
      <c r="A2220" s="33" t="s">
        <v>36</v>
      </c>
      <c r="B2220" s="34">
        <v>364.62</v>
      </c>
      <c r="C2220" s="35">
        <v>13368.1</v>
      </c>
      <c r="D2220" s="33" t="s">
        <v>27</v>
      </c>
      <c r="E2220" s="34">
        <v>364.565</v>
      </c>
      <c r="F2220" s="36">
        <v>5.50000000000068E-2</v>
      </c>
      <c r="G2220" s="34">
        <v>5.50000000000068E-2</v>
      </c>
      <c r="H2220" s="35">
        <v>334.6</v>
      </c>
      <c r="I2220" s="37">
        <f t="shared" si="34"/>
        <v>2.5029734966075957E-2</v>
      </c>
      <c r="J2220" s="33" t="s">
        <v>116</v>
      </c>
    </row>
    <row r="2221" spans="1:10">
      <c r="A2221" s="33" t="s">
        <v>36</v>
      </c>
      <c r="B2221" s="34">
        <v>364.62</v>
      </c>
      <c r="C2221" s="35">
        <v>13368.1</v>
      </c>
      <c r="D2221" s="33" t="s">
        <v>97</v>
      </c>
      <c r="E2221" s="34">
        <v>364.58199999999999</v>
      </c>
      <c r="F2221" s="36">
        <v>3.80000000000109E-2</v>
      </c>
      <c r="G2221" s="34">
        <v>3.80000000000109E-2</v>
      </c>
      <c r="H2221" s="35">
        <v>4.8</v>
      </c>
      <c r="I2221" s="37">
        <f t="shared" si="34"/>
        <v>3.5906374129457435E-4</v>
      </c>
      <c r="J2221" s="33"/>
    </row>
    <row r="2222" spans="1:10">
      <c r="A2222" s="33" t="s">
        <v>36</v>
      </c>
      <c r="B2222" s="34">
        <v>364.62</v>
      </c>
      <c r="C2222" s="35">
        <v>13368.1</v>
      </c>
      <c r="D2222" s="33" t="s">
        <v>33</v>
      </c>
      <c r="E2222" s="34">
        <v>364.58600000000001</v>
      </c>
      <c r="F2222" s="36">
        <v>3.3999999999991801E-2</v>
      </c>
      <c r="G2222" s="34">
        <v>3.3999999999991801E-2</v>
      </c>
      <c r="H2222" s="35">
        <v>413.3</v>
      </c>
      <c r="I2222" s="37">
        <f t="shared" si="34"/>
        <v>3.0916884224384916E-2</v>
      </c>
      <c r="J2222" s="33" t="s">
        <v>116</v>
      </c>
    </row>
    <row r="2223" spans="1:10">
      <c r="A2223" s="33" t="s">
        <v>36</v>
      </c>
      <c r="B2223" s="34">
        <v>364.62</v>
      </c>
      <c r="C2223" s="35">
        <v>13368.1</v>
      </c>
      <c r="D2223" s="33" t="s">
        <v>270</v>
      </c>
      <c r="E2223" s="34">
        <v>364.59</v>
      </c>
      <c r="F2223" s="36">
        <v>3.00000000000296E-2</v>
      </c>
      <c r="G2223" s="34">
        <v>3.00000000000296E-2</v>
      </c>
      <c r="H2223" s="35">
        <v>457.9</v>
      </c>
      <c r="I2223" s="37">
        <f t="shared" si="34"/>
        <v>3.4253184820580332E-2</v>
      </c>
      <c r="J2223" s="33"/>
    </row>
    <row r="2224" spans="1:10">
      <c r="A2224" s="33" t="s">
        <v>36</v>
      </c>
      <c r="B2224" s="34">
        <v>364.62</v>
      </c>
      <c r="C2224" s="35">
        <v>13368.1</v>
      </c>
      <c r="D2224" s="33" t="s">
        <v>278</v>
      </c>
      <c r="E2224" s="34">
        <v>364.59199999999998</v>
      </c>
      <c r="F2224" s="36">
        <v>2.8000000000019998E-2</v>
      </c>
      <c r="G2224" s="34">
        <v>2.8000000000019998E-2</v>
      </c>
      <c r="H2224" s="35">
        <v>40.299999999999997</v>
      </c>
      <c r="I2224" s="37">
        <f t="shared" si="34"/>
        <v>3.014639327952364E-3</v>
      </c>
      <c r="J2224" s="33"/>
    </row>
    <row r="2225" spans="1:10">
      <c r="A2225" s="33" t="s">
        <v>36</v>
      </c>
      <c r="B2225" s="34">
        <v>364.62</v>
      </c>
      <c r="C2225" s="35">
        <v>13368.1</v>
      </c>
      <c r="D2225" s="33" t="s">
        <v>84</v>
      </c>
      <c r="E2225" s="34">
        <v>364.59399999999999</v>
      </c>
      <c r="F2225" s="36">
        <v>2.6000000000010501E-2</v>
      </c>
      <c r="G2225" s="34">
        <v>2.6000000000010501E-2</v>
      </c>
      <c r="H2225" s="35">
        <v>2249.5</v>
      </c>
      <c r="I2225" s="37">
        <f t="shared" si="34"/>
        <v>0.16827372625878023</v>
      </c>
      <c r="J2225" s="33" t="s">
        <v>116</v>
      </c>
    </row>
    <row r="2226" spans="1:10">
      <c r="A2226" s="33" t="s">
        <v>36</v>
      </c>
      <c r="B2226" s="34">
        <v>364.62</v>
      </c>
      <c r="C2226" s="35">
        <v>13368.1</v>
      </c>
      <c r="D2226" s="33" t="s">
        <v>268</v>
      </c>
      <c r="E2226" s="34">
        <v>364.61099999999999</v>
      </c>
      <c r="F2226" s="36">
        <v>9.0000000000145502E-3</v>
      </c>
      <c r="G2226" s="34">
        <v>9.0000000000145502E-3</v>
      </c>
      <c r="H2226" s="35">
        <v>11.7</v>
      </c>
      <c r="I2226" s="37">
        <f t="shared" si="34"/>
        <v>8.7521786940552497E-4</v>
      </c>
      <c r="J2226" s="33"/>
    </row>
    <row r="2227" spans="1:10">
      <c r="A2227" s="33" t="s">
        <v>36</v>
      </c>
      <c r="B2227" s="34">
        <v>364.62</v>
      </c>
      <c r="C2227" s="35">
        <v>13368.1</v>
      </c>
      <c r="D2227" s="33" t="s">
        <v>173</v>
      </c>
      <c r="E2227" s="34">
        <v>364.63</v>
      </c>
      <c r="F2227" s="36">
        <v>9.9999999999909103E-3</v>
      </c>
      <c r="G2227" s="34">
        <v>9.9999999999909103E-3</v>
      </c>
      <c r="H2227" s="35">
        <v>600.6</v>
      </c>
      <c r="I2227" s="37">
        <f t="shared" si="34"/>
        <v>4.4927850629483623E-2</v>
      </c>
      <c r="J2227" s="33"/>
    </row>
    <row r="2228" spans="1:10">
      <c r="A2228" s="33" t="s">
        <v>36</v>
      </c>
      <c r="B2228" s="34">
        <v>364.62</v>
      </c>
      <c r="C2228" s="35">
        <v>13368.1</v>
      </c>
      <c r="D2228" s="33" t="s">
        <v>274</v>
      </c>
      <c r="E2228" s="34">
        <v>364.65899999999999</v>
      </c>
      <c r="F2228" s="36">
        <v>3.8999999999987302E-2</v>
      </c>
      <c r="G2228" s="34">
        <v>3.8999999999987302E-2</v>
      </c>
      <c r="H2228" s="35">
        <v>38.299999999999997</v>
      </c>
      <c r="I2228" s="37">
        <f t="shared" si="34"/>
        <v>2.8650294357462913E-3</v>
      </c>
      <c r="J2228" s="33"/>
    </row>
    <row r="2229" spans="1:10">
      <c r="A2229" s="33" t="s">
        <v>36</v>
      </c>
      <c r="B2229" s="34">
        <v>364.62</v>
      </c>
      <c r="C2229" s="35">
        <v>13368.1</v>
      </c>
      <c r="D2229" s="33" t="s">
        <v>33</v>
      </c>
      <c r="E2229" s="34">
        <v>364.661</v>
      </c>
      <c r="F2229" s="36">
        <v>4.0999999999996803E-2</v>
      </c>
      <c r="G2229" s="34">
        <v>4.0999999999996803E-2</v>
      </c>
      <c r="H2229" s="35">
        <v>262.2</v>
      </c>
      <c r="I2229" s="37">
        <f t="shared" si="34"/>
        <v>1.9613856868216126E-2</v>
      </c>
      <c r="J2229" s="33" t="s">
        <v>116</v>
      </c>
    </row>
    <row r="2230" spans="1:10">
      <c r="A2230" s="33" t="s">
        <v>36</v>
      </c>
      <c r="B2230" s="34">
        <v>364.62</v>
      </c>
      <c r="C2230" s="35">
        <v>13368.1</v>
      </c>
      <c r="D2230" s="33" t="s">
        <v>84</v>
      </c>
      <c r="E2230" s="34">
        <v>364.678</v>
      </c>
      <c r="F2230" s="36">
        <v>5.7999999999992703E-2</v>
      </c>
      <c r="G2230" s="34">
        <v>5.7999999999992703E-2</v>
      </c>
      <c r="H2230" s="35">
        <v>190.1</v>
      </c>
      <c r="I2230" s="37">
        <f t="shared" si="34"/>
        <v>1.4220420254187205E-2</v>
      </c>
      <c r="J2230" s="33" t="s">
        <v>116</v>
      </c>
    </row>
    <row r="2231" spans="1:10">
      <c r="A2231" s="33" t="s">
        <v>36</v>
      </c>
      <c r="B2231" s="34">
        <v>364.62</v>
      </c>
      <c r="C2231" s="35">
        <v>13368.1</v>
      </c>
      <c r="D2231" s="33" t="s">
        <v>277</v>
      </c>
      <c r="E2231" s="34">
        <v>364.685</v>
      </c>
      <c r="F2231" s="36">
        <v>6.4999999999997699E-2</v>
      </c>
      <c r="G2231" s="34">
        <v>6.4999999999997699E-2</v>
      </c>
      <c r="H2231" s="35">
        <v>41</v>
      </c>
      <c r="I2231" s="37">
        <f t="shared" si="34"/>
        <v>3.0670027902244897E-3</v>
      </c>
      <c r="J2231" s="33"/>
    </row>
    <row r="2232" spans="1:10">
      <c r="A2232" s="33" t="s">
        <v>36</v>
      </c>
      <c r="B2232" s="34">
        <v>364.62</v>
      </c>
      <c r="C2232" s="35">
        <v>13368.1</v>
      </c>
      <c r="D2232" s="33" t="s">
        <v>184</v>
      </c>
      <c r="E2232" s="34">
        <v>364.69099999999997</v>
      </c>
      <c r="F2232" s="36">
        <v>7.0999999999969504E-2</v>
      </c>
      <c r="G2232" s="34">
        <v>7.0999999999969504E-2</v>
      </c>
      <c r="H2232" s="35">
        <v>14.4</v>
      </c>
      <c r="I2232" s="37">
        <f t="shared" si="34"/>
        <v>1.0771912238837231E-3</v>
      </c>
      <c r="J2232" s="33"/>
    </row>
    <row r="2233" spans="1:10">
      <c r="A2233" s="33" t="s">
        <v>36</v>
      </c>
      <c r="B2233" s="34">
        <v>364.62</v>
      </c>
      <c r="C2233" s="35">
        <v>13368.1</v>
      </c>
      <c r="D2233" s="33" t="s">
        <v>25</v>
      </c>
      <c r="E2233" s="34">
        <v>364.69600000000003</v>
      </c>
      <c r="F2233" s="36">
        <v>7.60000000000218E-2</v>
      </c>
      <c r="G2233" s="34">
        <v>7.60000000000218E-2</v>
      </c>
      <c r="H2233" s="35">
        <v>599.1</v>
      </c>
      <c r="I2233" s="37">
        <f t="shared" si="34"/>
        <v>4.4815643210329069E-2</v>
      </c>
      <c r="J2233" s="33" t="s">
        <v>116</v>
      </c>
    </row>
    <row r="2234" spans="1:10">
      <c r="A2234" s="33" t="s">
        <v>36</v>
      </c>
      <c r="B2234" s="34">
        <v>364.62</v>
      </c>
      <c r="C2234" s="35">
        <v>13368.1</v>
      </c>
      <c r="D2234" s="33" t="s">
        <v>201</v>
      </c>
      <c r="E2234" s="34">
        <v>364.70600000000002</v>
      </c>
      <c r="F2234" s="36">
        <v>8.6000000000012705E-2</v>
      </c>
      <c r="G2234" s="34">
        <v>8.6000000000012705E-2</v>
      </c>
      <c r="H2234" s="35">
        <v>894.4</v>
      </c>
      <c r="I2234" s="37">
        <f t="shared" si="34"/>
        <v>6.6905543794555697E-2</v>
      </c>
      <c r="J2234" s="33"/>
    </row>
    <row r="2235" spans="1:10">
      <c r="A2235" s="33" t="s">
        <v>36</v>
      </c>
      <c r="B2235" s="34">
        <v>364.62</v>
      </c>
      <c r="C2235" s="35">
        <v>13368.1</v>
      </c>
      <c r="D2235" s="33" t="s">
        <v>109</v>
      </c>
      <c r="E2235" s="34">
        <v>364.72300000000001</v>
      </c>
      <c r="F2235" s="36">
        <v>0.103000000000009</v>
      </c>
      <c r="G2235" s="34">
        <v>0.103000000000009</v>
      </c>
      <c r="H2235" s="35">
        <v>636.20000000000005</v>
      </c>
      <c r="I2235" s="37">
        <f t="shared" si="34"/>
        <v>4.7590906710751717E-2</v>
      </c>
      <c r="J2235" s="33" t="s">
        <v>116</v>
      </c>
    </row>
    <row r="2236" spans="1:10">
      <c r="A2236" s="33" t="s">
        <v>36</v>
      </c>
      <c r="B2236" s="34">
        <v>364.62</v>
      </c>
      <c r="C2236" s="35">
        <v>13368.1</v>
      </c>
      <c r="D2236" s="33" t="s">
        <v>273</v>
      </c>
      <c r="E2236" s="34">
        <v>364.72899999999998</v>
      </c>
      <c r="F2236" s="36">
        <v>0.10899999999998</v>
      </c>
      <c r="G2236" s="34">
        <v>0.10899999999998</v>
      </c>
      <c r="H2236" s="35">
        <v>5.3</v>
      </c>
      <c r="I2236" s="37">
        <f t="shared" si="34"/>
        <v>3.9646621434609252E-4</v>
      </c>
      <c r="J2236" s="33"/>
    </row>
    <row r="2237" spans="1:10">
      <c r="A2237" s="33" t="s">
        <v>36</v>
      </c>
      <c r="B2237" s="34">
        <v>364.62</v>
      </c>
      <c r="C2237" s="35">
        <v>13368.1</v>
      </c>
      <c r="D2237" s="33" t="s">
        <v>184</v>
      </c>
      <c r="E2237" s="34">
        <v>364.73500000000001</v>
      </c>
      <c r="F2237" s="36">
        <v>0.115000000000009</v>
      </c>
      <c r="G2237" s="34">
        <v>0.115000000000009</v>
      </c>
      <c r="H2237" s="35">
        <v>48.5</v>
      </c>
      <c r="I2237" s="37">
        <f t="shared" si="34"/>
        <v>3.6280398859972621E-3</v>
      </c>
      <c r="J2237" s="33"/>
    </row>
    <row r="2238" spans="1:10">
      <c r="A2238" s="33" t="s">
        <v>36</v>
      </c>
      <c r="B2238" s="34">
        <v>364.62</v>
      </c>
      <c r="C2238" s="35">
        <v>13368.1</v>
      </c>
      <c r="D2238" s="33" t="s">
        <v>239</v>
      </c>
      <c r="E2238" s="34">
        <v>364.73700000000002</v>
      </c>
      <c r="F2238" s="36">
        <v>0.11700000000001901</v>
      </c>
      <c r="G2238" s="34">
        <v>0.11700000000001901</v>
      </c>
      <c r="H2238" s="35">
        <v>9.6</v>
      </c>
      <c r="I2238" s="37">
        <f t="shared" si="34"/>
        <v>7.181274825891487E-4</v>
      </c>
      <c r="J2238" s="33"/>
    </row>
    <row r="2239" spans="1:10">
      <c r="A2239" s="33" t="s">
        <v>36</v>
      </c>
      <c r="B2239" s="34">
        <v>364.62</v>
      </c>
      <c r="C2239" s="35">
        <v>13368.1</v>
      </c>
      <c r="D2239" s="33" t="s">
        <v>271</v>
      </c>
      <c r="E2239" s="34">
        <v>364.76499999999999</v>
      </c>
      <c r="F2239" s="36">
        <v>0.144999999999982</v>
      </c>
      <c r="G2239" s="34">
        <v>0.144999999999982</v>
      </c>
      <c r="H2239" s="35">
        <v>344.7</v>
      </c>
      <c r="I2239" s="37">
        <f t="shared" si="34"/>
        <v>2.5785264921716622E-2</v>
      </c>
      <c r="J2239" s="33"/>
    </row>
    <row r="2240" spans="1:10">
      <c r="A2240" s="33" t="s">
        <v>36</v>
      </c>
      <c r="B2240" s="34">
        <v>364.62</v>
      </c>
      <c r="C2240" s="35">
        <v>13368.1</v>
      </c>
      <c r="D2240" s="33" t="s">
        <v>54</v>
      </c>
      <c r="E2240" s="34">
        <v>364.76600000000002</v>
      </c>
      <c r="F2240" s="36">
        <v>0.14600000000001501</v>
      </c>
      <c r="G2240" s="34">
        <v>0.14600000000001501</v>
      </c>
      <c r="H2240" s="35">
        <v>24.7</v>
      </c>
      <c r="I2240" s="37">
        <f t="shared" si="34"/>
        <v>1.8476821687449974E-3</v>
      </c>
      <c r="J2240" s="33"/>
    </row>
    <row r="2241" spans="1:10">
      <c r="A2241" s="33" t="s">
        <v>36</v>
      </c>
      <c r="B2241" s="34">
        <v>364.62</v>
      </c>
      <c r="C2241" s="35">
        <v>13368.1</v>
      </c>
      <c r="D2241" s="33" t="s">
        <v>109</v>
      </c>
      <c r="E2241" s="34">
        <v>364.77300000000002</v>
      </c>
      <c r="F2241" s="36">
        <v>0.15300000000002001</v>
      </c>
      <c r="G2241" s="34">
        <v>0.15300000000002001</v>
      </c>
      <c r="H2241" s="35">
        <v>1054.2</v>
      </c>
      <c r="I2241" s="37">
        <f t="shared" si="34"/>
        <v>7.8859374181820902E-2</v>
      </c>
      <c r="J2241" s="33" t="s">
        <v>116</v>
      </c>
    </row>
    <row r="2242" spans="1:10">
      <c r="A2242" s="33" t="s">
        <v>36</v>
      </c>
      <c r="B2242" s="34">
        <v>364.62</v>
      </c>
      <c r="C2242" s="35">
        <v>13368.1</v>
      </c>
      <c r="D2242" s="33" t="s">
        <v>201</v>
      </c>
      <c r="E2242" s="34">
        <v>364.77499999999998</v>
      </c>
      <c r="F2242" s="36">
        <v>0.15499999999997299</v>
      </c>
      <c r="G2242" s="34">
        <v>0.15499999999997299</v>
      </c>
      <c r="H2242" s="35">
        <v>1465.9</v>
      </c>
      <c r="I2242" s="37">
        <f t="shared" ref="I2242:I2305" si="35">H2242/C2242</f>
        <v>0.10965657049244096</v>
      </c>
      <c r="J2242" s="33"/>
    </row>
    <row r="2243" spans="1:10">
      <c r="A2243" s="33" t="s">
        <v>36</v>
      </c>
      <c r="B2243" s="34">
        <v>364.62</v>
      </c>
      <c r="C2243" s="35">
        <v>13368.1</v>
      </c>
      <c r="D2243" s="33" t="s">
        <v>85</v>
      </c>
      <c r="E2243" s="34">
        <v>364.77800000000002</v>
      </c>
      <c r="F2243" s="36">
        <v>0.15800000000001599</v>
      </c>
      <c r="G2243" s="34">
        <v>0.15800000000001599</v>
      </c>
      <c r="H2243" s="35">
        <v>205.8</v>
      </c>
      <c r="I2243" s="37">
        <f t="shared" si="35"/>
        <v>1.5394857908004878E-2</v>
      </c>
      <c r="J2243" s="33" t="s">
        <v>116</v>
      </c>
    </row>
    <row r="2244" spans="1:10">
      <c r="A2244" s="33" t="s">
        <v>36</v>
      </c>
      <c r="B2244" s="34">
        <v>364.62</v>
      </c>
      <c r="C2244" s="35">
        <v>13368.1</v>
      </c>
      <c r="D2244" s="33" t="s">
        <v>97</v>
      </c>
      <c r="E2244" s="34">
        <v>364.78399999999999</v>
      </c>
      <c r="F2244" s="36">
        <v>0.16399999999998699</v>
      </c>
      <c r="G2244" s="34">
        <v>0.16399999999998699</v>
      </c>
      <c r="H2244" s="35">
        <v>546.70000000000005</v>
      </c>
      <c r="I2244" s="37">
        <f t="shared" si="35"/>
        <v>4.0895864034529966E-2</v>
      </c>
      <c r="J2244" s="33"/>
    </row>
    <row r="2245" spans="1:10">
      <c r="A2245" s="33" t="s">
        <v>36</v>
      </c>
      <c r="B2245" s="34">
        <v>364.62</v>
      </c>
      <c r="C2245" s="35">
        <v>13368.1</v>
      </c>
      <c r="D2245" s="33" t="s">
        <v>25</v>
      </c>
      <c r="E2245" s="34">
        <v>364.79500000000002</v>
      </c>
      <c r="F2245" s="36">
        <v>0.17500000000001101</v>
      </c>
      <c r="G2245" s="34">
        <v>0.17500000000001101</v>
      </c>
      <c r="H2245" s="35">
        <v>908.5</v>
      </c>
      <c r="I2245" s="37">
        <f t="shared" si="35"/>
        <v>6.7960293534608501E-2</v>
      </c>
      <c r="J2245" s="33" t="s">
        <v>116</v>
      </c>
    </row>
    <row r="2246" spans="1:10">
      <c r="A2246" s="33" t="s">
        <v>36</v>
      </c>
      <c r="B2246" s="34">
        <v>364.62</v>
      </c>
      <c r="C2246" s="35">
        <v>13368.1</v>
      </c>
      <c r="D2246" s="33" t="s">
        <v>54</v>
      </c>
      <c r="E2246" s="34">
        <v>364.81299999999999</v>
      </c>
      <c r="F2246" s="36">
        <v>0.19299999999998399</v>
      </c>
      <c r="G2246" s="34">
        <v>0.19299999999998399</v>
      </c>
      <c r="H2246" s="35">
        <v>3.6</v>
      </c>
      <c r="I2246" s="37">
        <f t="shared" si="35"/>
        <v>2.6929780597093078E-4</v>
      </c>
      <c r="J2246" s="33"/>
    </row>
    <row r="2247" spans="1:10">
      <c r="A2247" s="33" t="s">
        <v>36</v>
      </c>
      <c r="B2247" s="34">
        <v>376.84</v>
      </c>
      <c r="C2247" s="35">
        <v>32110.2</v>
      </c>
      <c r="D2247" s="33" t="s">
        <v>269</v>
      </c>
      <c r="E2247" s="34">
        <v>376.69099999999997</v>
      </c>
      <c r="F2247" s="36">
        <v>0.14900000000000099</v>
      </c>
      <c r="G2247" s="34">
        <v>0.14900000000000099</v>
      </c>
      <c r="H2247" s="35">
        <v>916.2</v>
      </c>
      <c r="I2247" s="37">
        <f t="shared" si="35"/>
        <v>2.8532989517349627E-2</v>
      </c>
      <c r="J2247" s="33"/>
    </row>
    <row r="2248" spans="1:10">
      <c r="A2248" s="33" t="s">
        <v>36</v>
      </c>
      <c r="B2248" s="34">
        <v>376.84</v>
      </c>
      <c r="C2248" s="35">
        <v>32110.2</v>
      </c>
      <c r="D2248" s="33" t="s">
        <v>270</v>
      </c>
      <c r="E2248" s="34">
        <v>376.69200000000001</v>
      </c>
      <c r="F2248" s="36">
        <v>0.14799999999996799</v>
      </c>
      <c r="G2248" s="34">
        <v>0.14799999999996799</v>
      </c>
      <c r="H2248" s="35">
        <v>381.8</v>
      </c>
      <c r="I2248" s="37">
        <f t="shared" si="35"/>
        <v>1.1890302769836375E-2</v>
      </c>
      <c r="J2248" s="33"/>
    </row>
    <row r="2249" spans="1:10">
      <c r="A2249" s="33" t="s">
        <v>36</v>
      </c>
      <c r="B2249" s="34">
        <v>376.84</v>
      </c>
      <c r="C2249" s="35">
        <v>32110.2</v>
      </c>
      <c r="D2249" s="33" t="s">
        <v>36</v>
      </c>
      <c r="E2249" s="34">
        <v>376.70400000000001</v>
      </c>
      <c r="F2249" s="36">
        <v>0.13599999999996701</v>
      </c>
      <c r="G2249" s="34">
        <v>0.13599999999996701</v>
      </c>
      <c r="H2249" s="35">
        <v>3949.5</v>
      </c>
      <c r="I2249" s="37">
        <f t="shared" si="35"/>
        <v>0.12299829960573276</v>
      </c>
      <c r="J2249" s="33" t="s">
        <v>116</v>
      </c>
    </row>
    <row r="2250" spans="1:10">
      <c r="A2250" s="33" t="s">
        <v>36</v>
      </c>
      <c r="B2250" s="34">
        <v>376.84</v>
      </c>
      <c r="C2250" s="35">
        <v>32110.2</v>
      </c>
      <c r="D2250" s="33" t="s">
        <v>97</v>
      </c>
      <c r="E2250" s="34">
        <v>376.71899999999999</v>
      </c>
      <c r="F2250" s="36">
        <v>0.120999999999981</v>
      </c>
      <c r="G2250" s="34">
        <v>0.120999999999981</v>
      </c>
      <c r="H2250" s="35">
        <v>590.9</v>
      </c>
      <c r="I2250" s="37">
        <f t="shared" si="35"/>
        <v>1.840225224383529E-2</v>
      </c>
      <c r="J2250" s="33"/>
    </row>
    <row r="2251" spans="1:10">
      <c r="A2251" s="33" t="s">
        <v>36</v>
      </c>
      <c r="B2251" s="34">
        <v>376.84</v>
      </c>
      <c r="C2251" s="35">
        <v>32110.2</v>
      </c>
      <c r="D2251" s="33" t="s">
        <v>271</v>
      </c>
      <c r="E2251" s="34">
        <v>376.72</v>
      </c>
      <c r="F2251" s="36">
        <v>0.119999999999948</v>
      </c>
      <c r="G2251" s="34">
        <v>0.119999999999948</v>
      </c>
      <c r="H2251" s="35">
        <v>193.8</v>
      </c>
      <c r="I2251" s="37">
        <f t="shared" si="35"/>
        <v>6.0354653661453374E-3</v>
      </c>
      <c r="J2251" s="33"/>
    </row>
    <row r="2252" spans="1:10">
      <c r="A2252" s="33" t="s">
        <v>36</v>
      </c>
      <c r="B2252" s="34">
        <v>376.84</v>
      </c>
      <c r="C2252" s="35">
        <v>32110.2</v>
      </c>
      <c r="D2252" s="33" t="s">
        <v>268</v>
      </c>
      <c r="E2252" s="34">
        <v>376.73500000000001</v>
      </c>
      <c r="F2252" s="36">
        <v>0.104999999999961</v>
      </c>
      <c r="G2252" s="34">
        <v>0.104999999999961</v>
      </c>
      <c r="H2252" s="35">
        <v>122</v>
      </c>
      <c r="I2252" s="37">
        <f t="shared" si="35"/>
        <v>3.7994157619697165E-3</v>
      </c>
      <c r="J2252" s="33"/>
    </row>
    <row r="2253" spans="1:10">
      <c r="A2253" s="33" t="s">
        <v>36</v>
      </c>
      <c r="B2253" s="34">
        <v>376.84</v>
      </c>
      <c r="C2253" s="35">
        <v>32110.2</v>
      </c>
      <c r="D2253" s="33" t="s">
        <v>270</v>
      </c>
      <c r="E2253" s="34">
        <v>376.73599999999999</v>
      </c>
      <c r="F2253" s="36">
        <v>0.10399999999998499</v>
      </c>
      <c r="G2253" s="34">
        <v>0.10399999999998499</v>
      </c>
      <c r="H2253" s="35">
        <v>2608.9</v>
      </c>
      <c r="I2253" s="37">
        <f t="shared" si="35"/>
        <v>8.1248326077072081E-2</v>
      </c>
      <c r="J2253" s="33"/>
    </row>
    <row r="2254" spans="1:10">
      <c r="A2254" s="33" t="s">
        <v>36</v>
      </c>
      <c r="B2254" s="34">
        <v>376.84</v>
      </c>
      <c r="C2254" s="35">
        <v>32110.2</v>
      </c>
      <c r="D2254" s="33" t="s">
        <v>33</v>
      </c>
      <c r="E2254" s="34">
        <v>376.76299999999998</v>
      </c>
      <c r="F2254" s="36">
        <v>7.6999999999998195E-2</v>
      </c>
      <c r="G2254" s="34">
        <v>7.6999999999998195E-2</v>
      </c>
      <c r="H2254" s="35">
        <v>76.8</v>
      </c>
      <c r="I2254" s="37">
        <f t="shared" si="35"/>
        <v>2.3917633649120839E-3</v>
      </c>
      <c r="J2254" s="33" t="s">
        <v>116</v>
      </c>
    </row>
    <row r="2255" spans="1:10">
      <c r="A2255" s="33" t="s">
        <v>36</v>
      </c>
      <c r="B2255" s="34">
        <v>376.84</v>
      </c>
      <c r="C2255" s="35">
        <v>32110.2</v>
      </c>
      <c r="D2255" s="33" t="s">
        <v>278</v>
      </c>
      <c r="E2255" s="34">
        <v>376.77100000000002</v>
      </c>
      <c r="F2255" s="36">
        <v>6.8999999999959996E-2</v>
      </c>
      <c r="G2255" s="34">
        <v>6.8999999999959996E-2</v>
      </c>
      <c r="H2255" s="35">
        <v>87.5</v>
      </c>
      <c r="I2255" s="37">
        <f t="shared" si="35"/>
        <v>2.7249908128881167E-3</v>
      </c>
      <c r="J2255" s="33"/>
    </row>
    <row r="2256" spans="1:10">
      <c r="A2256" s="33" t="s">
        <v>36</v>
      </c>
      <c r="B2256" s="34">
        <v>376.84</v>
      </c>
      <c r="C2256" s="35">
        <v>32110.2</v>
      </c>
      <c r="D2256" s="33" t="s">
        <v>270</v>
      </c>
      <c r="E2256" s="34">
        <v>376.77699999999999</v>
      </c>
      <c r="F2256" s="36">
        <v>6.2999999999988204E-2</v>
      </c>
      <c r="G2256" s="34">
        <v>6.2999999999988204E-2</v>
      </c>
      <c r="H2256" s="35">
        <v>2298.9</v>
      </c>
      <c r="I2256" s="37">
        <f t="shared" si="35"/>
        <v>7.159407291141133E-2</v>
      </c>
      <c r="J2256" s="33"/>
    </row>
    <row r="2257" spans="1:10">
      <c r="A2257" s="33" t="s">
        <v>36</v>
      </c>
      <c r="B2257" s="34">
        <v>376.84</v>
      </c>
      <c r="C2257" s="35">
        <v>32110.2</v>
      </c>
      <c r="D2257" s="33" t="s">
        <v>274</v>
      </c>
      <c r="E2257" s="34">
        <v>376.78399999999999</v>
      </c>
      <c r="F2257" s="36">
        <v>5.5999999999983202E-2</v>
      </c>
      <c r="G2257" s="34">
        <v>5.5999999999983202E-2</v>
      </c>
      <c r="H2257" s="35">
        <v>5.3</v>
      </c>
      <c r="I2257" s="37">
        <f t="shared" si="35"/>
        <v>1.6505658638065162E-4</v>
      </c>
      <c r="J2257" s="33"/>
    </row>
    <row r="2258" spans="1:10">
      <c r="A2258" s="33" t="s">
        <v>36</v>
      </c>
      <c r="B2258" s="34">
        <v>376.84</v>
      </c>
      <c r="C2258" s="35">
        <v>32110.2</v>
      </c>
      <c r="D2258" s="33" t="s">
        <v>271</v>
      </c>
      <c r="E2258" s="34">
        <v>376.79</v>
      </c>
      <c r="F2258" s="36">
        <v>4.9999999999954498E-2</v>
      </c>
      <c r="G2258" s="34">
        <v>4.9999999999954498E-2</v>
      </c>
      <c r="H2258" s="35">
        <v>1020.5</v>
      </c>
      <c r="I2258" s="37">
        <f t="shared" si="35"/>
        <v>3.1781178566312261E-2</v>
      </c>
      <c r="J2258" s="33"/>
    </row>
    <row r="2259" spans="1:10">
      <c r="A2259" s="33" t="s">
        <v>36</v>
      </c>
      <c r="B2259" s="34">
        <v>376.84</v>
      </c>
      <c r="C2259" s="35">
        <v>32110.2</v>
      </c>
      <c r="D2259" s="33" t="s">
        <v>236</v>
      </c>
      <c r="E2259" s="34">
        <v>376.79199999999997</v>
      </c>
      <c r="F2259" s="36">
        <v>4.8000000000001798E-2</v>
      </c>
      <c r="G2259" s="34">
        <v>4.8000000000001798E-2</v>
      </c>
      <c r="H2259" s="35">
        <v>374.6</v>
      </c>
      <c r="I2259" s="37">
        <f t="shared" si="35"/>
        <v>1.1666074954375868E-2</v>
      </c>
      <c r="J2259" s="33"/>
    </row>
    <row r="2260" spans="1:10">
      <c r="A2260" s="33" t="s">
        <v>36</v>
      </c>
      <c r="B2260" s="34">
        <v>376.84</v>
      </c>
      <c r="C2260" s="35">
        <v>32110.2</v>
      </c>
      <c r="D2260" s="33" t="s">
        <v>25</v>
      </c>
      <c r="E2260" s="34">
        <v>376.8</v>
      </c>
      <c r="F2260" s="36">
        <v>3.9999999999963599E-2</v>
      </c>
      <c r="G2260" s="34">
        <v>3.9999999999963599E-2</v>
      </c>
      <c r="H2260" s="35">
        <v>270</v>
      </c>
      <c r="I2260" s="37">
        <f t="shared" si="35"/>
        <v>8.4085430797690448E-3</v>
      </c>
      <c r="J2260" s="33" t="s">
        <v>116</v>
      </c>
    </row>
    <row r="2261" spans="1:10">
      <c r="A2261" s="33" t="s">
        <v>36</v>
      </c>
      <c r="B2261" s="34">
        <v>376.84</v>
      </c>
      <c r="C2261" s="35">
        <v>32110.2</v>
      </c>
      <c r="D2261" s="33" t="s">
        <v>284</v>
      </c>
      <c r="E2261" s="34">
        <v>376.81400000000002</v>
      </c>
      <c r="F2261" s="36">
        <v>2.5999999999953598E-2</v>
      </c>
      <c r="G2261" s="34">
        <v>2.5999999999953598E-2</v>
      </c>
      <c r="H2261" s="35">
        <v>0.7</v>
      </c>
      <c r="I2261" s="37">
        <f t="shared" si="35"/>
        <v>2.1799926503104932E-5</v>
      </c>
      <c r="J2261" s="33"/>
    </row>
    <row r="2262" spans="1:10">
      <c r="A2262" s="33" t="s">
        <v>36</v>
      </c>
      <c r="B2262" s="34">
        <v>376.84</v>
      </c>
      <c r="C2262" s="35">
        <v>32110.2</v>
      </c>
      <c r="D2262" s="33" t="s">
        <v>240</v>
      </c>
      <c r="E2262" s="34">
        <v>376.81799999999998</v>
      </c>
      <c r="F2262" s="36">
        <v>2.1999999999991401E-2</v>
      </c>
      <c r="G2262" s="34">
        <v>2.1999999999991401E-2</v>
      </c>
      <c r="H2262" s="35">
        <v>3</v>
      </c>
      <c r="I2262" s="37">
        <f t="shared" si="35"/>
        <v>9.3428256441878285E-5</v>
      </c>
      <c r="J2262" s="33"/>
    </row>
    <row r="2263" spans="1:10">
      <c r="A2263" s="33" t="s">
        <v>36</v>
      </c>
      <c r="B2263" s="34">
        <v>376.84</v>
      </c>
      <c r="C2263" s="35">
        <v>32110.2</v>
      </c>
      <c r="D2263" s="33" t="s">
        <v>239</v>
      </c>
      <c r="E2263" s="34">
        <v>376.82400000000001</v>
      </c>
      <c r="F2263" s="36">
        <v>1.59999999999627E-2</v>
      </c>
      <c r="G2263" s="34">
        <v>1.59999999999627E-2</v>
      </c>
      <c r="H2263" s="35">
        <v>75.2</v>
      </c>
      <c r="I2263" s="37">
        <f t="shared" si="35"/>
        <v>2.3419349614764158E-3</v>
      </c>
      <c r="J2263" s="33"/>
    </row>
    <row r="2264" spans="1:10">
      <c r="A2264" s="33" t="s">
        <v>36</v>
      </c>
      <c r="B2264" s="34">
        <v>376.84</v>
      </c>
      <c r="C2264" s="35">
        <v>32110.2</v>
      </c>
      <c r="D2264" s="33" t="s">
        <v>269</v>
      </c>
      <c r="E2264" s="34">
        <v>376.82499999999999</v>
      </c>
      <c r="F2264" s="36">
        <v>1.4999999999986399E-2</v>
      </c>
      <c r="G2264" s="34">
        <v>1.4999999999986399E-2</v>
      </c>
      <c r="H2264" s="35">
        <v>32.9</v>
      </c>
      <c r="I2264" s="37">
        <f t="shared" si="35"/>
        <v>1.0245965456459317E-3</v>
      </c>
      <c r="J2264" s="33"/>
    </row>
    <row r="2265" spans="1:10">
      <c r="A2265" s="33" t="s">
        <v>36</v>
      </c>
      <c r="B2265" s="34">
        <v>376.84</v>
      </c>
      <c r="C2265" s="35">
        <v>32110.2</v>
      </c>
      <c r="D2265" s="33" t="s">
        <v>279</v>
      </c>
      <c r="E2265" s="34">
        <v>376.82600000000002</v>
      </c>
      <c r="F2265" s="36">
        <v>1.3999999999953199E-2</v>
      </c>
      <c r="G2265" s="34">
        <v>1.3999999999953199E-2</v>
      </c>
      <c r="H2265" s="35">
        <v>1.5</v>
      </c>
      <c r="I2265" s="37">
        <f t="shared" si="35"/>
        <v>4.6714128220939143E-5</v>
      </c>
      <c r="J2265" s="33"/>
    </row>
    <row r="2266" spans="1:10">
      <c r="A2266" s="33" t="s">
        <v>36</v>
      </c>
      <c r="B2266" s="34">
        <v>376.84</v>
      </c>
      <c r="C2266" s="35">
        <v>32110.2</v>
      </c>
      <c r="D2266" s="33" t="s">
        <v>280</v>
      </c>
      <c r="E2266" s="34">
        <v>376.83699999999999</v>
      </c>
      <c r="F2266" s="36">
        <v>2.9999999999858998E-3</v>
      </c>
      <c r="G2266" s="34">
        <v>2.9999999999858998E-3</v>
      </c>
      <c r="H2266" s="35">
        <v>16.7</v>
      </c>
      <c r="I2266" s="37">
        <f t="shared" si="35"/>
        <v>5.2008396085978905E-4</v>
      </c>
      <c r="J2266" s="33"/>
    </row>
    <row r="2267" spans="1:10">
      <c r="A2267" s="33" t="s">
        <v>36</v>
      </c>
      <c r="B2267" s="34">
        <v>376.84</v>
      </c>
      <c r="C2267" s="35">
        <v>32110.2</v>
      </c>
      <c r="D2267" s="33" t="s">
        <v>271</v>
      </c>
      <c r="E2267" s="34">
        <v>376.84399999999999</v>
      </c>
      <c r="F2267" s="36">
        <v>4.0000000000191003E-3</v>
      </c>
      <c r="G2267" s="34">
        <v>4.0000000000191003E-3</v>
      </c>
      <c r="H2267" s="35">
        <v>248.9</v>
      </c>
      <c r="I2267" s="37">
        <f t="shared" si="35"/>
        <v>7.7514310094611684E-3</v>
      </c>
      <c r="J2267" s="33"/>
    </row>
    <row r="2268" spans="1:10">
      <c r="A2268" s="33" t="s">
        <v>36</v>
      </c>
      <c r="B2268" s="34">
        <v>376.84</v>
      </c>
      <c r="C2268" s="35">
        <v>32110.2</v>
      </c>
      <c r="D2268" s="33" t="s">
        <v>274</v>
      </c>
      <c r="E2268" s="34">
        <v>376.84399999999999</v>
      </c>
      <c r="F2268" s="36">
        <v>4.0000000000191003E-3</v>
      </c>
      <c r="G2268" s="34">
        <v>4.0000000000191003E-3</v>
      </c>
      <c r="H2268" s="35">
        <v>109.7</v>
      </c>
      <c r="I2268" s="37">
        <f t="shared" si="35"/>
        <v>3.416359910558016E-3</v>
      </c>
      <c r="J2268" s="33"/>
    </row>
    <row r="2269" spans="1:10">
      <c r="A2269" s="33" t="s">
        <v>36</v>
      </c>
      <c r="B2269" s="34">
        <v>376.84</v>
      </c>
      <c r="C2269" s="35">
        <v>32110.2</v>
      </c>
      <c r="D2269" s="33" t="s">
        <v>290</v>
      </c>
      <c r="E2269" s="34">
        <v>376.86700000000002</v>
      </c>
      <c r="F2269" s="36">
        <v>2.7000000000043701E-2</v>
      </c>
      <c r="G2269" s="34">
        <v>2.7000000000043701E-2</v>
      </c>
      <c r="H2269" s="35">
        <v>8.6</v>
      </c>
      <c r="I2269" s="37">
        <f t="shared" si="35"/>
        <v>2.6782766846671774E-4</v>
      </c>
      <c r="J2269" s="33"/>
    </row>
    <row r="2270" spans="1:10">
      <c r="A2270" s="33" t="s">
        <v>36</v>
      </c>
      <c r="B2270" s="34">
        <v>376.84</v>
      </c>
      <c r="C2270" s="35">
        <v>32110.2</v>
      </c>
      <c r="D2270" s="33" t="s">
        <v>239</v>
      </c>
      <c r="E2270" s="34">
        <v>376.87400000000002</v>
      </c>
      <c r="F2270" s="36">
        <v>3.40000000000487E-2</v>
      </c>
      <c r="G2270" s="34">
        <v>3.40000000000487E-2</v>
      </c>
      <c r="H2270" s="35">
        <v>17</v>
      </c>
      <c r="I2270" s="37">
        <f t="shared" si="35"/>
        <v>5.2942678650397691E-4</v>
      </c>
      <c r="J2270" s="33"/>
    </row>
    <row r="2271" spans="1:10">
      <c r="A2271" s="33" t="s">
        <v>36</v>
      </c>
      <c r="B2271" s="34">
        <v>376.84</v>
      </c>
      <c r="C2271" s="35">
        <v>32110.2</v>
      </c>
      <c r="D2271" s="33" t="s">
        <v>25</v>
      </c>
      <c r="E2271" s="34">
        <v>376.87700000000001</v>
      </c>
      <c r="F2271" s="36">
        <v>3.7000000000034602E-2</v>
      </c>
      <c r="G2271" s="34">
        <v>3.7000000000034602E-2</v>
      </c>
      <c r="H2271" s="35">
        <v>1121.5</v>
      </c>
      <c r="I2271" s="37">
        <f t="shared" si="35"/>
        <v>3.4926596533188831E-2</v>
      </c>
      <c r="J2271" s="33" t="s">
        <v>116</v>
      </c>
    </row>
    <row r="2272" spans="1:10">
      <c r="A2272" s="33" t="s">
        <v>36</v>
      </c>
      <c r="B2272" s="34">
        <v>376.84</v>
      </c>
      <c r="C2272" s="35">
        <v>32110.2</v>
      </c>
      <c r="D2272" s="33" t="s">
        <v>84</v>
      </c>
      <c r="E2272" s="34">
        <v>376.87900000000002</v>
      </c>
      <c r="F2272" s="36">
        <v>3.9000000000044097E-2</v>
      </c>
      <c r="G2272" s="34">
        <v>3.9000000000044097E-2</v>
      </c>
      <c r="H2272" s="35">
        <v>499.1</v>
      </c>
      <c r="I2272" s="37">
        <f t="shared" si="35"/>
        <v>1.5543347596713818E-2</v>
      </c>
      <c r="J2272" s="33" t="s">
        <v>116</v>
      </c>
    </row>
    <row r="2273" spans="1:10">
      <c r="A2273" s="33" t="s">
        <v>36</v>
      </c>
      <c r="B2273" s="34">
        <v>376.84</v>
      </c>
      <c r="C2273" s="35">
        <v>32110.2</v>
      </c>
      <c r="D2273" s="33" t="s">
        <v>277</v>
      </c>
      <c r="E2273" s="34">
        <v>376.88</v>
      </c>
      <c r="F2273" s="36">
        <v>4.0000000000020498E-2</v>
      </c>
      <c r="G2273" s="34">
        <v>4.0000000000020498E-2</v>
      </c>
      <c r="H2273" s="35">
        <v>189.7</v>
      </c>
      <c r="I2273" s="37">
        <f t="shared" si="35"/>
        <v>5.9077800823414362E-3</v>
      </c>
      <c r="J2273" s="33"/>
    </row>
    <row r="2274" spans="1:10">
      <c r="A2274" s="33" t="s">
        <v>36</v>
      </c>
      <c r="B2274" s="34">
        <v>376.84</v>
      </c>
      <c r="C2274" s="35">
        <v>32110.2</v>
      </c>
      <c r="D2274" s="33" t="s">
        <v>173</v>
      </c>
      <c r="E2274" s="34">
        <v>376.89400000000001</v>
      </c>
      <c r="F2274" s="36">
        <v>5.4000000000030503E-2</v>
      </c>
      <c r="G2274" s="34">
        <v>5.4000000000030503E-2</v>
      </c>
      <c r="H2274" s="35">
        <v>1393.2</v>
      </c>
      <c r="I2274" s="37">
        <f t="shared" si="35"/>
        <v>4.3388082291608274E-2</v>
      </c>
      <c r="J2274" s="33"/>
    </row>
    <row r="2275" spans="1:10">
      <c r="A2275" s="33" t="s">
        <v>36</v>
      </c>
      <c r="B2275" s="34">
        <v>376.84</v>
      </c>
      <c r="C2275" s="35">
        <v>32110.2</v>
      </c>
      <c r="D2275" s="33" t="s">
        <v>25</v>
      </c>
      <c r="E2275" s="34">
        <v>376.90499999999997</v>
      </c>
      <c r="F2275" s="36">
        <v>6.4999999999997699E-2</v>
      </c>
      <c r="G2275" s="34">
        <v>6.4999999999997699E-2</v>
      </c>
      <c r="H2275" s="35">
        <v>566</v>
      </c>
      <c r="I2275" s="37">
        <f t="shared" si="35"/>
        <v>1.7626797715367702E-2</v>
      </c>
      <c r="J2275" s="33" t="s">
        <v>116</v>
      </c>
    </row>
    <row r="2276" spans="1:10">
      <c r="A2276" s="33" t="s">
        <v>36</v>
      </c>
      <c r="B2276" s="34">
        <v>376.84</v>
      </c>
      <c r="C2276" s="35">
        <v>32110.2</v>
      </c>
      <c r="D2276" s="33" t="s">
        <v>94</v>
      </c>
      <c r="E2276" s="34">
        <v>376.90899999999999</v>
      </c>
      <c r="F2276" s="36">
        <v>6.9000000000016798E-2</v>
      </c>
      <c r="G2276" s="34">
        <v>6.9000000000016798E-2</v>
      </c>
      <c r="H2276" s="35">
        <v>90</v>
      </c>
      <c r="I2276" s="37">
        <f t="shared" si="35"/>
        <v>2.8028476932563484E-3</v>
      </c>
      <c r="J2276" s="33" t="s">
        <v>116</v>
      </c>
    </row>
    <row r="2277" spans="1:10">
      <c r="A2277" s="33" t="s">
        <v>36</v>
      </c>
      <c r="B2277" s="34">
        <v>376.84</v>
      </c>
      <c r="C2277" s="35">
        <v>32110.2</v>
      </c>
      <c r="D2277" s="33" t="s">
        <v>273</v>
      </c>
      <c r="E2277" s="34">
        <v>376.91500000000002</v>
      </c>
      <c r="F2277" s="36">
        <v>7.5000000000045502E-2</v>
      </c>
      <c r="G2277" s="34">
        <v>7.5000000000045502E-2</v>
      </c>
      <c r="H2277" s="35">
        <v>36.700000000000003</v>
      </c>
      <c r="I2277" s="37">
        <f t="shared" si="35"/>
        <v>1.1429390038056443E-3</v>
      </c>
      <c r="J2277" s="33"/>
    </row>
    <row r="2278" spans="1:10">
      <c r="A2278" s="33" t="s">
        <v>36</v>
      </c>
      <c r="B2278" s="34">
        <v>376.84</v>
      </c>
      <c r="C2278" s="35">
        <v>32110.2</v>
      </c>
      <c r="D2278" s="33" t="s">
        <v>274</v>
      </c>
      <c r="E2278" s="34">
        <v>376.92099999999999</v>
      </c>
      <c r="F2278" s="36">
        <v>8.1000000000017294E-2</v>
      </c>
      <c r="G2278" s="34">
        <v>8.1000000000017294E-2</v>
      </c>
      <c r="H2278" s="35">
        <v>10.3</v>
      </c>
      <c r="I2278" s="37">
        <f t="shared" si="35"/>
        <v>3.2077034711711544E-4</v>
      </c>
      <c r="J2278" s="33"/>
    </row>
    <row r="2279" spans="1:10">
      <c r="A2279" s="33" t="s">
        <v>36</v>
      </c>
      <c r="B2279" s="34">
        <v>376.84</v>
      </c>
      <c r="C2279" s="35">
        <v>32110.2</v>
      </c>
      <c r="D2279" s="33" t="s">
        <v>36</v>
      </c>
      <c r="E2279" s="34">
        <v>376.94499999999999</v>
      </c>
      <c r="F2279" s="36">
        <v>0.105000000000018</v>
      </c>
      <c r="G2279" s="34">
        <v>0.105000000000018</v>
      </c>
      <c r="H2279" s="35">
        <v>2623.6</v>
      </c>
      <c r="I2279" s="37">
        <f t="shared" si="35"/>
        <v>8.1706124533637278E-2</v>
      </c>
      <c r="J2279" s="33" t="s">
        <v>116</v>
      </c>
    </row>
    <row r="2280" spans="1:10">
      <c r="A2280" s="33" t="s">
        <v>36</v>
      </c>
      <c r="B2280" s="34">
        <v>376.84</v>
      </c>
      <c r="C2280" s="35">
        <v>32110.2</v>
      </c>
      <c r="D2280" s="33" t="s">
        <v>165</v>
      </c>
      <c r="E2280" s="34">
        <v>376.94600000000003</v>
      </c>
      <c r="F2280" s="36">
        <v>0.106000000000051</v>
      </c>
      <c r="G2280" s="34">
        <v>0.106000000000051</v>
      </c>
      <c r="H2280" s="35">
        <v>49.7</v>
      </c>
      <c r="I2280" s="37">
        <f t="shared" si="35"/>
        <v>1.5477947817204502E-3</v>
      </c>
      <c r="J2280" s="33"/>
    </row>
    <row r="2281" spans="1:10">
      <c r="A2281" s="33" t="s">
        <v>36</v>
      </c>
      <c r="B2281" s="34">
        <v>376.84</v>
      </c>
      <c r="C2281" s="35">
        <v>32110.2</v>
      </c>
      <c r="D2281" s="33" t="s">
        <v>277</v>
      </c>
      <c r="E2281" s="34">
        <v>376.95400000000001</v>
      </c>
      <c r="F2281" s="36">
        <v>0.11400000000003301</v>
      </c>
      <c r="G2281" s="34">
        <v>0.11400000000003301</v>
      </c>
      <c r="H2281" s="35">
        <v>311.3</v>
      </c>
      <c r="I2281" s="37">
        <f t="shared" si="35"/>
        <v>9.6947387434522369E-3</v>
      </c>
      <c r="J2281" s="33"/>
    </row>
    <row r="2282" spans="1:10">
      <c r="A2282" s="33" t="s">
        <v>36</v>
      </c>
      <c r="B2282" s="34">
        <v>376.84</v>
      </c>
      <c r="C2282" s="35">
        <v>32110.2</v>
      </c>
      <c r="D2282" s="33" t="s">
        <v>27</v>
      </c>
      <c r="E2282" s="34">
        <v>376.96300000000002</v>
      </c>
      <c r="F2282" s="36">
        <v>0.123000000000047</v>
      </c>
      <c r="G2282" s="34">
        <v>0.123000000000047</v>
      </c>
      <c r="H2282" s="35">
        <v>1797.2</v>
      </c>
      <c r="I2282" s="37">
        <f t="shared" si="35"/>
        <v>5.5969754159114551E-2</v>
      </c>
      <c r="J2282" s="33" t="s">
        <v>116</v>
      </c>
    </row>
    <row r="2283" spans="1:10">
      <c r="A2283" s="33" t="s">
        <v>36</v>
      </c>
      <c r="B2283" s="34">
        <v>376.84</v>
      </c>
      <c r="C2283" s="35">
        <v>32110.2</v>
      </c>
      <c r="D2283" s="33" t="s">
        <v>173</v>
      </c>
      <c r="E2283" s="34">
        <v>376.96699999999998</v>
      </c>
      <c r="F2283" s="36">
        <v>0.12700000000000999</v>
      </c>
      <c r="G2283" s="34">
        <v>0.12700000000000999</v>
      </c>
      <c r="H2283" s="35">
        <v>537.5</v>
      </c>
      <c r="I2283" s="37">
        <f t="shared" si="35"/>
        <v>1.6739229279169859E-2</v>
      </c>
      <c r="J2283" s="33"/>
    </row>
    <row r="2284" spans="1:10">
      <c r="A2284" s="33" t="s">
        <v>36</v>
      </c>
      <c r="B2284" s="34">
        <v>376.84</v>
      </c>
      <c r="C2284" s="35">
        <v>32110.2</v>
      </c>
      <c r="D2284" s="33" t="s">
        <v>274</v>
      </c>
      <c r="E2284" s="34">
        <v>376.98700000000002</v>
      </c>
      <c r="F2284" s="36">
        <v>0.14700000000004801</v>
      </c>
      <c r="G2284" s="34">
        <v>0.14700000000004801</v>
      </c>
      <c r="H2284" s="35">
        <v>8.1</v>
      </c>
      <c r="I2284" s="37">
        <f t="shared" si="35"/>
        <v>2.5225629239307136E-4</v>
      </c>
      <c r="J2284" s="33"/>
    </row>
    <row r="2285" spans="1:10">
      <c r="A2285" s="33" t="s">
        <v>36</v>
      </c>
      <c r="B2285" s="34">
        <v>376.84</v>
      </c>
      <c r="C2285" s="35">
        <v>32110.2</v>
      </c>
      <c r="D2285" s="33" t="s">
        <v>25</v>
      </c>
      <c r="E2285" s="34">
        <v>376.99400000000003</v>
      </c>
      <c r="F2285" s="36">
        <v>0.15400000000005301</v>
      </c>
      <c r="G2285" s="34">
        <v>0.15400000000005301</v>
      </c>
      <c r="H2285" s="35">
        <v>584.4</v>
      </c>
      <c r="I2285" s="37">
        <f t="shared" si="35"/>
        <v>1.8199824354877887E-2</v>
      </c>
      <c r="J2285" s="33" t="s">
        <v>116</v>
      </c>
    </row>
    <row r="2286" spans="1:10">
      <c r="A2286" s="33" t="s">
        <v>36</v>
      </c>
      <c r="B2286" s="34">
        <v>376.84</v>
      </c>
      <c r="C2286" s="35">
        <v>32110.2</v>
      </c>
      <c r="D2286" s="33" t="s">
        <v>273</v>
      </c>
      <c r="E2286" s="34">
        <v>376.99700000000001</v>
      </c>
      <c r="F2286" s="36">
        <v>0.157000000000039</v>
      </c>
      <c r="G2286" s="34">
        <v>0.157000000000039</v>
      </c>
      <c r="H2286" s="35">
        <v>20.8</v>
      </c>
      <c r="I2286" s="37">
        <f t="shared" si="35"/>
        <v>6.4776924466368945E-4</v>
      </c>
      <c r="J2286" s="33"/>
    </row>
    <row r="2287" spans="1:10">
      <c r="A2287" s="33" t="s">
        <v>36</v>
      </c>
      <c r="B2287" s="34">
        <v>379.63799999999998</v>
      </c>
      <c r="C2287" s="35">
        <v>28672.7</v>
      </c>
      <c r="D2287" s="33" t="s">
        <v>268</v>
      </c>
      <c r="E2287" s="34">
        <v>379.49700000000001</v>
      </c>
      <c r="F2287" s="36">
        <v>0.14099999999996299</v>
      </c>
      <c r="G2287" s="34">
        <v>0.14099999999996299</v>
      </c>
      <c r="H2287" s="35">
        <v>49.3</v>
      </c>
      <c r="I2287" s="37">
        <f t="shared" si="35"/>
        <v>1.7194055669678822E-3</v>
      </c>
      <c r="J2287" s="33"/>
    </row>
    <row r="2288" spans="1:10">
      <c r="A2288" s="33" t="s">
        <v>36</v>
      </c>
      <c r="B2288" s="34">
        <v>379.63799999999998</v>
      </c>
      <c r="C2288" s="35">
        <v>28672.7</v>
      </c>
      <c r="D2288" s="33" t="s">
        <v>97</v>
      </c>
      <c r="E2288" s="34">
        <v>379.5</v>
      </c>
      <c r="F2288" s="36">
        <v>0.137999999999977</v>
      </c>
      <c r="G2288" s="34">
        <v>0.137999999999977</v>
      </c>
      <c r="H2288" s="35">
        <v>314.89999999999998</v>
      </c>
      <c r="I2288" s="37">
        <f t="shared" si="35"/>
        <v>1.098257227257984E-2</v>
      </c>
      <c r="J2288" s="33"/>
    </row>
    <row r="2289" spans="1:10">
      <c r="A2289" s="33" t="s">
        <v>36</v>
      </c>
      <c r="B2289" s="34">
        <v>379.63799999999998</v>
      </c>
      <c r="C2289" s="35">
        <v>28672.7</v>
      </c>
      <c r="D2289" s="33" t="s">
        <v>289</v>
      </c>
      <c r="E2289" s="34">
        <v>379.50599999999997</v>
      </c>
      <c r="F2289" s="36">
        <v>0.132000000000005</v>
      </c>
      <c r="G2289" s="34">
        <v>0.132000000000005</v>
      </c>
      <c r="H2289" s="35">
        <v>10.7</v>
      </c>
      <c r="I2289" s="37">
        <f t="shared" si="35"/>
        <v>3.7317727315530099E-4</v>
      </c>
      <c r="J2289" s="33"/>
    </row>
    <row r="2290" spans="1:10">
      <c r="A2290" s="33" t="s">
        <v>36</v>
      </c>
      <c r="B2290" s="34">
        <v>379.63799999999998</v>
      </c>
      <c r="C2290" s="35">
        <v>28672.7</v>
      </c>
      <c r="D2290" s="33" t="s">
        <v>277</v>
      </c>
      <c r="E2290" s="34">
        <v>379.51100000000002</v>
      </c>
      <c r="F2290" s="36">
        <v>0.12699999999995301</v>
      </c>
      <c r="G2290" s="34">
        <v>0.12699999999995301</v>
      </c>
      <c r="H2290" s="35">
        <v>230.8</v>
      </c>
      <c r="I2290" s="37">
        <f t="shared" si="35"/>
        <v>8.0494686583405129E-3</v>
      </c>
      <c r="J2290" s="33"/>
    </row>
    <row r="2291" spans="1:10">
      <c r="A2291" s="33" t="s">
        <v>36</v>
      </c>
      <c r="B2291" s="34">
        <v>379.63799999999998</v>
      </c>
      <c r="C2291" s="35">
        <v>28672.7</v>
      </c>
      <c r="D2291" s="33" t="s">
        <v>109</v>
      </c>
      <c r="E2291" s="34">
        <v>379.517</v>
      </c>
      <c r="F2291" s="36">
        <v>0.120999999999981</v>
      </c>
      <c r="G2291" s="34">
        <v>0.120999999999981</v>
      </c>
      <c r="H2291" s="35">
        <v>3125.2</v>
      </c>
      <c r="I2291" s="37">
        <f t="shared" si="35"/>
        <v>0.10899566486588287</v>
      </c>
      <c r="J2291" s="33" t="s">
        <v>116</v>
      </c>
    </row>
    <row r="2292" spans="1:10">
      <c r="A2292" s="33" t="s">
        <v>36</v>
      </c>
      <c r="B2292" s="34">
        <v>379.63799999999998</v>
      </c>
      <c r="C2292" s="35">
        <v>28672.7</v>
      </c>
      <c r="D2292" s="33" t="s">
        <v>268</v>
      </c>
      <c r="E2292" s="34">
        <v>379.51799999999997</v>
      </c>
      <c r="F2292" s="36">
        <v>0.12000000000000501</v>
      </c>
      <c r="G2292" s="34">
        <v>0.12000000000000501</v>
      </c>
      <c r="H2292" s="35">
        <v>22.6</v>
      </c>
      <c r="I2292" s="37">
        <f t="shared" si="35"/>
        <v>7.8820620311306582E-4</v>
      </c>
      <c r="J2292" s="33"/>
    </row>
    <row r="2293" spans="1:10">
      <c r="A2293" s="33" t="s">
        <v>36</v>
      </c>
      <c r="B2293" s="34">
        <v>379.63799999999998</v>
      </c>
      <c r="C2293" s="35">
        <v>28672.7</v>
      </c>
      <c r="D2293" s="33" t="s">
        <v>25</v>
      </c>
      <c r="E2293" s="34">
        <v>379.52499999999998</v>
      </c>
      <c r="F2293" s="36">
        <v>0.113</v>
      </c>
      <c r="G2293" s="34">
        <v>0.113</v>
      </c>
      <c r="H2293" s="35">
        <v>782</v>
      </c>
      <c r="I2293" s="37">
        <f t="shared" si="35"/>
        <v>2.7273329682938822E-2</v>
      </c>
      <c r="J2293" s="33" t="s">
        <v>116</v>
      </c>
    </row>
    <row r="2294" spans="1:10">
      <c r="A2294" s="33" t="s">
        <v>36</v>
      </c>
      <c r="B2294" s="34">
        <v>379.63799999999998</v>
      </c>
      <c r="C2294" s="35">
        <v>28672.7</v>
      </c>
      <c r="D2294" s="33" t="s">
        <v>271</v>
      </c>
      <c r="E2294" s="34">
        <v>379.53899999999999</v>
      </c>
      <c r="F2294" s="36">
        <v>9.8999999999989499E-2</v>
      </c>
      <c r="G2294" s="34">
        <v>9.8999999999989499E-2</v>
      </c>
      <c r="H2294" s="35">
        <v>166.6</v>
      </c>
      <c r="I2294" s="37">
        <f t="shared" si="35"/>
        <v>5.8104050194087058E-3</v>
      </c>
      <c r="J2294" s="33"/>
    </row>
    <row r="2295" spans="1:10">
      <c r="A2295" s="33" t="s">
        <v>36</v>
      </c>
      <c r="B2295" s="34">
        <v>379.63799999999998</v>
      </c>
      <c r="C2295" s="35">
        <v>28672.7</v>
      </c>
      <c r="D2295" s="33" t="s">
        <v>27</v>
      </c>
      <c r="E2295" s="34">
        <v>379.54500000000002</v>
      </c>
      <c r="F2295" s="36">
        <v>9.2999999999960906E-2</v>
      </c>
      <c r="G2295" s="34">
        <v>9.2999999999960906E-2</v>
      </c>
      <c r="H2295" s="35">
        <v>1939.8</v>
      </c>
      <c r="I2295" s="37">
        <f t="shared" si="35"/>
        <v>6.7653203221182512E-2</v>
      </c>
      <c r="J2295" s="33" t="s">
        <v>116</v>
      </c>
    </row>
    <row r="2296" spans="1:10">
      <c r="A2296" s="33" t="s">
        <v>36</v>
      </c>
      <c r="B2296" s="34">
        <v>379.63799999999998</v>
      </c>
      <c r="C2296" s="35">
        <v>28672.7</v>
      </c>
      <c r="D2296" s="33" t="s">
        <v>277</v>
      </c>
      <c r="E2296" s="34">
        <v>379.56099999999998</v>
      </c>
      <c r="F2296" s="36">
        <v>7.6999999999998195E-2</v>
      </c>
      <c r="G2296" s="34">
        <v>7.6999999999998195E-2</v>
      </c>
      <c r="H2296" s="35">
        <v>132.5</v>
      </c>
      <c r="I2296" s="37">
        <f t="shared" si="35"/>
        <v>4.6211204386053632E-3</v>
      </c>
      <c r="J2296" s="33"/>
    </row>
    <row r="2297" spans="1:10">
      <c r="A2297" s="33" t="s">
        <v>36</v>
      </c>
      <c r="B2297" s="34">
        <v>379.63799999999998</v>
      </c>
      <c r="C2297" s="35">
        <v>28672.7</v>
      </c>
      <c r="D2297" s="33" t="s">
        <v>284</v>
      </c>
      <c r="E2297" s="34">
        <v>379.56799999999998</v>
      </c>
      <c r="F2297" s="36">
        <v>6.9999999999993207E-2</v>
      </c>
      <c r="G2297" s="34">
        <v>6.9999999999993207E-2</v>
      </c>
      <c r="H2297" s="35">
        <v>0.6</v>
      </c>
      <c r="I2297" s="37">
        <f t="shared" si="35"/>
        <v>2.0925828401231832E-5</v>
      </c>
      <c r="J2297" s="33"/>
    </row>
    <row r="2298" spans="1:10">
      <c r="A2298" s="33" t="s">
        <v>36</v>
      </c>
      <c r="B2298" s="34">
        <v>379.63799999999998</v>
      </c>
      <c r="C2298" s="35">
        <v>28672.7</v>
      </c>
      <c r="D2298" s="33" t="s">
        <v>271</v>
      </c>
      <c r="E2298" s="34">
        <v>379.56799999999998</v>
      </c>
      <c r="F2298" s="36">
        <v>6.9999999999993207E-2</v>
      </c>
      <c r="G2298" s="34">
        <v>6.9999999999993207E-2</v>
      </c>
      <c r="H2298" s="35">
        <v>41.7</v>
      </c>
      <c r="I2298" s="37">
        <f t="shared" si="35"/>
        <v>1.4543450738856126E-3</v>
      </c>
      <c r="J2298" s="33"/>
    </row>
    <row r="2299" spans="1:10">
      <c r="A2299" s="33" t="s">
        <v>36</v>
      </c>
      <c r="B2299" s="34">
        <v>379.63799999999998</v>
      </c>
      <c r="C2299" s="35">
        <v>28672.7</v>
      </c>
      <c r="D2299" s="33" t="s">
        <v>109</v>
      </c>
      <c r="E2299" s="34">
        <v>379.57600000000002</v>
      </c>
      <c r="F2299" s="36">
        <v>6.1999999999955001E-2</v>
      </c>
      <c r="G2299" s="34">
        <v>6.1999999999955001E-2</v>
      </c>
      <c r="H2299" s="35">
        <v>71175.899999999994</v>
      </c>
      <c r="I2299" s="37">
        <f t="shared" si="35"/>
        <v>2.482357782838728</v>
      </c>
      <c r="J2299" s="33" t="s">
        <v>116</v>
      </c>
    </row>
    <row r="2300" spans="1:10">
      <c r="A2300" s="33" t="s">
        <v>36</v>
      </c>
      <c r="B2300" s="34">
        <v>379.63799999999998</v>
      </c>
      <c r="C2300" s="35">
        <v>28672.7</v>
      </c>
      <c r="D2300" s="33" t="s">
        <v>54</v>
      </c>
      <c r="E2300" s="34">
        <v>379.58499999999998</v>
      </c>
      <c r="F2300" s="36">
        <v>5.2999999999997299E-2</v>
      </c>
      <c r="G2300" s="34">
        <v>5.2999999999997299E-2</v>
      </c>
      <c r="H2300" s="35">
        <v>2.6</v>
      </c>
      <c r="I2300" s="37">
        <f t="shared" si="35"/>
        <v>9.0678589738671283E-5</v>
      </c>
      <c r="J2300" s="33"/>
    </row>
    <row r="2301" spans="1:10">
      <c r="A2301" s="33" t="s">
        <v>36</v>
      </c>
      <c r="B2301" s="34">
        <v>379.63799999999998</v>
      </c>
      <c r="C2301" s="35">
        <v>28672.7</v>
      </c>
      <c r="D2301" s="33" t="s">
        <v>237</v>
      </c>
      <c r="E2301" s="34">
        <v>379.58600000000001</v>
      </c>
      <c r="F2301" s="36">
        <v>5.1999999999964103E-2</v>
      </c>
      <c r="G2301" s="34">
        <v>5.1999999999964103E-2</v>
      </c>
      <c r="H2301" s="35">
        <v>37.799999999999997</v>
      </c>
      <c r="I2301" s="37">
        <f t="shared" si="35"/>
        <v>1.3183271892776053E-3</v>
      </c>
      <c r="J2301" s="33"/>
    </row>
    <row r="2302" spans="1:10">
      <c r="A2302" s="33" t="s">
        <v>36</v>
      </c>
      <c r="B2302" s="34">
        <v>379.63799999999998</v>
      </c>
      <c r="C2302" s="35">
        <v>28672.7</v>
      </c>
      <c r="D2302" s="33" t="s">
        <v>282</v>
      </c>
      <c r="E2302" s="34">
        <v>379.58800000000002</v>
      </c>
      <c r="F2302" s="36">
        <v>4.9999999999954498E-2</v>
      </c>
      <c r="G2302" s="34">
        <v>4.9999999999954498E-2</v>
      </c>
      <c r="H2302" s="35">
        <v>3.3</v>
      </c>
      <c r="I2302" s="37">
        <f t="shared" si="35"/>
        <v>1.1509205620677508E-4</v>
      </c>
      <c r="J2302" s="33"/>
    </row>
    <row r="2303" spans="1:10">
      <c r="A2303" s="33" t="s">
        <v>36</v>
      </c>
      <c r="B2303" s="34">
        <v>379.63799999999998</v>
      </c>
      <c r="C2303" s="35">
        <v>28672.7</v>
      </c>
      <c r="D2303" s="33" t="s">
        <v>36</v>
      </c>
      <c r="E2303" s="34">
        <v>379.59399999999999</v>
      </c>
      <c r="F2303" s="36">
        <v>4.3999999999982699E-2</v>
      </c>
      <c r="G2303" s="34">
        <v>4.3999999999982699E-2</v>
      </c>
      <c r="H2303" s="35">
        <v>1036.8</v>
      </c>
      <c r="I2303" s="37">
        <f t="shared" si="35"/>
        <v>3.6159831477328604E-2</v>
      </c>
      <c r="J2303" s="33" t="s">
        <v>116</v>
      </c>
    </row>
    <row r="2304" spans="1:10">
      <c r="A2304" s="33" t="s">
        <v>36</v>
      </c>
      <c r="B2304" s="34">
        <v>379.63799999999998</v>
      </c>
      <c r="C2304" s="35">
        <v>28672.7</v>
      </c>
      <c r="D2304" s="33" t="s">
        <v>276</v>
      </c>
      <c r="E2304" s="34">
        <v>379.601</v>
      </c>
      <c r="F2304" s="36">
        <v>3.6999999999977697E-2</v>
      </c>
      <c r="G2304" s="34">
        <v>3.6999999999977697E-2</v>
      </c>
      <c r="H2304" s="35">
        <v>13.3</v>
      </c>
      <c r="I2304" s="37">
        <f t="shared" si="35"/>
        <v>4.6385586289397231E-4</v>
      </c>
      <c r="J2304" s="33"/>
    </row>
    <row r="2305" spans="1:10">
      <c r="A2305" s="33" t="s">
        <v>36</v>
      </c>
      <c r="B2305" s="34">
        <v>379.63799999999998</v>
      </c>
      <c r="C2305" s="35">
        <v>28672.7</v>
      </c>
      <c r="D2305" s="33" t="s">
        <v>84</v>
      </c>
      <c r="E2305" s="34">
        <v>379.62400000000002</v>
      </c>
      <c r="F2305" s="36">
        <v>1.3999999999953199E-2</v>
      </c>
      <c r="G2305" s="34">
        <v>1.3999999999953199E-2</v>
      </c>
      <c r="H2305" s="35">
        <v>48.9</v>
      </c>
      <c r="I2305" s="37">
        <f t="shared" si="35"/>
        <v>1.7054550147003944E-3</v>
      </c>
      <c r="J2305" s="33" t="s">
        <v>116</v>
      </c>
    </row>
    <row r="2306" spans="1:10">
      <c r="A2306" s="33" t="s">
        <v>36</v>
      </c>
      <c r="B2306" s="34">
        <v>379.63799999999998</v>
      </c>
      <c r="C2306" s="35">
        <v>28672.7</v>
      </c>
      <c r="D2306" s="33" t="s">
        <v>274</v>
      </c>
      <c r="E2306" s="34">
        <v>379.62799999999999</v>
      </c>
      <c r="F2306" s="36">
        <v>9.9999999999909103E-3</v>
      </c>
      <c r="G2306" s="34">
        <v>9.9999999999909103E-3</v>
      </c>
      <c r="H2306" s="35">
        <v>5.6</v>
      </c>
      <c r="I2306" s="37">
        <f t="shared" ref="I2306:I2369" si="36">H2306/C2306</f>
        <v>1.9530773174483042E-4</v>
      </c>
      <c r="J2306" s="33"/>
    </row>
    <row r="2307" spans="1:10">
      <c r="A2307" s="33" t="s">
        <v>36</v>
      </c>
      <c r="B2307" s="34">
        <v>379.63799999999998</v>
      </c>
      <c r="C2307" s="35">
        <v>28672.7</v>
      </c>
      <c r="D2307" s="33" t="s">
        <v>273</v>
      </c>
      <c r="E2307" s="34">
        <v>379.64299999999997</v>
      </c>
      <c r="F2307" s="36">
        <v>4.9999999999954499E-3</v>
      </c>
      <c r="G2307" s="34">
        <v>4.9999999999954499E-3</v>
      </c>
      <c r="H2307" s="35">
        <v>49.4</v>
      </c>
      <c r="I2307" s="37">
        <f t="shared" si="36"/>
        <v>1.7228932050347542E-3</v>
      </c>
      <c r="J2307" s="33"/>
    </row>
    <row r="2308" spans="1:10">
      <c r="A2308" s="33" t="s">
        <v>36</v>
      </c>
      <c r="B2308" s="34">
        <v>379.63799999999998</v>
      </c>
      <c r="C2308" s="35">
        <v>28672.7</v>
      </c>
      <c r="D2308" s="33" t="s">
        <v>27</v>
      </c>
      <c r="E2308" s="34">
        <v>379.64499999999998</v>
      </c>
      <c r="F2308" s="36">
        <v>7.0000000000049996E-3</v>
      </c>
      <c r="G2308" s="34">
        <v>7.0000000000049996E-3</v>
      </c>
      <c r="H2308" s="35">
        <v>691.5</v>
      </c>
      <c r="I2308" s="37">
        <f t="shared" si="36"/>
        <v>2.4117017232419689E-2</v>
      </c>
      <c r="J2308" s="33" t="s">
        <v>116</v>
      </c>
    </row>
    <row r="2309" spans="1:10">
      <c r="A2309" s="33" t="s">
        <v>36</v>
      </c>
      <c r="B2309" s="34">
        <v>379.63799999999998</v>
      </c>
      <c r="C2309" s="35">
        <v>28672.7</v>
      </c>
      <c r="D2309" s="33" t="s">
        <v>236</v>
      </c>
      <c r="E2309" s="34">
        <v>379.649</v>
      </c>
      <c r="F2309" s="36">
        <v>1.10000000000241E-2</v>
      </c>
      <c r="G2309" s="34">
        <v>1.10000000000241E-2</v>
      </c>
      <c r="H2309" s="35">
        <v>2220.5</v>
      </c>
      <c r="I2309" s="37">
        <f t="shared" si="36"/>
        <v>7.7443003274892147E-2</v>
      </c>
      <c r="J2309" s="33"/>
    </row>
    <row r="2310" spans="1:10">
      <c r="A2310" s="33" t="s">
        <v>36</v>
      </c>
      <c r="B2310" s="34">
        <v>379.63799999999998</v>
      </c>
      <c r="C2310" s="35">
        <v>28672.7</v>
      </c>
      <c r="D2310" s="33" t="s">
        <v>277</v>
      </c>
      <c r="E2310" s="34">
        <v>379.65300000000002</v>
      </c>
      <c r="F2310" s="36">
        <v>1.5000000000043199E-2</v>
      </c>
      <c r="G2310" s="34">
        <v>1.5000000000043199E-2</v>
      </c>
      <c r="H2310" s="35">
        <v>372.2</v>
      </c>
      <c r="I2310" s="37">
        <f t="shared" si="36"/>
        <v>1.2980988884897481E-2</v>
      </c>
      <c r="J2310" s="33"/>
    </row>
    <row r="2311" spans="1:10">
      <c r="A2311" s="33" t="s">
        <v>36</v>
      </c>
      <c r="B2311" s="34">
        <v>379.63799999999998</v>
      </c>
      <c r="C2311" s="35">
        <v>28672.7</v>
      </c>
      <c r="D2311" s="33" t="s">
        <v>279</v>
      </c>
      <c r="E2311" s="34">
        <v>379.66</v>
      </c>
      <c r="F2311" s="36">
        <v>2.20000000000482E-2</v>
      </c>
      <c r="G2311" s="34">
        <v>2.20000000000482E-2</v>
      </c>
      <c r="H2311" s="35">
        <v>10.6</v>
      </c>
      <c r="I2311" s="37">
        <f t="shared" si="36"/>
        <v>3.6968963508842903E-4</v>
      </c>
      <c r="J2311" s="33"/>
    </row>
    <row r="2312" spans="1:10">
      <c r="A2312" s="33" t="s">
        <v>36</v>
      </c>
      <c r="B2312" s="34">
        <v>379.63799999999998</v>
      </c>
      <c r="C2312" s="35">
        <v>28672.7</v>
      </c>
      <c r="D2312" s="33" t="s">
        <v>25</v>
      </c>
      <c r="E2312" s="34">
        <v>379.66800000000001</v>
      </c>
      <c r="F2312" s="36">
        <v>3.00000000000296E-2</v>
      </c>
      <c r="G2312" s="34">
        <v>3.00000000000296E-2</v>
      </c>
      <c r="H2312" s="35">
        <v>395.7</v>
      </c>
      <c r="I2312" s="37">
        <f t="shared" si="36"/>
        <v>1.3800583830612393E-2</v>
      </c>
      <c r="J2312" s="33" t="s">
        <v>116</v>
      </c>
    </row>
    <row r="2313" spans="1:10">
      <c r="A2313" s="33" t="s">
        <v>36</v>
      </c>
      <c r="B2313" s="34">
        <v>379.63799999999998</v>
      </c>
      <c r="C2313" s="35">
        <v>28672.7</v>
      </c>
      <c r="D2313" s="33" t="s">
        <v>275</v>
      </c>
      <c r="E2313" s="34">
        <v>379.66899999999998</v>
      </c>
      <c r="F2313" s="36">
        <v>3.1000000000005901E-2</v>
      </c>
      <c r="G2313" s="34">
        <v>3.1000000000005901E-2</v>
      </c>
      <c r="H2313" s="35">
        <v>16.899999999999999</v>
      </c>
      <c r="I2313" s="37">
        <f t="shared" si="36"/>
        <v>5.8941083330136331E-4</v>
      </c>
      <c r="J2313" s="33"/>
    </row>
    <row r="2314" spans="1:10">
      <c r="A2314" s="33" t="s">
        <v>36</v>
      </c>
      <c r="B2314" s="34">
        <v>379.63799999999998</v>
      </c>
      <c r="C2314" s="35">
        <v>28672.7</v>
      </c>
      <c r="D2314" s="33" t="s">
        <v>94</v>
      </c>
      <c r="E2314" s="34">
        <v>379.67500000000001</v>
      </c>
      <c r="F2314" s="36">
        <v>3.7000000000034602E-2</v>
      </c>
      <c r="G2314" s="34">
        <v>3.7000000000034602E-2</v>
      </c>
      <c r="H2314" s="35">
        <v>37799.5</v>
      </c>
      <c r="I2314" s="37">
        <f t="shared" si="36"/>
        <v>1.3183097510872712</v>
      </c>
      <c r="J2314" s="33" t="s">
        <v>116</v>
      </c>
    </row>
    <row r="2315" spans="1:10">
      <c r="A2315" s="33" t="s">
        <v>36</v>
      </c>
      <c r="B2315" s="34">
        <v>379.63799999999998</v>
      </c>
      <c r="C2315" s="35">
        <v>28672.7</v>
      </c>
      <c r="D2315" s="33" t="s">
        <v>273</v>
      </c>
      <c r="E2315" s="34">
        <v>379.68299999999999</v>
      </c>
      <c r="F2315" s="36">
        <v>4.5000000000015902E-2</v>
      </c>
      <c r="G2315" s="34">
        <v>4.5000000000015902E-2</v>
      </c>
      <c r="H2315" s="35">
        <v>29.7</v>
      </c>
      <c r="I2315" s="37">
        <f t="shared" si="36"/>
        <v>1.0358285058609756E-3</v>
      </c>
      <c r="J2315" s="33"/>
    </row>
    <row r="2316" spans="1:10">
      <c r="A2316" s="33" t="s">
        <v>36</v>
      </c>
      <c r="B2316" s="34">
        <v>379.63799999999998</v>
      </c>
      <c r="C2316" s="35">
        <v>28672.7</v>
      </c>
      <c r="D2316" s="33" t="s">
        <v>277</v>
      </c>
      <c r="E2316" s="34">
        <v>379.68400000000003</v>
      </c>
      <c r="F2316" s="36">
        <v>4.6000000000049099E-2</v>
      </c>
      <c r="G2316" s="34">
        <v>4.6000000000049099E-2</v>
      </c>
      <c r="H2316" s="35">
        <v>245.7</v>
      </c>
      <c r="I2316" s="37">
        <f t="shared" si="36"/>
        <v>8.5691267303044348E-3</v>
      </c>
      <c r="J2316" s="33"/>
    </row>
    <row r="2317" spans="1:10">
      <c r="A2317" s="33" t="s">
        <v>36</v>
      </c>
      <c r="B2317" s="34">
        <v>379.63799999999998</v>
      </c>
      <c r="C2317" s="35">
        <v>28672.7</v>
      </c>
      <c r="D2317" s="33" t="s">
        <v>237</v>
      </c>
      <c r="E2317" s="34">
        <v>379.68799999999999</v>
      </c>
      <c r="F2317" s="36">
        <v>5.0000000000011403E-2</v>
      </c>
      <c r="G2317" s="34">
        <v>5.0000000000011403E-2</v>
      </c>
      <c r="H2317" s="35">
        <v>133.1</v>
      </c>
      <c r="I2317" s="37">
        <f t="shared" si="36"/>
        <v>4.6420462670065952E-3</v>
      </c>
      <c r="J2317" s="33"/>
    </row>
    <row r="2318" spans="1:10">
      <c r="A2318" s="33" t="s">
        <v>36</v>
      </c>
      <c r="B2318" s="34">
        <v>379.63799999999998</v>
      </c>
      <c r="C2318" s="35">
        <v>28672.7</v>
      </c>
      <c r="D2318" s="33" t="s">
        <v>84</v>
      </c>
      <c r="E2318" s="34">
        <v>379.70600000000002</v>
      </c>
      <c r="F2318" s="36">
        <v>6.80000000000405E-2</v>
      </c>
      <c r="G2318" s="34">
        <v>6.80000000000405E-2</v>
      </c>
      <c r="H2318" s="35">
        <v>3344.9</v>
      </c>
      <c r="I2318" s="37">
        <f t="shared" si="36"/>
        <v>0.1166580056988006</v>
      </c>
      <c r="J2318" s="33" t="s">
        <v>116</v>
      </c>
    </row>
    <row r="2319" spans="1:10">
      <c r="A2319" s="33" t="s">
        <v>36</v>
      </c>
      <c r="B2319" s="34">
        <v>379.63799999999998</v>
      </c>
      <c r="C2319" s="35">
        <v>28672.7</v>
      </c>
      <c r="D2319" s="33" t="s">
        <v>239</v>
      </c>
      <c r="E2319" s="34">
        <v>379.71300000000002</v>
      </c>
      <c r="F2319" s="36">
        <v>7.5000000000045502E-2</v>
      </c>
      <c r="G2319" s="34">
        <v>7.5000000000045502E-2</v>
      </c>
      <c r="H2319" s="35">
        <v>36.9</v>
      </c>
      <c r="I2319" s="37">
        <f t="shared" si="36"/>
        <v>1.2869384466757576E-3</v>
      </c>
      <c r="J2319" s="33"/>
    </row>
    <row r="2320" spans="1:10">
      <c r="A2320" s="33" t="s">
        <v>36</v>
      </c>
      <c r="B2320" s="34">
        <v>379.63799999999998</v>
      </c>
      <c r="C2320" s="35">
        <v>28672.7</v>
      </c>
      <c r="D2320" s="33" t="s">
        <v>270</v>
      </c>
      <c r="E2320" s="34">
        <v>379.72899999999998</v>
      </c>
      <c r="F2320" s="36">
        <v>9.1000000000008199E-2</v>
      </c>
      <c r="G2320" s="34">
        <v>9.1000000000008199E-2</v>
      </c>
      <c r="H2320" s="35">
        <v>1394.2</v>
      </c>
      <c r="I2320" s="37">
        <f t="shared" si="36"/>
        <v>4.8624649928329038E-2</v>
      </c>
      <c r="J2320" s="33"/>
    </row>
    <row r="2321" spans="1:10">
      <c r="A2321" s="33" t="s">
        <v>36</v>
      </c>
      <c r="B2321" s="34">
        <v>379.63799999999998</v>
      </c>
      <c r="C2321" s="35">
        <v>28672.7</v>
      </c>
      <c r="D2321" s="33" t="s">
        <v>275</v>
      </c>
      <c r="E2321" s="34">
        <v>379.73</v>
      </c>
      <c r="F2321" s="36">
        <v>9.2000000000041396E-2</v>
      </c>
      <c r="G2321" s="34">
        <v>9.2000000000041396E-2</v>
      </c>
      <c r="H2321" s="35">
        <v>38.299999999999997</v>
      </c>
      <c r="I2321" s="37">
        <f t="shared" si="36"/>
        <v>1.3357653796119652E-3</v>
      </c>
      <c r="J2321" s="33"/>
    </row>
    <row r="2322" spans="1:10">
      <c r="A2322" s="33" t="s">
        <v>36</v>
      </c>
      <c r="B2322" s="34">
        <v>379.63799999999998</v>
      </c>
      <c r="C2322" s="35">
        <v>28672.7</v>
      </c>
      <c r="D2322" s="33" t="s">
        <v>25</v>
      </c>
      <c r="E2322" s="34">
        <v>379.73200000000003</v>
      </c>
      <c r="F2322" s="36">
        <v>9.4000000000050904E-2</v>
      </c>
      <c r="G2322" s="34">
        <v>9.4000000000050904E-2</v>
      </c>
      <c r="H2322" s="35">
        <v>48.5</v>
      </c>
      <c r="I2322" s="37">
        <f t="shared" si="36"/>
        <v>1.6915044624329066E-3</v>
      </c>
      <c r="J2322" s="33" t="s">
        <v>116</v>
      </c>
    </row>
    <row r="2323" spans="1:10">
      <c r="A2323" s="33" t="s">
        <v>36</v>
      </c>
      <c r="B2323" s="34">
        <v>379.63799999999998</v>
      </c>
      <c r="C2323" s="35">
        <v>28672.7</v>
      </c>
      <c r="D2323" s="33" t="s">
        <v>271</v>
      </c>
      <c r="E2323" s="34">
        <v>379.745</v>
      </c>
      <c r="F2323" s="36">
        <v>0.107000000000028</v>
      </c>
      <c r="G2323" s="34">
        <v>0.107000000000028</v>
      </c>
      <c r="H2323" s="35">
        <v>326.89999999999998</v>
      </c>
      <c r="I2323" s="37">
        <f t="shared" si="36"/>
        <v>1.1401088840604477E-2</v>
      </c>
      <c r="J2323" s="33"/>
    </row>
    <row r="2324" spans="1:10">
      <c r="A2324" s="33" t="s">
        <v>36</v>
      </c>
      <c r="B2324" s="34">
        <v>379.63799999999998</v>
      </c>
      <c r="C2324" s="35">
        <v>28672.7</v>
      </c>
      <c r="D2324" s="33" t="s">
        <v>97</v>
      </c>
      <c r="E2324" s="34">
        <v>379.75200000000001</v>
      </c>
      <c r="F2324" s="36">
        <v>0.11400000000003301</v>
      </c>
      <c r="G2324" s="34">
        <v>0.11400000000003301</v>
      </c>
      <c r="H2324" s="35">
        <v>62.3</v>
      </c>
      <c r="I2324" s="37">
        <f t="shared" si="36"/>
        <v>2.1727985156612386E-3</v>
      </c>
      <c r="J2324" s="33"/>
    </row>
    <row r="2325" spans="1:10">
      <c r="A2325" s="33" t="s">
        <v>36</v>
      </c>
      <c r="B2325" s="34">
        <v>379.63799999999998</v>
      </c>
      <c r="C2325" s="35">
        <v>28672.7</v>
      </c>
      <c r="D2325" s="33" t="s">
        <v>279</v>
      </c>
      <c r="E2325" s="34">
        <v>379.75799999999998</v>
      </c>
      <c r="F2325" s="36">
        <v>0.12000000000000501</v>
      </c>
      <c r="G2325" s="34">
        <v>0.12000000000000501</v>
      </c>
      <c r="H2325" s="35">
        <v>8.6999999999999993</v>
      </c>
      <c r="I2325" s="37">
        <f t="shared" si="36"/>
        <v>3.0342451181786153E-4</v>
      </c>
      <c r="J2325" s="33"/>
    </row>
    <row r="2326" spans="1:10">
      <c r="A2326" s="33" t="s">
        <v>36</v>
      </c>
      <c r="B2326" s="34">
        <v>379.63799999999998</v>
      </c>
      <c r="C2326" s="35">
        <v>28672.7</v>
      </c>
      <c r="D2326" s="33" t="s">
        <v>239</v>
      </c>
      <c r="E2326" s="34">
        <v>379.77100000000002</v>
      </c>
      <c r="F2326" s="36">
        <v>0.133000000000038</v>
      </c>
      <c r="G2326" s="34">
        <v>0.133000000000038</v>
      </c>
      <c r="H2326" s="35">
        <v>90.2</v>
      </c>
      <c r="I2326" s="37">
        <f t="shared" si="36"/>
        <v>3.1458495363185192E-3</v>
      </c>
      <c r="J2326" s="33"/>
    </row>
    <row r="2327" spans="1:10">
      <c r="A2327" s="33" t="s">
        <v>94</v>
      </c>
      <c r="B2327" s="34">
        <v>339.89499999999998</v>
      </c>
      <c r="C2327" s="35">
        <v>30434.5</v>
      </c>
      <c r="D2327" s="33" t="s">
        <v>36</v>
      </c>
      <c r="E2327" s="34">
        <v>339.72199999999998</v>
      </c>
      <c r="F2327" s="36">
        <v>0.17299999999999999</v>
      </c>
      <c r="G2327" s="34">
        <v>0.17299999999999999</v>
      </c>
      <c r="H2327" s="35">
        <v>43.3</v>
      </c>
      <c r="I2327" s="37">
        <f t="shared" si="36"/>
        <v>1.4227274967553269E-3</v>
      </c>
      <c r="J2327" s="33" t="s">
        <v>116</v>
      </c>
    </row>
    <row r="2328" spans="1:10">
      <c r="A2328" s="33" t="s">
        <v>94</v>
      </c>
      <c r="B2328" s="34">
        <v>339.89499999999998</v>
      </c>
      <c r="C2328" s="35">
        <v>30434.5</v>
      </c>
      <c r="D2328" s="33" t="s">
        <v>269</v>
      </c>
      <c r="E2328" s="34">
        <v>339.726</v>
      </c>
      <c r="F2328" s="36">
        <v>0.168999999999983</v>
      </c>
      <c r="G2328" s="34">
        <v>0.168999999999983</v>
      </c>
      <c r="H2328" s="35">
        <v>30.6</v>
      </c>
      <c r="I2328" s="37">
        <f t="shared" si="36"/>
        <v>1.0054379076377138E-3</v>
      </c>
      <c r="J2328" s="33"/>
    </row>
    <row r="2329" spans="1:10">
      <c r="A2329" s="33" t="s">
        <v>94</v>
      </c>
      <c r="B2329" s="34">
        <v>339.89499999999998</v>
      </c>
      <c r="C2329" s="35">
        <v>30434.5</v>
      </c>
      <c r="D2329" s="33" t="s">
        <v>269</v>
      </c>
      <c r="E2329" s="34">
        <v>339.76</v>
      </c>
      <c r="F2329" s="36">
        <v>0.13499999999999099</v>
      </c>
      <c r="G2329" s="34">
        <v>0.13499999999999099</v>
      </c>
      <c r="H2329" s="35">
        <v>26.7</v>
      </c>
      <c r="I2329" s="37">
        <f t="shared" si="36"/>
        <v>8.7729386058584826E-4</v>
      </c>
      <c r="J2329" s="33"/>
    </row>
    <row r="2330" spans="1:10">
      <c r="A2330" s="33" t="s">
        <v>94</v>
      </c>
      <c r="B2330" s="34">
        <v>339.89499999999998</v>
      </c>
      <c r="C2330" s="35">
        <v>30434.5</v>
      </c>
      <c r="D2330" s="33" t="s">
        <v>275</v>
      </c>
      <c r="E2330" s="34">
        <v>339.76799999999997</v>
      </c>
      <c r="F2330" s="36">
        <v>0.12700000000000999</v>
      </c>
      <c r="G2330" s="34">
        <v>0.12700000000000999</v>
      </c>
      <c r="H2330" s="35">
        <v>11.1</v>
      </c>
      <c r="I2330" s="37">
        <f t="shared" si="36"/>
        <v>3.6471767237838634E-4</v>
      </c>
      <c r="J2330" s="33"/>
    </row>
    <row r="2331" spans="1:10">
      <c r="A2331" s="33" t="s">
        <v>94</v>
      </c>
      <c r="B2331" s="34">
        <v>339.89499999999998</v>
      </c>
      <c r="C2331" s="35">
        <v>30434.5</v>
      </c>
      <c r="D2331" s="33" t="s">
        <v>270</v>
      </c>
      <c r="E2331" s="34">
        <v>339.77699999999999</v>
      </c>
      <c r="F2331" s="36">
        <v>0.117999999999995</v>
      </c>
      <c r="G2331" s="34">
        <v>0.117999999999995</v>
      </c>
      <c r="H2331" s="35">
        <v>300.39999999999998</v>
      </c>
      <c r="I2331" s="37">
        <f t="shared" si="36"/>
        <v>9.8703773677898433E-3</v>
      </c>
      <c r="J2331" s="33"/>
    </row>
    <row r="2332" spans="1:10">
      <c r="A2332" s="33" t="s">
        <v>94</v>
      </c>
      <c r="B2332" s="34">
        <v>339.89499999999998</v>
      </c>
      <c r="C2332" s="35">
        <v>30434.5</v>
      </c>
      <c r="D2332" s="33" t="s">
        <v>165</v>
      </c>
      <c r="E2332" s="34">
        <v>339.78100000000001</v>
      </c>
      <c r="F2332" s="36">
        <v>0.113999999999976</v>
      </c>
      <c r="G2332" s="34">
        <v>0.113999999999976</v>
      </c>
      <c r="H2332" s="35">
        <v>0.8</v>
      </c>
      <c r="I2332" s="37">
        <f t="shared" si="36"/>
        <v>2.6285958369613432E-5</v>
      </c>
      <c r="J2332" s="33"/>
    </row>
    <row r="2333" spans="1:10">
      <c r="A2333" s="33" t="s">
        <v>94</v>
      </c>
      <c r="B2333" s="34">
        <v>339.89499999999998</v>
      </c>
      <c r="C2333" s="35">
        <v>30434.5</v>
      </c>
      <c r="D2333" s="33" t="s">
        <v>271</v>
      </c>
      <c r="E2333" s="34">
        <v>339.78399999999999</v>
      </c>
      <c r="F2333" s="36">
        <v>0.11099999999999</v>
      </c>
      <c r="G2333" s="34">
        <v>0.11099999999999</v>
      </c>
      <c r="H2333" s="35">
        <v>124.5</v>
      </c>
      <c r="I2333" s="37">
        <f t="shared" si="36"/>
        <v>4.0907522712710902E-3</v>
      </c>
      <c r="J2333" s="33"/>
    </row>
    <row r="2334" spans="1:10">
      <c r="A2334" s="33" t="s">
        <v>94</v>
      </c>
      <c r="B2334" s="34">
        <v>339.89499999999998</v>
      </c>
      <c r="C2334" s="35">
        <v>30434.5</v>
      </c>
      <c r="D2334" s="33" t="s">
        <v>236</v>
      </c>
      <c r="E2334" s="34">
        <v>339.79199999999997</v>
      </c>
      <c r="F2334" s="36">
        <v>0.103000000000009</v>
      </c>
      <c r="G2334" s="34">
        <v>0.103000000000009</v>
      </c>
      <c r="H2334" s="35">
        <v>28.6</v>
      </c>
      <c r="I2334" s="37">
        <f t="shared" si="36"/>
        <v>9.3972301171368021E-4</v>
      </c>
      <c r="J2334" s="33"/>
    </row>
    <row r="2335" spans="1:10">
      <c r="A2335" s="33" t="s">
        <v>94</v>
      </c>
      <c r="B2335" s="34">
        <v>339.89499999999998</v>
      </c>
      <c r="C2335" s="35">
        <v>30434.5</v>
      </c>
      <c r="D2335" s="33" t="s">
        <v>274</v>
      </c>
      <c r="E2335" s="34">
        <v>339.80900000000003</v>
      </c>
      <c r="F2335" s="36">
        <v>8.5999999999955903E-2</v>
      </c>
      <c r="G2335" s="34">
        <v>8.5999999999955903E-2</v>
      </c>
      <c r="H2335" s="35">
        <v>75</v>
      </c>
      <c r="I2335" s="37">
        <f t="shared" si="36"/>
        <v>2.4643085971512591E-3</v>
      </c>
      <c r="J2335" s="33"/>
    </row>
    <row r="2336" spans="1:10">
      <c r="A2336" s="33" t="s">
        <v>94</v>
      </c>
      <c r="B2336" s="34">
        <v>339.89499999999998</v>
      </c>
      <c r="C2336" s="35">
        <v>30434.5</v>
      </c>
      <c r="D2336" s="33" t="s">
        <v>277</v>
      </c>
      <c r="E2336" s="34">
        <v>339.82600000000002</v>
      </c>
      <c r="F2336" s="36">
        <v>6.8999999999959996E-2</v>
      </c>
      <c r="G2336" s="34">
        <v>6.8999999999959996E-2</v>
      </c>
      <c r="H2336" s="35">
        <v>100.9</v>
      </c>
      <c r="I2336" s="37">
        <f t="shared" si="36"/>
        <v>3.3153164993674944E-3</v>
      </c>
      <c r="J2336" s="33"/>
    </row>
    <row r="2337" spans="1:10">
      <c r="A2337" s="33" t="s">
        <v>94</v>
      </c>
      <c r="B2337" s="34">
        <v>339.89499999999998</v>
      </c>
      <c r="C2337" s="35">
        <v>30434.5</v>
      </c>
      <c r="D2337" s="33" t="s">
        <v>193</v>
      </c>
      <c r="E2337" s="34">
        <v>339.83100000000002</v>
      </c>
      <c r="F2337" s="36">
        <v>6.3999999999964502E-2</v>
      </c>
      <c r="G2337" s="34">
        <v>6.3999999999964502E-2</v>
      </c>
      <c r="H2337" s="35">
        <v>176.1</v>
      </c>
      <c r="I2337" s="37">
        <f t="shared" si="36"/>
        <v>5.7861965861111565E-3</v>
      </c>
      <c r="J2337" s="33"/>
    </row>
    <row r="2338" spans="1:10">
      <c r="A2338" s="33" t="s">
        <v>94</v>
      </c>
      <c r="B2338" s="34">
        <v>339.89499999999998</v>
      </c>
      <c r="C2338" s="35">
        <v>30434.5</v>
      </c>
      <c r="D2338" s="33" t="s">
        <v>201</v>
      </c>
      <c r="E2338" s="34">
        <v>339.83499999999998</v>
      </c>
      <c r="F2338" s="36">
        <v>6.0000000000002301E-2</v>
      </c>
      <c r="G2338" s="34">
        <v>6.0000000000002301E-2</v>
      </c>
      <c r="H2338" s="35">
        <v>605.79999999999995</v>
      </c>
      <c r="I2338" s="37">
        <f t="shared" si="36"/>
        <v>1.9905041975389771E-2</v>
      </c>
      <c r="J2338" s="33"/>
    </row>
    <row r="2339" spans="1:10">
      <c r="A2339" s="33" t="s">
        <v>94</v>
      </c>
      <c r="B2339" s="34">
        <v>339.89499999999998</v>
      </c>
      <c r="C2339" s="35">
        <v>30434.5</v>
      </c>
      <c r="D2339" s="33" t="s">
        <v>271</v>
      </c>
      <c r="E2339" s="34">
        <v>339.85399999999998</v>
      </c>
      <c r="F2339" s="36">
        <v>4.0999999999996803E-2</v>
      </c>
      <c r="G2339" s="34">
        <v>4.0999999999996803E-2</v>
      </c>
      <c r="H2339" s="35">
        <v>417</v>
      </c>
      <c r="I2339" s="37">
        <f t="shared" si="36"/>
        <v>1.3701555800161001E-2</v>
      </c>
      <c r="J2339" s="33"/>
    </row>
    <row r="2340" spans="1:10">
      <c r="A2340" s="33" t="s">
        <v>94</v>
      </c>
      <c r="B2340" s="34">
        <v>339.89499999999998</v>
      </c>
      <c r="C2340" s="35">
        <v>30434.5</v>
      </c>
      <c r="D2340" s="33" t="s">
        <v>25</v>
      </c>
      <c r="E2340" s="34">
        <v>339.87200000000001</v>
      </c>
      <c r="F2340" s="36">
        <v>2.2999999999967699E-2</v>
      </c>
      <c r="G2340" s="34">
        <v>2.2999999999967699E-2</v>
      </c>
      <c r="H2340" s="35">
        <v>55.5</v>
      </c>
      <c r="I2340" s="37">
        <f t="shared" si="36"/>
        <v>1.8235883618919319E-3</v>
      </c>
      <c r="J2340" s="33" t="s">
        <v>116</v>
      </c>
    </row>
    <row r="2341" spans="1:10">
      <c r="A2341" s="33" t="s">
        <v>94</v>
      </c>
      <c r="B2341" s="34">
        <v>339.89499999999998</v>
      </c>
      <c r="C2341" s="35">
        <v>30434.5</v>
      </c>
      <c r="D2341" s="33" t="s">
        <v>54</v>
      </c>
      <c r="E2341" s="34">
        <v>339.88099999999997</v>
      </c>
      <c r="F2341" s="36">
        <v>1.4000000000009999E-2</v>
      </c>
      <c r="G2341" s="34">
        <v>1.4000000000009999E-2</v>
      </c>
      <c r="H2341" s="35">
        <v>8.1</v>
      </c>
      <c r="I2341" s="37">
        <f t="shared" si="36"/>
        <v>2.66145328492336E-4</v>
      </c>
      <c r="J2341" s="33"/>
    </row>
    <row r="2342" spans="1:10">
      <c r="A2342" s="33" t="s">
        <v>94</v>
      </c>
      <c r="B2342" s="34">
        <v>339.89499999999998</v>
      </c>
      <c r="C2342" s="35">
        <v>30434.5</v>
      </c>
      <c r="D2342" s="33" t="s">
        <v>274</v>
      </c>
      <c r="E2342" s="34">
        <v>339.89299999999997</v>
      </c>
      <c r="F2342" s="36">
        <v>2.0000000000095501E-3</v>
      </c>
      <c r="G2342" s="34">
        <v>2.0000000000095501E-3</v>
      </c>
      <c r="H2342" s="35">
        <v>51.1</v>
      </c>
      <c r="I2342" s="37">
        <f t="shared" si="36"/>
        <v>1.6790155908590579E-3</v>
      </c>
      <c r="J2342" s="33"/>
    </row>
    <row r="2343" spans="1:10">
      <c r="A2343" s="33" t="s">
        <v>94</v>
      </c>
      <c r="B2343" s="34">
        <v>339.89499999999998</v>
      </c>
      <c r="C2343" s="35">
        <v>30434.5</v>
      </c>
      <c r="D2343" s="33" t="s">
        <v>201</v>
      </c>
      <c r="E2343" s="34">
        <v>339.91</v>
      </c>
      <c r="F2343" s="36">
        <v>1.5000000000043199E-2</v>
      </c>
      <c r="G2343" s="34">
        <v>1.5000000000043199E-2</v>
      </c>
      <c r="H2343" s="35">
        <v>954.8</v>
      </c>
      <c r="I2343" s="37">
        <f t="shared" si="36"/>
        <v>3.1372291314133632E-2</v>
      </c>
      <c r="J2343" s="33"/>
    </row>
    <row r="2344" spans="1:10">
      <c r="A2344" s="33" t="s">
        <v>94</v>
      </c>
      <c r="B2344" s="34">
        <v>339.89499999999998</v>
      </c>
      <c r="C2344" s="35">
        <v>30434.5</v>
      </c>
      <c r="D2344" s="33" t="s">
        <v>84</v>
      </c>
      <c r="E2344" s="34">
        <v>339.92700000000002</v>
      </c>
      <c r="F2344" s="36">
        <v>3.2000000000000001E-2</v>
      </c>
      <c r="G2344" s="34">
        <v>3.2000000000000001E-2</v>
      </c>
      <c r="H2344" s="35">
        <v>7414</v>
      </c>
      <c r="I2344" s="37">
        <f t="shared" si="36"/>
        <v>0.24360511919039249</v>
      </c>
      <c r="J2344" s="33" t="s">
        <v>116</v>
      </c>
    </row>
    <row r="2345" spans="1:10">
      <c r="A2345" s="33" t="s">
        <v>94</v>
      </c>
      <c r="B2345" s="34">
        <v>339.89499999999998</v>
      </c>
      <c r="C2345" s="35">
        <v>30434.5</v>
      </c>
      <c r="D2345" s="33" t="s">
        <v>279</v>
      </c>
      <c r="E2345" s="34">
        <v>339.93</v>
      </c>
      <c r="F2345" s="36">
        <v>3.5000000000024997E-2</v>
      </c>
      <c r="G2345" s="34">
        <v>3.5000000000024997E-2</v>
      </c>
      <c r="H2345" s="35">
        <v>161.5</v>
      </c>
      <c r="I2345" s="37">
        <f t="shared" si="36"/>
        <v>5.3064778458657112E-3</v>
      </c>
      <c r="J2345" s="33"/>
    </row>
    <row r="2346" spans="1:10">
      <c r="A2346" s="33" t="s">
        <v>94</v>
      </c>
      <c r="B2346" s="34">
        <v>339.89499999999998</v>
      </c>
      <c r="C2346" s="35">
        <v>30434.5</v>
      </c>
      <c r="D2346" s="33" t="s">
        <v>97</v>
      </c>
      <c r="E2346" s="34">
        <v>339.93299999999999</v>
      </c>
      <c r="F2346" s="36">
        <v>3.80000000000109E-2</v>
      </c>
      <c r="G2346" s="34">
        <v>3.80000000000109E-2</v>
      </c>
      <c r="H2346" s="35">
        <v>29.1</v>
      </c>
      <c r="I2346" s="37">
        <f t="shared" si="36"/>
        <v>9.5615173569468868E-4</v>
      </c>
      <c r="J2346" s="33"/>
    </row>
    <row r="2347" spans="1:10">
      <c r="A2347" s="33" t="s">
        <v>94</v>
      </c>
      <c r="B2347" s="34">
        <v>339.89499999999998</v>
      </c>
      <c r="C2347" s="35">
        <v>30434.5</v>
      </c>
      <c r="D2347" s="33" t="s">
        <v>236</v>
      </c>
      <c r="E2347" s="34">
        <v>339.93400000000003</v>
      </c>
      <c r="F2347" s="36">
        <v>3.9000000000044097E-2</v>
      </c>
      <c r="G2347" s="34">
        <v>3.9000000000044097E-2</v>
      </c>
      <c r="H2347" s="35">
        <v>3991.5</v>
      </c>
      <c r="I2347" s="37">
        <f t="shared" si="36"/>
        <v>0.13115050354039001</v>
      </c>
      <c r="J2347" s="33"/>
    </row>
    <row r="2348" spans="1:10">
      <c r="A2348" s="33" t="s">
        <v>94</v>
      </c>
      <c r="B2348" s="34">
        <v>339.89499999999998</v>
      </c>
      <c r="C2348" s="35">
        <v>30434.5</v>
      </c>
      <c r="D2348" s="33" t="s">
        <v>33</v>
      </c>
      <c r="E2348" s="34">
        <v>339.93599999999998</v>
      </c>
      <c r="F2348" s="36">
        <v>4.0999999999996803E-2</v>
      </c>
      <c r="G2348" s="34">
        <v>4.0999999999996803E-2</v>
      </c>
      <c r="H2348" s="35">
        <v>199</v>
      </c>
      <c r="I2348" s="37">
        <f t="shared" si="36"/>
        <v>6.5386321444413417E-3</v>
      </c>
      <c r="J2348" s="33" t="s">
        <v>116</v>
      </c>
    </row>
    <row r="2349" spans="1:10">
      <c r="A2349" s="33" t="s">
        <v>94</v>
      </c>
      <c r="B2349" s="34">
        <v>339.89499999999998</v>
      </c>
      <c r="C2349" s="35">
        <v>30434.5</v>
      </c>
      <c r="D2349" s="33" t="s">
        <v>273</v>
      </c>
      <c r="E2349" s="34">
        <v>339.93900000000002</v>
      </c>
      <c r="F2349" s="36">
        <v>4.4000000000039598E-2</v>
      </c>
      <c r="G2349" s="34">
        <v>4.4000000000039598E-2</v>
      </c>
      <c r="H2349" s="35">
        <v>12.2</v>
      </c>
      <c r="I2349" s="37">
        <f t="shared" si="36"/>
        <v>4.0086086513660483E-4</v>
      </c>
      <c r="J2349" s="33"/>
    </row>
    <row r="2350" spans="1:10">
      <c r="A2350" s="33" t="s">
        <v>94</v>
      </c>
      <c r="B2350" s="34">
        <v>339.89499999999998</v>
      </c>
      <c r="C2350" s="35">
        <v>30434.5</v>
      </c>
      <c r="D2350" s="33" t="s">
        <v>36</v>
      </c>
      <c r="E2350" s="34">
        <v>339.94</v>
      </c>
      <c r="F2350" s="36">
        <v>4.4999999999999998E-2</v>
      </c>
      <c r="G2350" s="34">
        <v>4.4999999999999998E-2</v>
      </c>
      <c r="H2350" s="35">
        <v>4</v>
      </c>
      <c r="I2350" s="37">
        <f t="shared" si="36"/>
        <v>1.3142979184806717E-4</v>
      </c>
      <c r="J2350" s="33" t="s">
        <v>116</v>
      </c>
    </row>
    <row r="2351" spans="1:10">
      <c r="A2351" s="33" t="s">
        <v>94</v>
      </c>
      <c r="B2351" s="34">
        <v>339.89499999999998</v>
      </c>
      <c r="C2351" s="35">
        <v>30434.5</v>
      </c>
      <c r="D2351" s="33" t="s">
        <v>54</v>
      </c>
      <c r="E2351" s="34">
        <v>339.94299999999998</v>
      </c>
      <c r="F2351" s="36">
        <v>4.8000000000001798E-2</v>
      </c>
      <c r="G2351" s="34">
        <v>4.8000000000001798E-2</v>
      </c>
      <c r="H2351" s="35">
        <v>0.7</v>
      </c>
      <c r="I2351" s="37">
        <f t="shared" si="36"/>
        <v>2.3000213573411753E-5</v>
      </c>
      <c r="J2351" s="33"/>
    </row>
    <row r="2352" spans="1:10">
      <c r="A2352" s="33" t="s">
        <v>94</v>
      </c>
      <c r="B2352" s="34">
        <v>339.89499999999998</v>
      </c>
      <c r="C2352" s="35">
        <v>30434.5</v>
      </c>
      <c r="D2352" s="33" t="s">
        <v>239</v>
      </c>
      <c r="E2352" s="34">
        <v>339.95100000000002</v>
      </c>
      <c r="F2352" s="36">
        <v>5.6000000000039997E-2</v>
      </c>
      <c r="G2352" s="34">
        <v>5.6000000000039997E-2</v>
      </c>
      <c r="H2352" s="35">
        <v>18.8</v>
      </c>
      <c r="I2352" s="37">
        <f t="shared" si="36"/>
        <v>6.1772002168591564E-4</v>
      </c>
      <c r="J2352" s="33"/>
    </row>
    <row r="2353" spans="1:10">
      <c r="A2353" s="33" t="s">
        <v>94</v>
      </c>
      <c r="B2353" s="34">
        <v>339.89499999999998</v>
      </c>
      <c r="C2353" s="35">
        <v>30434.5</v>
      </c>
      <c r="D2353" s="33" t="s">
        <v>282</v>
      </c>
      <c r="E2353" s="34">
        <v>339.96899999999999</v>
      </c>
      <c r="F2353" s="36">
        <v>7.4000000000012306E-2</v>
      </c>
      <c r="G2353" s="34">
        <v>7.4000000000012306E-2</v>
      </c>
      <c r="H2353" s="35">
        <v>203.9</v>
      </c>
      <c r="I2353" s="37">
        <f t="shared" si="36"/>
        <v>6.699633639455224E-3</v>
      </c>
      <c r="J2353" s="33"/>
    </row>
    <row r="2354" spans="1:10">
      <c r="A2354" s="33" t="s">
        <v>94</v>
      </c>
      <c r="B2354" s="34">
        <v>339.89499999999998</v>
      </c>
      <c r="C2354" s="35">
        <v>30434.5</v>
      </c>
      <c r="D2354" s="33" t="s">
        <v>273</v>
      </c>
      <c r="E2354" s="34">
        <v>339.97</v>
      </c>
      <c r="F2354" s="36">
        <v>7.5000000000045502E-2</v>
      </c>
      <c r="G2354" s="34">
        <v>7.5000000000045502E-2</v>
      </c>
      <c r="H2354" s="35">
        <v>169.2</v>
      </c>
      <c r="I2354" s="37">
        <f t="shared" si="36"/>
        <v>5.5594801951732407E-3</v>
      </c>
      <c r="J2354" s="33"/>
    </row>
    <row r="2355" spans="1:10">
      <c r="A2355" s="33" t="s">
        <v>94</v>
      </c>
      <c r="B2355" s="34">
        <v>339.89499999999998</v>
      </c>
      <c r="C2355" s="35">
        <v>30434.5</v>
      </c>
      <c r="D2355" s="33" t="s">
        <v>269</v>
      </c>
      <c r="E2355" s="34">
        <v>339.97899999999998</v>
      </c>
      <c r="F2355" s="36">
        <v>8.4000000000003197E-2</v>
      </c>
      <c r="G2355" s="34">
        <v>8.4000000000003197E-2</v>
      </c>
      <c r="H2355" s="35">
        <v>18661.599999999999</v>
      </c>
      <c r="I2355" s="37">
        <f t="shared" si="36"/>
        <v>0.61317255088797251</v>
      </c>
      <c r="J2355" s="33"/>
    </row>
    <row r="2356" spans="1:10">
      <c r="A2356" s="33" t="s">
        <v>94</v>
      </c>
      <c r="B2356" s="34">
        <v>339.89499999999998</v>
      </c>
      <c r="C2356" s="35">
        <v>30434.5</v>
      </c>
      <c r="D2356" s="33" t="s">
        <v>270</v>
      </c>
      <c r="E2356" s="34">
        <v>339.98399999999998</v>
      </c>
      <c r="F2356" s="36">
        <v>8.8999999999998594E-2</v>
      </c>
      <c r="G2356" s="34">
        <v>8.8999999999998594E-2</v>
      </c>
      <c r="H2356" s="35">
        <v>387.7</v>
      </c>
      <c r="I2356" s="37">
        <f t="shared" si="36"/>
        <v>1.2738832574873909E-2</v>
      </c>
      <c r="J2356" s="33"/>
    </row>
    <row r="2357" spans="1:10">
      <c r="A2357" s="33" t="s">
        <v>94</v>
      </c>
      <c r="B2357" s="34">
        <v>339.89499999999998</v>
      </c>
      <c r="C2357" s="35">
        <v>30434.5</v>
      </c>
      <c r="D2357" s="33" t="s">
        <v>36</v>
      </c>
      <c r="E2357" s="34">
        <v>339.99900000000002</v>
      </c>
      <c r="F2357" s="36">
        <v>0.104</v>
      </c>
      <c r="G2357" s="34">
        <v>0.104</v>
      </c>
      <c r="H2357" s="35">
        <v>2081.9</v>
      </c>
      <c r="I2357" s="37">
        <f t="shared" si="36"/>
        <v>6.8405920912122761E-2</v>
      </c>
      <c r="J2357" s="33" t="s">
        <v>116</v>
      </c>
    </row>
    <row r="2358" spans="1:10">
      <c r="A2358" s="33" t="s">
        <v>94</v>
      </c>
      <c r="B2358" s="34">
        <v>339.89499999999998</v>
      </c>
      <c r="C2358" s="35">
        <v>30434.5</v>
      </c>
      <c r="D2358" s="33" t="s">
        <v>240</v>
      </c>
      <c r="E2358" s="34">
        <v>340.01100000000002</v>
      </c>
      <c r="F2358" s="36">
        <v>0.116000000000042</v>
      </c>
      <c r="G2358" s="34">
        <v>0.116000000000042</v>
      </c>
      <c r="H2358" s="35">
        <v>5.3</v>
      </c>
      <c r="I2358" s="37">
        <f t="shared" si="36"/>
        <v>1.7414447419868899E-4</v>
      </c>
      <c r="J2358" s="33"/>
    </row>
    <row r="2359" spans="1:10">
      <c r="A2359" s="33" t="s">
        <v>94</v>
      </c>
      <c r="B2359" s="34">
        <v>339.89499999999998</v>
      </c>
      <c r="C2359" s="35">
        <v>30434.5</v>
      </c>
      <c r="D2359" s="33" t="s">
        <v>25</v>
      </c>
      <c r="E2359" s="34">
        <v>340.02499999999998</v>
      </c>
      <c r="F2359" s="36">
        <v>0.12999999999999601</v>
      </c>
      <c r="G2359" s="34">
        <v>0.12999999999999601</v>
      </c>
      <c r="H2359" s="35">
        <v>103.4</v>
      </c>
      <c r="I2359" s="37">
        <f t="shared" si="36"/>
        <v>3.3974601192725364E-3</v>
      </c>
      <c r="J2359" s="33" t="s">
        <v>116</v>
      </c>
    </row>
    <row r="2360" spans="1:10">
      <c r="A2360" s="33" t="s">
        <v>94</v>
      </c>
      <c r="B2360" s="34">
        <v>339.89499999999998</v>
      </c>
      <c r="C2360" s="35">
        <v>30434.5</v>
      </c>
      <c r="D2360" s="33" t="s">
        <v>282</v>
      </c>
      <c r="E2360" s="34">
        <v>340.02499999999998</v>
      </c>
      <c r="F2360" s="36">
        <v>0.12999999999999601</v>
      </c>
      <c r="G2360" s="34">
        <v>0.12999999999999601</v>
      </c>
      <c r="H2360" s="35">
        <v>1</v>
      </c>
      <c r="I2360" s="37">
        <f t="shared" si="36"/>
        <v>3.2857447962016792E-5</v>
      </c>
      <c r="J2360" s="33"/>
    </row>
    <row r="2361" spans="1:10">
      <c r="A2361" s="33" t="s">
        <v>94</v>
      </c>
      <c r="B2361" s="34">
        <v>339.89499999999998</v>
      </c>
      <c r="C2361" s="35">
        <v>30434.5</v>
      </c>
      <c r="D2361" s="33" t="s">
        <v>278</v>
      </c>
      <c r="E2361" s="34">
        <v>340.03899999999999</v>
      </c>
      <c r="F2361" s="36">
        <v>0.14400000000000601</v>
      </c>
      <c r="G2361" s="34">
        <v>0.14400000000000601</v>
      </c>
      <c r="H2361" s="35">
        <v>43.2</v>
      </c>
      <c r="I2361" s="37">
        <f t="shared" si="36"/>
        <v>1.4194417519591254E-3</v>
      </c>
      <c r="J2361" s="33"/>
    </row>
    <row r="2362" spans="1:10">
      <c r="A2362" s="33" t="s">
        <v>94</v>
      </c>
      <c r="B2362" s="34">
        <v>339.89499999999998</v>
      </c>
      <c r="C2362" s="35">
        <v>30434.5</v>
      </c>
      <c r="D2362" s="33" t="s">
        <v>54</v>
      </c>
      <c r="E2362" s="34">
        <v>340.04899999999998</v>
      </c>
      <c r="F2362" s="36">
        <v>0.153999999999996</v>
      </c>
      <c r="G2362" s="34">
        <v>0.153999999999996</v>
      </c>
      <c r="H2362" s="35">
        <v>1.3</v>
      </c>
      <c r="I2362" s="37">
        <f t="shared" si="36"/>
        <v>4.2714682350621832E-5</v>
      </c>
      <c r="J2362" s="33"/>
    </row>
    <row r="2363" spans="1:10">
      <c r="A2363" s="33" t="s">
        <v>94</v>
      </c>
      <c r="B2363" s="34">
        <v>341.64400000000001</v>
      </c>
      <c r="C2363" s="35">
        <v>34031.5</v>
      </c>
      <c r="D2363" s="33" t="s">
        <v>54</v>
      </c>
      <c r="E2363" s="34">
        <v>341.47199999999998</v>
      </c>
      <c r="F2363" s="36">
        <v>0.17200000000002599</v>
      </c>
      <c r="G2363" s="34">
        <v>0.17200000000002599</v>
      </c>
      <c r="H2363" s="35">
        <v>99.6</v>
      </c>
      <c r="I2363" s="37">
        <f t="shared" si="36"/>
        <v>2.9267002629916401E-3</v>
      </c>
      <c r="J2363" s="33"/>
    </row>
    <row r="2364" spans="1:10">
      <c r="A2364" s="33" t="s">
        <v>94</v>
      </c>
      <c r="B2364" s="34">
        <v>341.64400000000001</v>
      </c>
      <c r="C2364" s="35">
        <v>34031.5</v>
      </c>
      <c r="D2364" s="33" t="s">
        <v>165</v>
      </c>
      <c r="E2364" s="34">
        <v>341.476</v>
      </c>
      <c r="F2364" s="36">
        <v>0.16800000000000601</v>
      </c>
      <c r="G2364" s="34">
        <v>0.16800000000000601</v>
      </c>
      <c r="H2364" s="35">
        <v>10813.9</v>
      </c>
      <c r="I2364" s="37">
        <f t="shared" si="36"/>
        <v>0.31776148568238249</v>
      </c>
      <c r="J2364" s="33"/>
    </row>
    <row r="2365" spans="1:10">
      <c r="A2365" s="33" t="s">
        <v>94</v>
      </c>
      <c r="B2365" s="34">
        <v>341.64400000000001</v>
      </c>
      <c r="C2365" s="35">
        <v>34031.5</v>
      </c>
      <c r="D2365" s="33" t="s">
        <v>33</v>
      </c>
      <c r="E2365" s="34">
        <v>341.48200000000003</v>
      </c>
      <c r="F2365" s="36">
        <v>0.16199999999997799</v>
      </c>
      <c r="G2365" s="34">
        <v>0.16199999999997799</v>
      </c>
      <c r="H2365" s="35">
        <v>1321.8</v>
      </c>
      <c r="I2365" s="37">
        <f t="shared" si="36"/>
        <v>3.8840486020304717E-2</v>
      </c>
      <c r="J2365" s="33" t="s">
        <v>116</v>
      </c>
    </row>
    <row r="2366" spans="1:10">
      <c r="A2366" s="33" t="s">
        <v>94</v>
      </c>
      <c r="B2366" s="34">
        <v>341.64400000000001</v>
      </c>
      <c r="C2366" s="35">
        <v>34031.5</v>
      </c>
      <c r="D2366" s="33" t="s">
        <v>94</v>
      </c>
      <c r="E2366" s="34">
        <v>341.49</v>
      </c>
      <c r="F2366" s="36">
        <v>0.154</v>
      </c>
      <c r="G2366" s="34">
        <v>0.154</v>
      </c>
      <c r="H2366" s="35">
        <v>5916</v>
      </c>
      <c r="I2366" s="37">
        <f t="shared" si="36"/>
        <v>0.17383894333191308</v>
      </c>
      <c r="J2366" s="33" t="s">
        <v>116</v>
      </c>
    </row>
    <row r="2367" spans="1:10">
      <c r="A2367" s="33" t="s">
        <v>94</v>
      </c>
      <c r="B2367" s="34">
        <v>341.64400000000001</v>
      </c>
      <c r="C2367" s="35">
        <v>34031.5</v>
      </c>
      <c r="D2367" s="33" t="s">
        <v>25</v>
      </c>
      <c r="E2367" s="34">
        <v>341.50599999999997</v>
      </c>
      <c r="F2367" s="36">
        <v>0.13800000000003401</v>
      </c>
      <c r="G2367" s="34">
        <v>0.13800000000003401</v>
      </c>
      <c r="H2367" s="35">
        <v>46.9</v>
      </c>
      <c r="I2367" s="37">
        <f t="shared" si="36"/>
        <v>1.3781349631958625E-3</v>
      </c>
      <c r="J2367" s="33" t="s">
        <v>116</v>
      </c>
    </row>
    <row r="2368" spans="1:10">
      <c r="A2368" s="33" t="s">
        <v>94</v>
      </c>
      <c r="B2368" s="34">
        <v>341.64400000000001</v>
      </c>
      <c r="C2368" s="35">
        <v>34031.5</v>
      </c>
      <c r="D2368" s="33" t="s">
        <v>133</v>
      </c>
      <c r="E2368" s="34">
        <v>341.50700000000001</v>
      </c>
      <c r="F2368" s="36">
        <v>0.13700000000000101</v>
      </c>
      <c r="G2368" s="34">
        <v>0.13700000000000101</v>
      </c>
      <c r="H2368" s="35">
        <v>56.6</v>
      </c>
      <c r="I2368" s="37">
        <f t="shared" si="36"/>
        <v>1.6631650088888236E-3</v>
      </c>
      <c r="J2368" s="33"/>
    </row>
    <row r="2369" spans="1:10">
      <c r="A2369" s="33" t="s">
        <v>94</v>
      </c>
      <c r="B2369" s="34">
        <v>341.64400000000001</v>
      </c>
      <c r="C2369" s="35">
        <v>34031.5</v>
      </c>
      <c r="D2369" s="33" t="s">
        <v>275</v>
      </c>
      <c r="E2369" s="34">
        <v>341.52699999999999</v>
      </c>
      <c r="F2369" s="36">
        <v>0.11700000000001901</v>
      </c>
      <c r="G2369" s="34">
        <v>0.11700000000001901</v>
      </c>
      <c r="H2369" s="35">
        <v>42</v>
      </c>
      <c r="I2369" s="37">
        <f t="shared" si="36"/>
        <v>1.2341507133097277E-3</v>
      </c>
      <c r="J2369" s="33"/>
    </row>
    <row r="2370" spans="1:10">
      <c r="A2370" s="33" t="s">
        <v>94</v>
      </c>
      <c r="B2370" s="34">
        <v>341.64400000000001</v>
      </c>
      <c r="C2370" s="35">
        <v>34031.5</v>
      </c>
      <c r="D2370" s="33" t="s">
        <v>193</v>
      </c>
      <c r="E2370" s="34">
        <v>341.52699999999999</v>
      </c>
      <c r="F2370" s="36">
        <v>0.11700000000001901</v>
      </c>
      <c r="G2370" s="34">
        <v>0.11700000000001901</v>
      </c>
      <c r="H2370" s="35">
        <v>247.5</v>
      </c>
      <c r="I2370" s="37">
        <f t="shared" ref="I2370:I2433" si="37">H2370/C2370</f>
        <v>7.2726738462894668E-3</v>
      </c>
      <c r="J2370" s="33"/>
    </row>
    <row r="2371" spans="1:10">
      <c r="A2371" s="33" t="s">
        <v>94</v>
      </c>
      <c r="B2371" s="34">
        <v>341.64400000000001</v>
      </c>
      <c r="C2371" s="35">
        <v>34031.5</v>
      </c>
      <c r="D2371" s="33" t="s">
        <v>97</v>
      </c>
      <c r="E2371" s="34">
        <v>341.553</v>
      </c>
      <c r="F2371" s="36">
        <v>9.1000000000008199E-2</v>
      </c>
      <c r="G2371" s="34">
        <v>9.1000000000008199E-2</v>
      </c>
      <c r="H2371" s="35">
        <v>43</v>
      </c>
      <c r="I2371" s="37">
        <f t="shared" si="37"/>
        <v>1.2635352541028166E-3</v>
      </c>
      <c r="J2371" s="33"/>
    </row>
    <row r="2372" spans="1:10">
      <c r="A2372" s="33" t="s">
        <v>94</v>
      </c>
      <c r="B2372" s="34">
        <v>341.64400000000001</v>
      </c>
      <c r="C2372" s="35">
        <v>34031.5</v>
      </c>
      <c r="D2372" s="33" t="s">
        <v>27</v>
      </c>
      <c r="E2372" s="34">
        <v>341.55500000000001</v>
      </c>
      <c r="F2372" s="36">
        <v>8.8999999999998594E-2</v>
      </c>
      <c r="G2372" s="34">
        <v>8.8999999999998594E-2</v>
      </c>
      <c r="H2372" s="35">
        <v>250.9</v>
      </c>
      <c r="I2372" s="37">
        <f t="shared" si="37"/>
        <v>7.3725812849859693E-3</v>
      </c>
      <c r="J2372" s="33" t="s">
        <v>116</v>
      </c>
    </row>
    <row r="2373" spans="1:10">
      <c r="A2373" s="33" t="s">
        <v>94</v>
      </c>
      <c r="B2373" s="34">
        <v>341.64400000000001</v>
      </c>
      <c r="C2373" s="35">
        <v>34031.5</v>
      </c>
      <c r="D2373" s="33" t="s">
        <v>25</v>
      </c>
      <c r="E2373" s="34">
        <v>341.56099999999998</v>
      </c>
      <c r="F2373" s="36">
        <v>8.3000000000026802E-2</v>
      </c>
      <c r="G2373" s="34">
        <v>8.3000000000026802E-2</v>
      </c>
      <c r="H2373" s="35">
        <v>120.7</v>
      </c>
      <c r="I2373" s="37">
        <f t="shared" si="37"/>
        <v>3.5467140737258131E-3</v>
      </c>
      <c r="J2373" s="33" t="s">
        <v>116</v>
      </c>
    </row>
    <row r="2374" spans="1:10">
      <c r="A2374" s="33" t="s">
        <v>94</v>
      </c>
      <c r="B2374" s="34">
        <v>341.64400000000001</v>
      </c>
      <c r="C2374" s="35">
        <v>34031.5</v>
      </c>
      <c r="D2374" s="33" t="s">
        <v>33</v>
      </c>
      <c r="E2374" s="34">
        <v>341.57100000000003</v>
      </c>
      <c r="F2374" s="36">
        <v>7.2999999999979095E-2</v>
      </c>
      <c r="G2374" s="34">
        <v>7.2999999999979095E-2</v>
      </c>
      <c r="H2374" s="35">
        <v>506.9</v>
      </c>
      <c r="I2374" s="37">
        <f t="shared" si="37"/>
        <v>1.4895023728016689E-2</v>
      </c>
      <c r="J2374" s="33" t="s">
        <v>116</v>
      </c>
    </row>
    <row r="2375" spans="1:10">
      <c r="A2375" s="33" t="s">
        <v>94</v>
      </c>
      <c r="B2375" s="34">
        <v>341.64400000000001</v>
      </c>
      <c r="C2375" s="35">
        <v>34031.5</v>
      </c>
      <c r="D2375" s="33" t="s">
        <v>54</v>
      </c>
      <c r="E2375" s="34">
        <v>341.577</v>
      </c>
      <c r="F2375" s="36">
        <v>6.7000000000007304E-2</v>
      </c>
      <c r="G2375" s="34">
        <v>6.7000000000007304E-2</v>
      </c>
      <c r="H2375" s="35">
        <v>76.099999999999994</v>
      </c>
      <c r="I2375" s="37">
        <f t="shared" si="37"/>
        <v>2.2361635543540542E-3</v>
      </c>
      <c r="J2375" s="33"/>
    </row>
    <row r="2376" spans="1:10">
      <c r="A2376" s="33" t="s">
        <v>94</v>
      </c>
      <c r="B2376" s="34">
        <v>341.64400000000001</v>
      </c>
      <c r="C2376" s="35">
        <v>34031.5</v>
      </c>
      <c r="D2376" s="33" t="s">
        <v>277</v>
      </c>
      <c r="E2376" s="34">
        <v>341.58600000000001</v>
      </c>
      <c r="F2376" s="36">
        <v>5.7999999999992703E-2</v>
      </c>
      <c r="G2376" s="34">
        <v>5.7999999999992703E-2</v>
      </c>
      <c r="H2376" s="35">
        <v>67.599999999999994</v>
      </c>
      <c r="I2376" s="37">
        <f t="shared" si="37"/>
        <v>1.9863949576127997E-3</v>
      </c>
      <c r="J2376" s="33"/>
    </row>
    <row r="2377" spans="1:10">
      <c r="A2377" s="33" t="s">
        <v>94</v>
      </c>
      <c r="B2377" s="34">
        <v>341.64400000000001</v>
      </c>
      <c r="C2377" s="35">
        <v>34031.5</v>
      </c>
      <c r="D2377" s="33" t="s">
        <v>271</v>
      </c>
      <c r="E2377" s="34">
        <v>341.58800000000002</v>
      </c>
      <c r="F2377" s="36">
        <v>5.5999999999983202E-2</v>
      </c>
      <c r="G2377" s="34">
        <v>5.5999999999983202E-2</v>
      </c>
      <c r="H2377" s="35">
        <v>84.1</v>
      </c>
      <c r="I2377" s="37">
        <f t="shared" si="37"/>
        <v>2.4712398806987644E-3</v>
      </c>
      <c r="J2377" s="33"/>
    </row>
    <row r="2378" spans="1:10">
      <c r="A2378" s="33" t="s">
        <v>94</v>
      </c>
      <c r="B2378" s="34">
        <v>341.64400000000001</v>
      </c>
      <c r="C2378" s="35">
        <v>34031.5</v>
      </c>
      <c r="D2378" s="33" t="s">
        <v>273</v>
      </c>
      <c r="E2378" s="34">
        <v>341.59800000000001</v>
      </c>
      <c r="F2378" s="36">
        <v>4.5999999999992297E-2</v>
      </c>
      <c r="G2378" s="34">
        <v>4.5999999999992297E-2</v>
      </c>
      <c r="H2378" s="35">
        <v>28.6</v>
      </c>
      <c r="I2378" s="37">
        <f t="shared" si="37"/>
        <v>8.4039786668233842E-4</v>
      </c>
      <c r="J2378" s="33"/>
    </row>
    <row r="2379" spans="1:10">
      <c r="A2379" s="33" t="s">
        <v>94</v>
      </c>
      <c r="B2379" s="34">
        <v>341.64400000000001</v>
      </c>
      <c r="C2379" s="35">
        <v>34031.5</v>
      </c>
      <c r="D2379" s="33" t="s">
        <v>97</v>
      </c>
      <c r="E2379" s="34">
        <v>341.60199999999998</v>
      </c>
      <c r="F2379" s="36">
        <v>4.2000000000029999E-2</v>
      </c>
      <c r="G2379" s="34">
        <v>4.2000000000029999E-2</v>
      </c>
      <c r="H2379" s="35">
        <v>21</v>
      </c>
      <c r="I2379" s="37">
        <f t="shared" si="37"/>
        <v>6.1707535665486387E-4</v>
      </c>
      <c r="J2379" s="33"/>
    </row>
    <row r="2380" spans="1:10">
      <c r="A2380" s="33" t="s">
        <v>94</v>
      </c>
      <c r="B2380" s="34">
        <v>341.64400000000001</v>
      </c>
      <c r="C2380" s="35">
        <v>34031.5</v>
      </c>
      <c r="D2380" s="33" t="s">
        <v>277</v>
      </c>
      <c r="E2380" s="34">
        <v>341.61200000000002</v>
      </c>
      <c r="F2380" s="36">
        <v>3.19999999999823E-2</v>
      </c>
      <c r="G2380" s="34">
        <v>3.19999999999823E-2</v>
      </c>
      <c r="H2380" s="35">
        <v>132.9</v>
      </c>
      <c r="I2380" s="37">
        <f t="shared" si="37"/>
        <v>3.9052054714014957E-3</v>
      </c>
      <c r="J2380" s="33"/>
    </row>
    <row r="2381" spans="1:10">
      <c r="A2381" s="33" t="s">
        <v>94</v>
      </c>
      <c r="B2381" s="34">
        <v>341.64400000000001</v>
      </c>
      <c r="C2381" s="35">
        <v>34031.5</v>
      </c>
      <c r="D2381" s="33" t="s">
        <v>275</v>
      </c>
      <c r="E2381" s="34">
        <v>341.61399999999998</v>
      </c>
      <c r="F2381" s="36">
        <v>3.00000000000296E-2</v>
      </c>
      <c r="G2381" s="34">
        <v>3.00000000000296E-2</v>
      </c>
      <c r="H2381" s="35">
        <v>417</v>
      </c>
      <c r="I2381" s="37">
        <f t="shared" si="37"/>
        <v>1.2253353510718011E-2</v>
      </c>
      <c r="J2381" s="33"/>
    </row>
    <row r="2382" spans="1:10">
      <c r="A2382" s="33" t="s">
        <v>94</v>
      </c>
      <c r="B2382" s="34">
        <v>341.64400000000001</v>
      </c>
      <c r="C2382" s="35">
        <v>34031.5</v>
      </c>
      <c r="D2382" s="33" t="s">
        <v>201</v>
      </c>
      <c r="E2382" s="34">
        <v>341.62400000000002</v>
      </c>
      <c r="F2382" s="36">
        <v>1.99999999999818E-2</v>
      </c>
      <c r="G2382" s="34">
        <v>1.99999999999818E-2</v>
      </c>
      <c r="H2382" s="35">
        <v>1322.2</v>
      </c>
      <c r="I2382" s="37">
        <f t="shared" si="37"/>
        <v>3.8852239836621956E-2</v>
      </c>
      <c r="J2382" s="33"/>
    </row>
    <row r="2383" spans="1:10">
      <c r="A2383" s="33" t="s">
        <v>94</v>
      </c>
      <c r="B2383" s="34">
        <v>341.64400000000001</v>
      </c>
      <c r="C2383" s="35">
        <v>34031.5</v>
      </c>
      <c r="D2383" s="33" t="s">
        <v>25</v>
      </c>
      <c r="E2383" s="34">
        <v>341.65699999999998</v>
      </c>
      <c r="F2383" s="36">
        <v>1.2999999999976799E-2</v>
      </c>
      <c r="G2383" s="34">
        <v>1.2999999999976799E-2</v>
      </c>
      <c r="H2383" s="35">
        <v>294.5</v>
      </c>
      <c r="I2383" s="37">
        <f t="shared" si="37"/>
        <v>8.6537472635646387E-3</v>
      </c>
      <c r="J2383" s="33" t="s">
        <v>116</v>
      </c>
    </row>
    <row r="2384" spans="1:10">
      <c r="A2384" s="33" t="s">
        <v>94</v>
      </c>
      <c r="B2384" s="34">
        <v>341.64400000000001</v>
      </c>
      <c r="C2384" s="35">
        <v>34031.5</v>
      </c>
      <c r="D2384" s="33" t="s">
        <v>274</v>
      </c>
      <c r="E2384" s="34">
        <v>341.66199999999998</v>
      </c>
      <c r="F2384" s="36">
        <v>1.7999999999972299E-2</v>
      </c>
      <c r="G2384" s="34">
        <v>1.7999999999972299E-2</v>
      </c>
      <c r="H2384" s="35">
        <v>174.4</v>
      </c>
      <c r="I2384" s="37">
        <f t="shared" si="37"/>
        <v>5.1246639143146793E-3</v>
      </c>
      <c r="J2384" s="33"/>
    </row>
    <row r="2385" spans="1:10">
      <c r="A2385" s="33" t="s">
        <v>94</v>
      </c>
      <c r="B2385" s="34">
        <v>341.64400000000001</v>
      </c>
      <c r="C2385" s="35">
        <v>34031.5</v>
      </c>
      <c r="D2385" s="33" t="s">
        <v>184</v>
      </c>
      <c r="E2385" s="34">
        <v>341.66699999999997</v>
      </c>
      <c r="F2385" s="36">
        <v>2.2999999999967699E-2</v>
      </c>
      <c r="G2385" s="34">
        <v>2.2999999999967699E-2</v>
      </c>
      <c r="H2385" s="35">
        <v>32.4</v>
      </c>
      <c r="I2385" s="37">
        <f t="shared" si="37"/>
        <v>9.5205912169607563E-4</v>
      </c>
      <c r="J2385" s="33"/>
    </row>
    <row r="2386" spans="1:10">
      <c r="A2386" s="33" t="s">
        <v>94</v>
      </c>
      <c r="B2386" s="34">
        <v>341.64400000000001</v>
      </c>
      <c r="C2386" s="35">
        <v>34031.5</v>
      </c>
      <c r="D2386" s="33" t="s">
        <v>25</v>
      </c>
      <c r="E2386" s="34">
        <v>341.68599999999998</v>
      </c>
      <c r="F2386" s="36">
        <v>4.1999999999973198E-2</v>
      </c>
      <c r="G2386" s="34">
        <v>4.1999999999973198E-2</v>
      </c>
      <c r="H2386" s="35">
        <v>413.8</v>
      </c>
      <c r="I2386" s="37">
        <f t="shared" si="37"/>
        <v>1.2159322980180128E-2</v>
      </c>
      <c r="J2386" s="33" t="s">
        <v>116</v>
      </c>
    </row>
    <row r="2387" spans="1:10">
      <c r="A2387" s="33" t="s">
        <v>94</v>
      </c>
      <c r="B2387" s="34">
        <v>341.64400000000001</v>
      </c>
      <c r="C2387" s="35">
        <v>34031.5</v>
      </c>
      <c r="D2387" s="33" t="s">
        <v>237</v>
      </c>
      <c r="E2387" s="34">
        <v>341.69600000000003</v>
      </c>
      <c r="F2387" s="36">
        <v>5.2000000000020898E-2</v>
      </c>
      <c r="G2387" s="34">
        <v>5.2000000000020898E-2</v>
      </c>
      <c r="H2387" s="35">
        <v>323.10000000000002</v>
      </c>
      <c r="I2387" s="37">
        <f t="shared" si="37"/>
        <v>9.4941451302469771E-3</v>
      </c>
      <c r="J2387" s="33"/>
    </row>
    <row r="2388" spans="1:10">
      <c r="A2388" s="33" t="s">
        <v>94</v>
      </c>
      <c r="B2388" s="34">
        <v>341.64400000000001</v>
      </c>
      <c r="C2388" s="35">
        <v>34031.5</v>
      </c>
      <c r="D2388" s="33" t="s">
        <v>193</v>
      </c>
      <c r="E2388" s="34">
        <v>341.702</v>
      </c>
      <c r="F2388" s="36">
        <v>5.7999999999992703E-2</v>
      </c>
      <c r="G2388" s="34">
        <v>5.7999999999992703E-2</v>
      </c>
      <c r="H2388" s="35">
        <v>236.9</v>
      </c>
      <c r="I2388" s="37">
        <f t="shared" si="37"/>
        <v>6.9611977138827261E-3</v>
      </c>
      <c r="J2388" s="33"/>
    </row>
    <row r="2389" spans="1:10">
      <c r="A2389" s="33" t="s">
        <v>94</v>
      </c>
      <c r="B2389" s="34">
        <v>341.64400000000001</v>
      </c>
      <c r="C2389" s="35">
        <v>34031.5</v>
      </c>
      <c r="D2389" s="33" t="s">
        <v>33</v>
      </c>
      <c r="E2389" s="34">
        <v>341.71300000000002</v>
      </c>
      <c r="F2389" s="36">
        <v>6.9000000000016798E-2</v>
      </c>
      <c r="G2389" s="34">
        <v>6.9000000000016798E-2</v>
      </c>
      <c r="H2389" s="35">
        <v>872.2</v>
      </c>
      <c r="I2389" s="37">
        <f t="shared" si="37"/>
        <v>2.5629196479732014E-2</v>
      </c>
      <c r="J2389" s="33" t="s">
        <v>116</v>
      </c>
    </row>
    <row r="2390" spans="1:10">
      <c r="A2390" s="33" t="s">
        <v>94</v>
      </c>
      <c r="B2390" s="34">
        <v>341.64400000000001</v>
      </c>
      <c r="C2390" s="35">
        <v>34031.5</v>
      </c>
      <c r="D2390" s="33" t="s">
        <v>54</v>
      </c>
      <c r="E2390" s="34">
        <v>341.71600000000001</v>
      </c>
      <c r="F2390" s="36">
        <v>7.2000000000002701E-2</v>
      </c>
      <c r="G2390" s="34">
        <v>7.2000000000002701E-2</v>
      </c>
      <c r="H2390" s="35">
        <v>705.8</v>
      </c>
      <c r="I2390" s="37">
        <f t="shared" si="37"/>
        <v>2.0739608891762042E-2</v>
      </c>
      <c r="J2390" s="33"/>
    </row>
    <row r="2391" spans="1:10">
      <c r="A2391" s="33" t="s">
        <v>94</v>
      </c>
      <c r="B2391" s="34">
        <v>341.64400000000001</v>
      </c>
      <c r="C2391" s="35">
        <v>34031.5</v>
      </c>
      <c r="D2391" s="33" t="s">
        <v>268</v>
      </c>
      <c r="E2391" s="34">
        <v>341.733</v>
      </c>
      <c r="F2391" s="36">
        <v>8.8999999999998594E-2</v>
      </c>
      <c r="G2391" s="34">
        <v>8.8999999999998594E-2</v>
      </c>
      <c r="H2391" s="35">
        <v>1007.5</v>
      </c>
      <c r="I2391" s="37">
        <f t="shared" si="37"/>
        <v>2.9604924849036922E-2</v>
      </c>
      <c r="J2391" s="33"/>
    </row>
    <row r="2392" spans="1:10">
      <c r="A2392" s="33" t="s">
        <v>94</v>
      </c>
      <c r="B2392" s="34">
        <v>341.64400000000001</v>
      </c>
      <c r="C2392" s="35">
        <v>34031.5</v>
      </c>
      <c r="D2392" s="33" t="s">
        <v>269</v>
      </c>
      <c r="E2392" s="34">
        <v>341.73399999999998</v>
      </c>
      <c r="F2392" s="36">
        <v>8.9999999999975003E-2</v>
      </c>
      <c r="G2392" s="34">
        <v>8.9999999999975003E-2</v>
      </c>
      <c r="H2392" s="35">
        <v>55.5</v>
      </c>
      <c r="I2392" s="37">
        <f t="shared" si="37"/>
        <v>1.630842014016426E-3</v>
      </c>
      <c r="J2392" s="33"/>
    </row>
    <row r="2393" spans="1:10">
      <c r="A2393" s="33" t="s">
        <v>94</v>
      </c>
      <c r="B2393" s="34">
        <v>341.64400000000001</v>
      </c>
      <c r="C2393" s="35">
        <v>34031.5</v>
      </c>
      <c r="D2393" s="33" t="s">
        <v>25</v>
      </c>
      <c r="E2393" s="34">
        <v>341.745</v>
      </c>
      <c r="F2393" s="36">
        <v>0.10099999999999899</v>
      </c>
      <c r="G2393" s="34">
        <v>0.10099999999999899</v>
      </c>
      <c r="H2393" s="35">
        <v>959.2</v>
      </c>
      <c r="I2393" s="37">
        <f t="shared" si="37"/>
        <v>2.8185651528730735E-2</v>
      </c>
      <c r="J2393" s="33" t="s">
        <v>116</v>
      </c>
    </row>
    <row r="2394" spans="1:10">
      <c r="A2394" s="33" t="s">
        <v>94</v>
      </c>
      <c r="B2394" s="34">
        <v>341.64400000000001</v>
      </c>
      <c r="C2394" s="35">
        <v>34031.5</v>
      </c>
      <c r="D2394" s="33" t="s">
        <v>275</v>
      </c>
      <c r="E2394" s="34">
        <v>341.75099999999998</v>
      </c>
      <c r="F2394" s="36">
        <v>0.10699999999997099</v>
      </c>
      <c r="G2394" s="34">
        <v>0.10699999999997099</v>
      </c>
      <c r="H2394" s="35">
        <v>44</v>
      </c>
      <c r="I2394" s="37">
        <f t="shared" si="37"/>
        <v>1.2929197948959052E-3</v>
      </c>
      <c r="J2394" s="33"/>
    </row>
    <row r="2395" spans="1:10">
      <c r="A2395" s="33" t="s">
        <v>94</v>
      </c>
      <c r="B2395" s="34">
        <v>341.64400000000001</v>
      </c>
      <c r="C2395" s="35">
        <v>34031.5</v>
      </c>
      <c r="D2395" s="33" t="s">
        <v>54</v>
      </c>
      <c r="E2395" s="34">
        <v>341.767</v>
      </c>
      <c r="F2395" s="36">
        <v>0.12299999999999101</v>
      </c>
      <c r="G2395" s="34">
        <v>0.12299999999999101</v>
      </c>
      <c r="H2395" s="35">
        <v>26.6</v>
      </c>
      <c r="I2395" s="37">
        <f t="shared" si="37"/>
        <v>7.8162878509616097E-4</v>
      </c>
      <c r="J2395" s="33"/>
    </row>
    <row r="2396" spans="1:10">
      <c r="A2396" s="33" t="s">
        <v>94</v>
      </c>
      <c r="B2396" s="34">
        <v>341.64400000000001</v>
      </c>
      <c r="C2396" s="35">
        <v>34031.5</v>
      </c>
      <c r="D2396" s="33" t="s">
        <v>271</v>
      </c>
      <c r="E2396" s="34">
        <v>341.77199999999999</v>
      </c>
      <c r="F2396" s="36">
        <v>0.12799999999998601</v>
      </c>
      <c r="G2396" s="34">
        <v>0.12799999999998601</v>
      </c>
      <c r="H2396" s="35">
        <v>145.30000000000001</v>
      </c>
      <c r="I2396" s="37">
        <f t="shared" si="37"/>
        <v>4.2695737772357962E-3</v>
      </c>
      <c r="J2396" s="33"/>
    </row>
    <row r="2397" spans="1:10">
      <c r="A2397" s="33" t="s">
        <v>94</v>
      </c>
      <c r="B2397" s="34">
        <v>341.64400000000001</v>
      </c>
      <c r="C2397" s="35">
        <v>34031.5</v>
      </c>
      <c r="D2397" s="33" t="s">
        <v>279</v>
      </c>
      <c r="E2397" s="34">
        <v>341.77600000000001</v>
      </c>
      <c r="F2397" s="36">
        <v>0.132000000000005</v>
      </c>
      <c r="G2397" s="34">
        <v>0.132000000000005</v>
      </c>
      <c r="H2397" s="35">
        <v>14.7</v>
      </c>
      <c r="I2397" s="37">
        <f t="shared" si="37"/>
        <v>4.3195274965840468E-4</v>
      </c>
      <c r="J2397" s="33"/>
    </row>
    <row r="2398" spans="1:10">
      <c r="A2398" s="33" t="s">
        <v>94</v>
      </c>
      <c r="B2398" s="34">
        <v>341.64400000000001</v>
      </c>
      <c r="C2398" s="35">
        <v>34031.5</v>
      </c>
      <c r="D2398" s="33" t="s">
        <v>97</v>
      </c>
      <c r="E2398" s="34">
        <v>341.78399999999999</v>
      </c>
      <c r="F2398" s="36">
        <v>0.139999999999986</v>
      </c>
      <c r="G2398" s="34">
        <v>0.139999999999986</v>
      </c>
      <c r="H2398" s="35">
        <v>39.200000000000003</v>
      </c>
      <c r="I2398" s="37">
        <f t="shared" si="37"/>
        <v>1.1518739990890794E-3</v>
      </c>
      <c r="J2398" s="33"/>
    </row>
    <row r="2399" spans="1:10">
      <c r="A2399" s="33" t="s">
        <v>94</v>
      </c>
      <c r="B2399" s="34">
        <v>345.31400000000002</v>
      </c>
      <c r="C2399" s="35">
        <v>13088.5</v>
      </c>
      <c r="D2399" s="33" t="s">
        <v>275</v>
      </c>
      <c r="E2399" s="34">
        <v>345.17500000000001</v>
      </c>
      <c r="F2399" s="36">
        <v>0.13900000000001</v>
      </c>
      <c r="G2399" s="34">
        <v>0.13900000000001</v>
      </c>
      <c r="H2399" s="35">
        <v>42.8</v>
      </c>
      <c r="I2399" s="37">
        <f t="shared" si="37"/>
        <v>3.2700462237842376E-3</v>
      </c>
      <c r="J2399" s="33"/>
    </row>
    <row r="2400" spans="1:10">
      <c r="A2400" s="33" t="s">
        <v>94</v>
      </c>
      <c r="B2400" s="34">
        <v>345.31400000000002</v>
      </c>
      <c r="C2400" s="35">
        <v>13088.5</v>
      </c>
      <c r="D2400" s="33" t="s">
        <v>279</v>
      </c>
      <c r="E2400" s="34">
        <v>345.18700000000001</v>
      </c>
      <c r="F2400" s="36">
        <v>0.12700000000000999</v>
      </c>
      <c r="G2400" s="34">
        <v>0.12700000000000999</v>
      </c>
      <c r="H2400" s="35">
        <v>657.3</v>
      </c>
      <c r="I2400" s="37">
        <f t="shared" si="37"/>
        <v>5.0219658478817278E-2</v>
      </c>
      <c r="J2400" s="33"/>
    </row>
    <row r="2401" spans="1:10">
      <c r="A2401" s="33" t="s">
        <v>94</v>
      </c>
      <c r="B2401" s="34">
        <v>345.31400000000002</v>
      </c>
      <c r="C2401" s="35">
        <v>13088.5</v>
      </c>
      <c r="D2401" s="33" t="s">
        <v>97</v>
      </c>
      <c r="E2401" s="34">
        <v>345.19099999999997</v>
      </c>
      <c r="F2401" s="36">
        <v>0.123000000000047</v>
      </c>
      <c r="G2401" s="34">
        <v>0.123000000000047</v>
      </c>
      <c r="H2401" s="35">
        <v>10.3</v>
      </c>
      <c r="I2401" s="37">
        <f t="shared" si="37"/>
        <v>7.8695037628452461E-4</v>
      </c>
      <c r="J2401" s="33"/>
    </row>
    <row r="2402" spans="1:10">
      <c r="A2402" s="33" t="s">
        <v>94</v>
      </c>
      <c r="B2402" s="34">
        <v>345.31400000000002</v>
      </c>
      <c r="C2402" s="35">
        <v>13088.5</v>
      </c>
      <c r="D2402" s="33" t="s">
        <v>133</v>
      </c>
      <c r="E2402" s="34">
        <v>345.21800000000002</v>
      </c>
      <c r="F2402" s="36">
        <v>9.6000000000003596E-2</v>
      </c>
      <c r="G2402" s="34">
        <v>9.6000000000003596E-2</v>
      </c>
      <c r="H2402" s="35">
        <v>1286.2</v>
      </c>
      <c r="I2402" s="37">
        <f t="shared" si="37"/>
        <v>9.8269473201665583E-2</v>
      </c>
      <c r="J2402" s="33"/>
    </row>
    <row r="2403" spans="1:10">
      <c r="A2403" s="33" t="s">
        <v>94</v>
      </c>
      <c r="B2403" s="34">
        <v>345.31400000000002</v>
      </c>
      <c r="C2403" s="35">
        <v>13088.5</v>
      </c>
      <c r="D2403" s="33" t="s">
        <v>97</v>
      </c>
      <c r="E2403" s="34">
        <v>345.22800000000001</v>
      </c>
      <c r="F2403" s="36">
        <v>8.6000000000012705E-2</v>
      </c>
      <c r="G2403" s="34">
        <v>8.6000000000012705E-2</v>
      </c>
      <c r="H2403" s="35">
        <v>46</v>
      </c>
      <c r="I2403" s="37">
        <f t="shared" si="37"/>
        <v>3.5145356610765174E-3</v>
      </c>
      <c r="J2403" s="33"/>
    </row>
    <row r="2404" spans="1:10">
      <c r="A2404" s="33" t="s">
        <v>94</v>
      </c>
      <c r="B2404" s="34">
        <v>345.31400000000002</v>
      </c>
      <c r="C2404" s="35">
        <v>13088.5</v>
      </c>
      <c r="D2404" s="33" t="s">
        <v>269</v>
      </c>
      <c r="E2404" s="34">
        <v>345.23099999999999</v>
      </c>
      <c r="F2404" s="36">
        <v>8.3000000000026802E-2</v>
      </c>
      <c r="G2404" s="34">
        <v>8.3000000000026802E-2</v>
      </c>
      <c r="H2404" s="35">
        <v>9.3000000000000007</v>
      </c>
      <c r="I2404" s="37">
        <f t="shared" si="37"/>
        <v>7.1054742713068733E-4</v>
      </c>
      <c r="J2404" s="33"/>
    </row>
    <row r="2405" spans="1:10">
      <c r="A2405" s="33" t="s">
        <v>94</v>
      </c>
      <c r="B2405" s="34">
        <v>345.31400000000002</v>
      </c>
      <c r="C2405" s="35">
        <v>13088.5</v>
      </c>
      <c r="D2405" s="33" t="s">
        <v>54</v>
      </c>
      <c r="E2405" s="34">
        <v>345.23200000000003</v>
      </c>
      <c r="F2405" s="36">
        <v>8.1999999999993606E-2</v>
      </c>
      <c r="G2405" s="34">
        <v>8.1999999999993606E-2</v>
      </c>
      <c r="H2405" s="35">
        <v>9.1999999999999993</v>
      </c>
      <c r="I2405" s="37">
        <f t="shared" si="37"/>
        <v>7.029071322153035E-4</v>
      </c>
      <c r="J2405" s="33"/>
    </row>
    <row r="2406" spans="1:10">
      <c r="A2406" s="33" t="s">
        <v>94</v>
      </c>
      <c r="B2406" s="34">
        <v>345.31400000000002</v>
      </c>
      <c r="C2406" s="35">
        <v>13088.5</v>
      </c>
      <c r="D2406" s="33" t="s">
        <v>273</v>
      </c>
      <c r="E2406" s="34">
        <v>345.23399999999998</v>
      </c>
      <c r="F2406" s="36">
        <v>8.00000000000409E-2</v>
      </c>
      <c r="G2406" s="34">
        <v>8.00000000000409E-2</v>
      </c>
      <c r="H2406" s="35">
        <v>331.4</v>
      </c>
      <c r="I2406" s="37">
        <f t="shared" si="37"/>
        <v>2.5319937349581691E-2</v>
      </c>
      <c r="J2406" s="33"/>
    </row>
    <row r="2407" spans="1:10">
      <c r="A2407" s="33" t="s">
        <v>94</v>
      </c>
      <c r="B2407" s="34">
        <v>345.31400000000002</v>
      </c>
      <c r="C2407" s="35">
        <v>13088.5</v>
      </c>
      <c r="D2407" s="33" t="s">
        <v>63</v>
      </c>
      <c r="E2407" s="34">
        <v>345.24</v>
      </c>
      <c r="F2407" s="36">
        <v>7.3999999999999996E-2</v>
      </c>
      <c r="G2407" s="34">
        <v>7.3999999999999996E-2</v>
      </c>
      <c r="H2407" s="35">
        <v>197</v>
      </c>
      <c r="I2407" s="37">
        <f t="shared" si="37"/>
        <v>1.5051380983305955E-2</v>
      </c>
      <c r="J2407" s="33" t="s">
        <v>116</v>
      </c>
    </row>
    <row r="2408" spans="1:10">
      <c r="A2408" s="33" t="s">
        <v>94</v>
      </c>
      <c r="B2408" s="34">
        <v>345.31400000000002</v>
      </c>
      <c r="C2408" s="35">
        <v>13088.5</v>
      </c>
      <c r="D2408" s="33" t="s">
        <v>240</v>
      </c>
      <c r="E2408" s="34">
        <v>345.24799999999999</v>
      </c>
      <c r="F2408" s="36">
        <v>6.6000000000030895E-2</v>
      </c>
      <c r="G2408" s="34">
        <v>6.6000000000030895E-2</v>
      </c>
      <c r="H2408" s="35">
        <v>28</v>
      </c>
      <c r="I2408" s="37">
        <f t="shared" si="37"/>
        <v>2.1392825763074455E-3</v>
      </c>
      <c r="J2408" s="33"/>
    </row>
    <row r="2409" spans="1:10">
      <c r="A2409" s="33" t="s">
        <v>94</v>
      </c>
      <c r="B2409" s="34">
        <v>345.31400000000002</v>
      </c>
      <c r="C2409" s="35">
        <v>13088.5</v>
      </c>
      <c r="D2409" s="33" t="s">
        <v>237</v>
      </c>
      <c r="E2409" s="34">
        <v>345.24799999999999</v>
      </c>
      <c r="F2409" s="36">
        <v>6.6000000000030895E-2</v>
      </c>
      <c r="G2409" s="34">
        <v>6.6000000000030895E-2</v>
      </c>
      <c r="H2409" s="35">
        <v>658.6</v>
      </c>
      <c r="I2409" s="37">
        <f t="shared" si="37"/>
        <v>5.0318982312717274E-2</v>
      </c>
      <c r="J2409" s="33"/>
    </row>
    <row r="2410" spans="1:10">
      <c r="A2410" s="33" t="s">
        <v>94</v>
      </c>
      <c r="B2410" s="34">
        <v>345.31400000000002</v>
      </c>
      <c r="C2410" s="35">
        <v>13088.5</v>
      </c>
      <c r="D2410" s="33" t="s">
        <v>25</v>
      </c>
      <c r="E2410" s="34">
        <v>345.25400000000002</v>
      </c>
      <c r="F2410" s="36">
        <v>6.0000000000002301E-2</v>
      </c>
      <c r="G2410" s="34">
        <v>6.0000000000002301E-2</v>
      </c>
      <c r="H2410" s="35">
        <v>63.4</v>
      </c>
      <c r="I2410" s="37">
        <f t="shared" si="37"/>
        <v>4.8439469763532873E-3</v>
      </c>
      <c r="J2410" s="33" t="s">
        <v>116</v>
      </c>
    </row>
    <row r="2411" spans="1:10">
      <c r="A2411" s="33" t="s">
        <v>94</v>
      </c>
      <c r="B2411" s="34">
        <v>345.31400000000002</v>
      </c>
      <c r="C2411" s="35">
        <v>13088.5</v>
      </c>
      <c r="D2411" s="33" t="s">
        <v>275</v>
      </c>
      <c r="E2411" s="34">
        <v>345.26</v>
      </c>
      <c r="F2411" s="36">
        <v>5.4000000000030503E-2</v>
      </c>
      <c r="G2411" s="34">
        <v>5.4000000000030503E-2</v>
      </c>
      <c r="H2411" s="35">
        <v>29.2</v>
      </c>
      <c r="I2411" s="37">
        <f t="shared" si="37"/>
        <v>2.2309661152920502E-3</v>
      </c>
      <c r="J2411" s="33"/>
    </row>
    <row r="2412" spans="1:10">
      <c r="A2412" s="33" t="s">
        <v>94</v>
      </c>
      <c r="B2412" s="34">
        <v>345.31400000000002</v>
      </c>
      <c r="C2412" s="35">
        <v>13088.5</v>
      </c>
      <c r="D2412" s="33" t="s">
        <v>271</v>
      </c>
      <c r="E2412" s="34">
        <v>345.26799999999997</v>
      </c>
      <c r="F2412" s="36">
        <v>4.6000000000049099E-2</v>
      </c>
      <c r="G2412" s="34">
        <v>4.6000000000049099E-2</v>
      </c>
      <c r="H2412" s="35">
        <v>667.7</v>
      </c>
      <c r="I2412" s="37">
        <f t="shared" si="37"/>
        <v>5.1014249150017191E-2</v>
      </c>
      <c r="J2412" s="33"/>
    </row>
    <row r="2413" spans="1:10">
      <c r="A2413" s="33" t="s">
        <v>94</v>
      </c>
      <c r="B2413" s="34">
        <v>345.31400000000002</v>
      </c>
      <c r="C2413" s="35">
        <v>13088.5</v>
      </c>
      <c r="D2413" s="33" t="s">
        <v>277</v>
      </c>
      <c r="E2413" s="34">
        <v>345.27300000000002</v>
      </c>
      <c r="F2413" s="36">
        <v>4.0999999999996803E-2</v>
      </c>
      <c r="G2413" s="34">
        <v>4.0999999999996803E-2</v>
      </c>
      <c r="H2413" s="35">
        <v>91.2</v>
      </c>
      <c r="I2413" s="37">
        <f t="shared" si="37"/>
        <v>6.9679489628299658E-3</v>
      </c>
      <c r="J2413" s="33"/>
    </row>
    <row r="2414" spans="1:10">
      <c r="A2414" s="33" t="s">
        <v>94</v>
      </c>
      <c r="B2414" s="34">
        <v>345.31400000000002</v>
      </c>
      <c r="C2414" s="35">
        <v>13088.5</v>
      </c>
      <c r="D2414" s="33" t="s">
        <v>270</v>
      </c>
      <c r="E2414" s="34">
        <v>345.27699999999999</v>
      </c>
      <c r="F2414" s="36">
        <v>3.7000000000034602E-2</v>
      </c>
      <c r="G2414" s="34">
        <v>3.7000000000034602E-2</v>
      </c>
      <c r="H2414" s="35">
        <v>448.4</v>
      </c>
      <c r="I2414" s="37">
        <f t="shared" si="37"/>
        <v>3.4259082400580662E-2</v>
      </c>
      <c r="J2414" s="33"/>
    </row>
    <row r="2415" spans="1:10">
      <c r="A2415" s="33" t="s">
        <v>94</v>
      </c>
      <c r="B2415" s="34">
        <v>345.31400000000002</v>
      </c>
      <c r="C2415" s="35">
        <v>13088.5</v>
      </c>
      <c r="D2415" s="33" t="s">
        <v>165</v>
      </c>
      <c r="E2415" s="34">
        <v>345.28800000000001</v>
      </c>
      <c r="F2415" s="36">
        <v>2.6000000000010501E-2</v>
      </c>
      <c r="G2415" s="34">
        <v>2.6000000000010501E-2</v>
      </c>
      <c r="H2415" s="35">
        <v>848.6</v>
      </c>
      <c r="I2415" s="37">
        <f t="shared" si="37"/>
        <v>6.4835542651946368E-2</v>
      </c>
      <c r="J2415" s="33"/>
    </row>
    <row r="2416" spans="1:10">
      <c r="A2416" s="33" t="s">
        <v>94</v>
      </c>
      <c r="B2416" s="34">
        <v>345.31400000000002</v>
      </c>
      <c r="C2416" s="35">
        <v>13088.5</v>
      </c>
      <c r="D2416" s="33" t="s">
        <v>268</v>
      </c>
      <c r="E2416" s="34">
        <v>345.291</v>
      </c>
      <c r="F2416" s="36">
        <v>2.3000000000024601E-2</v>
      </c>
      <c r="G2416" s="34">
        <v>2.3000000000024601E-2</v>
      </c>
      <c r="H2416" s="35">
        <v>9.6999999999999993</v>
      </c>
      <c r="I2416" s="37">
        <f t="shared" si="37"/>
        <v>7.4110860679222213E-4</v>
      </c>
      <c r="J2416" s="33"/>
    </row>
    <row r="2417" spans="1:10">
      <c r="A2417" s="33" t="s">
        <v>94</v>
      </c>
      <c r="B2417" s="34">
        <v>345.31400000000002</v>
      </c>
      <c r="C2417" s="35">
        <v>13088.5</v>
      </c>
      <c r="D2417" s="33" t="s">
        <v>97</v>
      </c>
      <c r="E2417" s="34">
        <v>345.30200000000002</v>
      </c>
      <c r="F2417" s="36">
        <v>1.20000000000005E-2</v>
      </c>
      <c r="G2417" s="34">
        <v>1.20000000000005E-2</v>
      </c>
      <c r="H2417" s="35">
        <v>2.4</v>
      </c>
      <c r="I2417" s="37">
        <f t="shared" si="37"/>
        <v>1.833670779692096E-4</v>
      </c>
      <c r="J2417" s="33"/>
    </row>
    <row r="2418" spans="1:10">
      <c r="A2418" s="33" t="s">
        <v>94</v>
      </c>
      <c r="B2418" s="34">
        <v>345.31400000000002</v>
      </c>
      <c r="C2418" s="35">
        <v>13088.5</v>
      </c>
      <c r="D2418" s="33" t="s">
        <v>278</v>
      </c>
      <c r="E2418" s="34">
        <v>345.31299999999999</v>
      </c>
      <c r="F2418" s="36">
        <v>1.0000000000332E-3</v>
      </c>
      <c r="G2418" s="34">
        <v>1.0000000000332E-3</v>
      </c>
      <c r="H2418" s="35">
        <v>104.4</v>
      </c>
      <c r="I2418" s="37">
        <f t="shared" si="37"/>
        <v>7.9764678916606178E-3</v>
      </c>
      <c r="J2418" s="33"/>
    </row>
    <row r="2419" spans="1:10">
      <c r="A2419" s="33" t="s">
        <v>94</v>
      </c>
      <c r="B2419" s="34">
        <v>345.31400000000002</v>
      </c>
      <c r="C2419" s="35">
        <v>13088.5</v>
      </c>
      <c r="D2419" s="33" t="s">
        <v>133</v>
      </c>
      <c r="E2419" s="34">
        <v>345.31599999999997</v>
      </c>
      <c r="F2419" s="36">
        <v>1.9999999999527102E-3</v>
      </c>
      <c r="G2419" s="34">
        <v>1.9999999999527102E-3</v>
      </c>
      <c r="H2419" s="35">
        <v>1421.3</v>
      </c>
      <c r="I2419" s="37">
        <f t="shared" si="37"/>
        <v>0.10859151163234901</v>
      </c>
      <c r="J2419" s="33"/>
    </row>
    <row r="2420" spans="1:10">
      <c r="A2420" s="33" t="s">
        <v>94</v>
      </c>
      <c r="B2420" s="34">
        <v>345.31400000000002</v>
      </c>
      <c r="C2420" s="35">
        <v>13088.5</v>
      </c>
      <c r="D2420" s="33" t="s">
        <v>25</v>
      </c>
      <c r="E2420" s="34">
        <v>345.32400000000001</v>
      </c>
      <c r="F2420" s="36">
        <v>9.9999999999909103E-3</v>
      </c>
      <c r="G2420" s="34">
        <v>9.9999999999909103E-3</v>
      </c>
      <c r="H2420" s="35">
        <v>49.3</v>
      </c>
      <c r="I2420" s="37">
        <f t="shared" si="37"/>
        <v>3.7666653932841806E-3</v>
      </c>
      <c r="J2420" s="33" t="s">
        <v>116</v>
      </c>
    </row>
    <row r="2421" spans="1:10">
      <c r="A2421" s="33" t="s">
        <v>94</v>
      </c>
      <c r="B2421" s="34">
        <v>345.31400000000002</v>
      </c>
      <c r="C2421" s="35">
        <v>13088.5</v>
      </c>
      <c r="D2421" s="33" t="s">
        <v>239</v>
      </c>
      <c r="E2421" s="34">
        <v>345.33199999999999</v>
      </c>
      <c r="F2421" s="36">
        <v>1.7999999999972299E-2</v>
      </c>
      <c r="G2421" s="34">
        <v>1.7999999999972299E-2</v>
      </c>
      <c r="H2421" s="35">
        <v>477</v>
      </c>
      <c r="I2421" s="37">
        <f t="shared" si="37"/>
        <v>3.6444206746380409E-2</v>
      </c>
      <c r="J2421" s="33"/>
    </row>
    <row r="2422" spans="1:10">
      <c r="A2422" s="33" t="s">
        <v>94</v>
      </c>
      <c r="B2422" s="34">
        <v>345.31400000000002</v>
      </c>
      <c r="C2422" s="35">
        <v>13088.5</v>
      </c>
      <c r="D2422" s="33" t="s">
        <v>275</v>
      </c>
      <c r="E2422" s="34">
        <v>345.33699999999999</v>
      </c>
      <c r="F2422" s="36">
        <v>2.2999999999967699E-2</v>
      </c>
      <c r="G2422" s="34">
        <v>2.2999999999967699E-2</v>
      </c>
      <c r="H2422" s="35">
        <v>47</v>
      </c>
      <c r="I2422" s="37">
        <f t="shared" si="37"/>
        <v>3.5909386102303551E-3</v>
      </c>
      <c r="J2422" s="33"/>
    </row>
    <row r="2423" spans="1:10">
      <c r="A2423" s="33" t="s">
        <v>94</v>
      </c>
      <c r="B2423" s="34">
        <v>345.31400000000002</v>
      </c>
      <c r="C2423" s="35">
        <v>13088.5</v>
      </c>
      <c r="D2423" s="33" t="s">
        <v>279</v>
      </c>
      <c r="E2423" s="34">
        <v>345.34899999999999</v>
      </c>
      <c r="F2423" s="36">
        <v>3.4999999999968202E-2</v>
      </c>
      <c r="G2423" s="34">
        <v>3.4999999999968202E-2</v>
      </c>
      <c r="H2423" s="35">
        <v>13.6</v>
      </c>
      <c r="I2423" s="37">
        <f t="shared" si="37"/>
        <v>1.0390801084921878E-3</v>
      </c>
      <c r="J2423" s="33"/>
    </row>
    <row r="2424" spans="1:10">
      <c r="A2424" s="33" t="s">
        <v>94</v>
      </c>
      <c r="B2424" s="34">
        <v>345.31400000000002</v>
      </c>
      <c r="C2424" s="35">
        <v>13088.5</v>
      </c>
      <c r="D2424" s="33" t="s">
        <v>54</v>
      </c>
      <c r="E2424" s="34">
        <v>345.351</v>
      </c>
      <c r="F2424" s="36">
        <v>3.6999999999977697E-2</v>
      </c>
      <c r="G2424" s="34">
        <v>3.6999999999977697E-2</v>
      </c>
      <c r="H2424" s="35">
        <v>5096.5</v>
      </c>
      <c r="I2424" s="37">
        <f t="shared" si="37"/>
        <v>0.38938763036253199</v>
      </c>
      <c r="J2424" s="33"/>
    </row>
    <row r="2425" spans="1:10">
      <c r="A2425" s="33" t="s">
        <v>94</v>
      </c>
      <c r="B2425" s="34">
        <v>345.31400000000002</v>
      </c>
      <c r="C2425" s="35">
        <v>13088.5</v>
      </c>
      <c r="D2425" s="33" t="s">
        <v>271</v>
      </c>
      <c r="E2425" s="34">
        <v>345.351</v>
      </c>
      <c r="F2425" s="36">
        <v>3.6999999999977697E-2</v>
      </c>
      <c r="G2425" s="34">
        <v>3.6999999999977697E-2</v>
      </c>
      <c r="H2425" s="35">
        <v>103.8</v>
      </c>
      <c r="I2425" s="37">
        <f t="shared" si="37"/>
        <v>7.930626122168315E-3</v>
      </c>
      <c r="J2425" s="33"/>
    </row>
    <row r="2426" spans="1:10">
      <c r="A2426" s="33" t="s">
        <v>94</v>
      </c>
      <c r="B2426" s="34">
        <v>345.31400000000002</v>
      </c>
      <c r="C2426" s="35">
        <v>13088.5</v>
      </c>
      <c r="D2426" s="33" t="s">
        <v>269</v>
      </c>
      <c r="E2426" s="34">
        <v>345.35500000000002</v>
      </c>
      <c r="F2426" s="36">
        <v>4.0999999999996803E-2</v>
      </c>
      <c r="G2426" s="34">
        <v>4.0999999999996803E-2</v>
      </c>
      <c r="H2426" s="35">
        <v>5.5</v>
      </c>
      <c r="I2426" s="37">
        <f t="shared" si="37"/>
        <v>4.2021622034610535E-4</v>
      </c>
      <c r="J2426" s="33"/>
    </row>
    <row r="2427" spans="1:10">
      <c r="A2427" s="33" t="s">
        <v>94</v>
      </c>
      <c r="B2427" s="34">
        <v>345.31400000000002</v>
      </c>
      <c r="C2427" s="35">
        <v>13088.5</v>
      </c>
      <c r="D2427" s="33" t="s">
        <v>270</v>
      </c>
      <c r="E2427" s="34">
        <v>345.35599999999999</v>
      </c>
      <c r="F2427" s="36">
        <v>4.1999999999973198E-2</v>
      </c>
      <c r="G2427" s="34">
        <v>4.1999999999973198E-2</v>
      </c>
      <c r="H2427" s="35">
        <v>614.5</v>
      </c>
      <c r="I2427" s="37">
        <f t="shared" si="37"/>
        <v>4.6949612255033045E-2</v>
      </c>
      <c r="J2427" s="33"/>
    </row>
    <row r="2428" spans="1:10">
      <c r="A2428" s="33" t="s">
        <v>94</v>
      </c>
      <c r="B2428" s="34">
        <v>345.31400000000002</v>
      </c>
      <c r="C2428" s="35">
        <v>13088.5</v>
      </c>
      <c r="D2428" s="33" t="s">
        <v>277</v>
      </c>
      <c r="E2428" s="34">
        <v>345.35700000000003</v>
      </c>
      <c r="F2428" s="36">
        <v>4.3000000000006401E-2</v>
      </c>
      <c r="G2428" s="34">
        <v>4.3000000000006401E-2</v>
      </c>
      <c r="H2428" s="35">
        <v>303.7</v>
      </c>
      <c r="I2428" s="37">
        <f t="shared" si="37"/>
        <v>2.3203575658020399E-2</v>
      </c>
      <c r="J2428" s="33"/>
    </row>
    <row r="2429" spans="1:10">
      <c r="A2429" s="33" t="s">
        <v>94</v>
      </c>
      <c r="B2429" s="34">
        <v>345.31400000000002</v>
      </c>
      <c r="C2429" s="35">
        <v>13088.5</v>
      </c>
      <c r="D2429" s="33" t="s">
        <v>184</v>
      </c>
      <c r="E2429" s="34">
        <v>345.37</v>
      </c>
      <c r="F2429" s="36">
        <v>5.5999999999983202E-2</v>
      </c>
      <c r="G2429" s="34">
        <v>5.5999999999983202E-2</v>
      </c>
      <c r="H2429" s="35">
        <v>13.9</v>
      </c>
      <c r="I2429" s="37">
        <f t="shared" si="37"/>
        <v>1.062000993238339E-3</v>
      </c>
      <c r="J2429" s="33"/>
    </row>
    <row r="2430" spans="1:10">
      <c r="A2430" s="33" t="s">
        <v>94</v>
      </c>
      <c r="B2430" s="34">
        <v>345.31400000000002</v>
      </c>
      <c r="C2430" s="35">
        <v>13088.5</v>
      </c>
      <c r="D2430" s="33" t="s">
        <v>239</v>
      </c>
      <c r="E2430" s="34">
        <v>345.37400000000002</v>
      </c>
      <c r="F2430" s="36">
        <v>6.0000000000002301E-2</v>
      </c>
      <c r="G2430" s="34">
        <v>6.0000000000002301E-2</v>
      </c>
      <c r="H2430" s="35">
        <v>8.1999999999999993</v>
      </c>
      <c r="I2430" s="37">
        <f t="shared" si="37"/>
        <v>6.2650418306146611E-4</v>
      </c>
      <c r="J2430" s="33"/>
    </row>
    <row r="2431" spans="1:10">
      <c r="A2431" s="33" t="s">
        <v>94</v>
      </c>
      <c r="B2431" s="34">
        <v>345.31400000000002</v>
      </c>
      <c r="C2431" s="35">
        <v>13088.5</v>
      </c>
      <c r="D2431" s="33" t="s">
        <v>201</v>
      </c>
      <c r="E2431" s="34">
        <v>345.40600000000001</v>
      </c>
      <c r="F2431" s="36">
        <v>9.1999999999984497E-2</v>
      </c>
      <c r="G2431" s="34">
        <v>9.1999999999984497E-2</v>
      </c>
      <c r="H2431" s="35">
        <v>3248.6</v>
      </c>
      <c r="I2431" s="37">
        <f t="shared" si="37"/>
        <v>0.24820262062115597</v>
      </c>
      <c r="J2431" s="33"/>
    </row>
    <row r="2432" spans="1:10">
      <c r="A2432" s="33" t="s">
        <v>94</v>
      </c>
      <c r="B2432" s="34">
        <v>345.31400000000002</v>
      </c>
      <c r="C2432" s="35">
        <v>13088.5</v>
      </c>
      <c r="D2432" s="33" t="s">
        <v>63</v>
      </c>
      <c r="E2432" s="34">
        <v>345.40699999999998</v>
      </c>
      <c r="F2432" s="36">
        <v>9.2999999999999999E-2</v>
      </c>
      <c r="G2432" s="34">
        <v>9.2999999999999999E-2</v>
      </c>
      <c r="H2432" s="35">
        <v>2991.7</v>
      </c>
      <c r="I2432" s="37">
        <f t="shared" si="37"/>
        <v>0.22857470298353516</v>
      </c>
      <c r="J2432" s="33" t="s">
        <v>116</v>
      </c>
    </row>
    <row r="2433" spans="1:10">
      <c r="A2433" s="33" t="s">
        <v>94</v>
      </c>
      <c r="B2433" s="34">
        <v>345.31400000000002</v>
      </c>
      <c r="C2433" s="35">
        <v>13088.5</v>
      </c>
      <c r="D2433" s="33" t="s">
        <v>36</v>
      </c>
      <c r="E2433" s="34">
        <v>345.41500000000002</v>
      </c>
      <c r="F2433" s="36">
        <v>0.10100000000000001</v>
      </c>
      <c r="G2433" s="34">
        <v>0.10100000000000001</v>
      </c>
      <c r="H2433" s="35">
        <v>1788.3</v>
      </c>
      <c r="I2433" s="37">
        <f t="shared" si="37"/>
        <v>0.13663139397180732</v>
      </c>
      <c r="J2433" s="33" t="s">
        <v>116</v>
      </c>
    </row>
    <row r="2434" spans="1:10">
      <c r="A2434" s="33" t="s">
        <v>94</v>
      </c>
      <c r="B2434" s="34">
        <v>345.31400000000002</v>
      </c>
      <c r="C2434" s="35">
        <v>13088.5</v>
      </c>
      <c r="D2434" s="33" t="s">
        <v>165</v>
      </c>
      <c r="E2434" s="34">
        <v>345.416</v>
      </c>
      <c r="F2434" s="36">
        <v>0.101999999999975</v>
      </c>
      <c r="G2434" s="34">
        <v>0.101999999999975</v>
      </c>
      <c r="H2434" s="35">
        <v>15</v>
      </c>
      <c r="I2434" s="37">
        <f t="shared" ref="I2434:I2497" si="38">H2434/C2434</f>
        <v>1.14604423730756E-3</v>
      </c>
      <c r="J2434" s="33"/>
    </row>
    <row r="2435" spans="1:10">
      <c r="A2435" s="33" t="s">
        <v>94</v>
      </c>
      <c r="B2435" s="34">
        <v>345.31400000000002</v>
      </c>
      <c r="C2435" s="35">
        <v>13088.5</v>
      </c>
      <c r="D2435" s="33" t="s">
        <v>54</v>
      </c>
      <c r="E2435" s="34">
        <v>345.42099999999999</v>
      </c>
      <c r="F2435" s="36">
        <v>0.10699999999997099</v>
      </c>
      <c r="G2435" s="34">
        <v>0.10699999999997099</v>
      </c>
      <c r="H2435" s="35">
        <v>10.3</v>
      </c>
      <c r="I2435" s="37">
        <f t="shared" si="38"/>
        <v>7.8695037628452461E-4</v>
      </c>
      <c r="J2435" s="33"/>
    </row>
    <row r="2436" spans="1:10">
      <c r="A2436" s="33" t="s">
        <v>94</v>
      </c>
      <c r="B2436" s="34">
        <v>345.31400000000002</v>
      </c>
      <c r="C2436" s="35">
        <v>13088.5</v>
      </c>
      <c r="D2436" s="33" t="s">
        <v>271</v>
      </c>
      <c r="E2436" s="34">
        <v>345.42099999999999</v>
      </c>
      <c r="F2436" s="36">
        <v>0.10699999999997099</v>
      </c>
      <c r="G2436" s="34">
        <v>0.10699999999997099</v>
      </c>
      <c r="H2436" s="35">
        <v>183.9</v>
      </c>
      <c r="I2436" s="37">
        <f t="shared" si="38"/>
        <v>1.4050502349390688E-2</v>
      </c>
      <c r="J2436" s="33"/>
    </row>
    <row r="2437" spans="1:10">
      <c r="A2437" s="33" t="s">
        <v>94</v>
      </c>
      <c r="B2437" s="34">
        <v>345.31400000000002</v>
      </c>
      <c r="C2437" s="35">
        <v>13088.5</v>
      </c>
      <c r="D2437" s="33" t="s">
        <v>275</v>
      </c>
      <c r="E2437" s="34">
        <v>345.42200000000003</v>
      </c>
      <c r="F2437" s="36">
        <v>0.108000000000004</v>
      </c>
      <c r="G2437" s="34">
        <v>0.108000000000004</v>
      </c>
      <c r="H2437" s="35">
        <v>8.9</v>
      </c>
      <c r="I2437" s="37">
        <f t="shared" si="38"/>
        <v>6.7998624746915231E-4</v>
      </c>
      <c r="J2437" s="33"/>
    </row>
    <row r="2438" spans="1:10">
      <c r="A2438" s="33" t="s">
        <v>94</v>
      </c>
      <c r="B2438" s="34">
        <v>345.6</v>
      </c>
      <c r="C2438" s="35">
        <v>65730.5</v>
      </c>
      <c r="D2438" s="33" t="s">
        <v>54</v>
      </c>
      <c r="E2438" s="34">
        <v>345.42099999999999</v>
      </c>
      <c r="F2438" s="36">
        <v>0.179000000000031</v>
      </c>
      <c r="G2438" s="34">
        <v>0.179000000000031</v>
      </c>
      <c r="H2438" s="35">
        <v>10.3</v>
      </c>
      <c r="I2438" s="37">
        <f t="shared" si="38"/>
        <v>1.5670046629798952E-4</v>
      </c>
      <c r="J2438" s="33"/>
    </row>
    <row r="2439" spans="1:10">
      <c r="A2439" s="33" t="s">
        <v>94</v>
      </c>
      <c r="B2439" s="34">
        <v>345.6</v>
      </c>
      <c r="C2439" s="35">
        <v>65730.5</v>
      </c>
      <c r="D2439" s="33" t="s">
        <v>271</v>
      </c>
      <c r="E2439" s="34">
        <v>345.42099999999999</v>
      </c>
      <c r="F2439" s="36">
        <v>0.179000000000031</v>
      </c>
      <c r="G2439" s="34">
        <v>0.179000000000031</v>
      </c>
      <c r="H2439" s="35">
        <v>183.9</v>
      </c>
      <c r="I2439" s="37">
        <f t="shared" si="38"/>
        <v>2.7977879371068226E-3</v>
      </c>
      <c r="J2439" s="33"/>
    </row>
    <row r="2440" spans="1:10">
      <c r="A2440" s="33" t="s">
        <v>94</v>
      </c>
      <c r="B2440" s="34">
        <v>345.6</v>
      </c>
      <c r="C2440" s="35">
        <v>65730.5</v>
      </c>
      <c r="D2440" s="33" t="s">
        <v>275</v>
      </c>
      <c r="E2440" s="34">
        <v>345.42200000000003</v>
      </c>
      <c r="F2440" s="36">
        <v>0.17799999999999699</v>
      </c>
      <c r="G2440" s="34">
        <v>0.17799999999999699</v>
      </c>
      <c r="H2440" s="35">
        <v>8.9</v>
      </c>
      <c r="I2440" s="37">
        <f t="shared" si="38"/>
        <v>1.3540137379146666E-4</v>
      </c>
      <c r="J2440" s="33"/>
    </row>
    <row r="2441" spans="1:10">
      <c r="A2441" s="33" t="s">
        <v>94</v>
      </c>
      <c r="B2441" s="34">
        <v>345.6</v>
      </c>
      <c r="C2441" s="35">
        <v>65730.5</v>
      </c>
      <c r="D2441" s="33" t="s">
        <v>33</v>
      </c>
      <c r="E2441" s="34">
        <v>345.43200000000002</v>
      </c>
      <c r="F2441" s="36">
        <v>0.16800000000000601</v>
      </c>
      <c r="G2441" s="34">
        <v>0.16800000000000601</v>
      </c>
      <c r="H2441" s="35">
        <v>7263</v>
      </c>
      <c r="I2441" s="37">
        <f t="shared" si="38"/>
        <v>0.1104966491963396</v>
      </c>
      <c r="J2441" s="33" t="s">
        <v>116</v>
      </c>
    </row>
    <row r="2442" spans="1:10">
      <c r="A2442" s="33" t="s">
        <v>94</v>
      </c>
      <c r="B2442" s="34">
        <v>345.6</v>
      </c>
      <c r="C2442" s="35">
        <v>65730.5</v>
      </c>
      <c r="D2442" s="33" t="s">
        <v>27</v>
      </c>
      <c r="E2442" s="34">
        <v>345.43900000000002</v>
      </c>
      <c r="F2442" s="36">
        <v>0.161000000000001</v>
      </c>
      <c r="G2442" s="34">
        <v>0.161000000000001</v>
      </c>
      <c r="H2442" s="35">
        <v>125.4</v>
      </c>
      <c r="I2442" s="37">
        <f t="shared" si="38"/>
        <v>1.9077901430842607E-3</v>
      </c>
      <c r="J2442" s="33" t="s">
        <v>116</v>
      </c>
    </row>
    <row r="2443" spans="1:10">
      <c r="A2443" s="33" t="s">
        <v>94</v>
      </c>
      <c r="B2443" s="34">
        <v>345.6</v>
      </c>
      <c r="C2443" s="35">
        <v>65730.5</v>
      </c>
      <c r="D2443" s="33" t="s">
        <v>25</v>
      </c>
      <c r="E2443" s="34">
        <v>345.447</v>
      </c>
      <c r="F2443" s="36">
        <v>0.15300000000002001</v>
      </c>
      <c r="G2443" s="34">
        <v>0.15300000000002001</v>
      </c>
      <c r="H2443" s="35">
        <v>90.5</v>
      </c>
      <c r="I2443" s="37">
        <f t="shared" si="38"/>
        <v>1.3768341941716555E-3</v>
      </c>
      <c r="J2443" s="33" t="s">
        <v>116</v>
      </c>
    </row>
    <row r="2444" spans="1:10">
      <c r="A2444" s="33" t="s">
        <v>94</v>
      </c>
      <c r="B2444" s="34">
        <v>345.6</v>
      </c>
      <c r="C2444" s="35">
        <v>65730.5</v>
      </c>
      <c r="D2444" s="33" t="s">
        <v>236</v>
      </c>
      <c r="E2444" s="34">
        <v>345.45400000000001</v>
      </c>
      <c r="F2444" s="36">
        <v>0.14600000000001501</v>
      </c>
      <c r="G2444" s="34">
        <v>0.14600000000001501</v>
      </c>
      <c r="H2444" s="35">
        <v>308.10000000000002</v>
      </c>
      <c r="I2444" s="37">
        <f t="shared" si="38"/>
        <v>4.6873217151854928E-3</v>
      </c>
      <c r="J2444" s="33"/>
    </row>
    <row r="2445" spans="1:10">
      <c r="A2445" s="33" t="s">
        <v>94</v>
      </c>
      <c r="B2445" s="34">
        <v>345.6</v>
      </c>
      <c r="C2445" s="35">
        <v>65730.5</v>
      </c>
      <c r="D2445" s="33" t="s">
        <v>271</v>
      </c>
      <c r="E2445" s="34">
        <v>345.47199999999998</v>
      </c>
      <c r="F2445" s="36">
        <v>0.128000000000043</v>
      </c>
      <c r="G2445" s="34">
        <v>0.128000000000043</v>
      </c>
      <c r="H2445" s="35">
        <v>98.4</v>
      </c>
      <c r="I2445" s="37">
        <f t="shared" si="38"/>
        <v>1.497021930458463E-3</v>
      </c>
      <c r="J2445" s="33"/>
    </row>
    <row r="2446" spans="1:10">
      <c r="A2446" s="33" t="s">
        <v>94</v>
      </c>
      <c r="B2446" s="34">
        <v>345.6</v>
      </c>
      <c r="C2446" s="35">
        <v>65730.5</v>
      </c>
      <c r="D2446" s="33" t="s">
        <v>36</v>
      </c>
      <c r="E2446" s="34">
        <v>345.49099999999999</v>
      </c>
      <c r="F2446" s="36">
        <v>0.109</v>
      </c>
      <c r="G2446" s="34">
        <v>0.109</v>
      </c>
      <c r="H2446" s="35">
        <v>307.8</v>
      </c>
      <c r="I2446" s="37">
        <f t="shared" si="38"/>
        <v>4.6827576239340946E-3</v>
      </c>
      <c r="J2446" s="33" t="s">
        <v>116</v>
      </c>
    </row>
    <row r="2447" spans="1:10">
      <c r="A2447" s="33" t="s">
        <v>94</v>
      </c>
      <c r="B2447" s="34">
        <v>345.6</v>
      </c>
      <c r="C2447" s="35">
        <v>65730.5</v>
      </c>
      <c r="D2447" s="33" t="s">
        <v>270</v>
      </c>
      <c r="E2447" s="34">
        <v>345.49599999999998</v>
      </c>
      <c r="F2447" s="36">
        <v>0.104000000000042</v>
      </c>
      <c r="G2447" s="34">
        <v>0.104000000000042</v>
      </c>
      <c r="H2447" s="35">
        <v>368.8</v>
      </c>
      <c r="I2447" s="37">
        <f t="shared" si="38"/>
        <v>5.6107895117183046E-3</v>
      </c>
      <c r="J2447" s="33"/>
    </row>
    <row r="2448" spans="1:10">
      <c r="A2448" s="33" t="s">
        <v>94</v>
      </c>
      <c r="B2448" s="34">
        <v>345.6</v>
      </c>
      <c r="C2448" s="35">
        <v>65730.5</v>
      </c>
      <c r="D2448" s="33" t="s">
        <v>239</v>
      </c>
      <c r="E2448" s="34">
        <v>345.49700000000001</v>
      </c>
      <c r="F2448" s="36">
        <v>0.103000000000009</v>
      </c>
      <c r="G2448" s="34">
        <v>0.103000000000009</v>
      </c>
      <c r="H2448" s="35">
        <v>31.4</v>
      </c>
      <c r="I2448" s="37">
        <f t="shared" si="38"/>
        <v>4.7770821764629809E-4</v>
      </c>
      <c r="J2448" s="33"/>
    </row>
    <row r="2449" spans="1:10">
      <c r="A2449" s="33" t="s">
        <v>94</v>
      </c>
      <c r="B2449" s="34">
        <v>345.6</v>
      </c>
      <c r="C2449" s="35">
        <v>65730.5</v>
      </c>
      <c r="D2449" s="33" t="s">
        <v>240</v>
      </c>
      <c r="E2449" s="34">
        <v>345.5</v>
      </c>
      <c r="F2449" s="36">
        <v>0.100000000000023</v>
      </c>
      <c r="G2449" s="34">
        <v>0.100000000000023</v>
      </c>
      <c r="H2449" s="35">
        <v>1.9</v>
      </c>
      <c r="I2449" s="37">
        <f t="shared" si="38"/>
        <v>2.8905911258852432E-5</v>
      </c>
      <c r="J2449" s="33"/>
    </row>
    <row r="2450" spans="1:10">
      <c r="A2450" s="33" t="s">
        <v>94</v>
      </c>
      <c r="B2450" s="34">
        <v>345.6</v>
      </c>
      <c r="C2450" s="35">
        <v>65730.5</v>
      </c>
      <c r="D2450" s="33" t="s">
        <v>284</v>
      </c>
      <c r="E2450" s="34">
        <v>345.50299999999999</v>
      </c>
      <c r="F2450" s="36">
        <v>9.7000000000036807E-2</v>
      </c>
      <c r="G2450" s="34">
        <v>9.7000000000036807E-2</v>
      </c>
      <c r="H2450" s="35">
        <v>0.4</v>
      </c>
      <c r="I2450" s="37">
        <f t="shared" si="38"/>
        <v>6.0854550018636705E-6</v>
      </c>
      <c r="J2450" s="33"/>
    </row>
    <row r="2451" spans="1:10">
      <c r="A2451" s="33" t="s">
        <v>94</v>
      </c>
      <c r="B2451" s="34">
        <v>345.6</v>
      </c>
      <c r="C2451" s="35">
        <v>65730.5</v>
      </c>
      <c r="D2451" s="33" t="s">
        <v>308</v>
      </c>
      <c r="E2451" s="34">
        <v>345.51799999999997</v>
      </c>
      <c r="F2451" s="36">
        <v>8.2000000000050505E-2</v>
      </c>
      <c r="G2451" s="34">
        <v>8.2000000000050505E-2</v>
      </c>
      <c r="H2451" s="35">
        <v>12.4</v>
      </c>
      <c r="I2451" s="37">
        <f t="shared" si="38"/>
        <v>1.886491050577738E-4</v>
      </c>
      <c r="J2451" s="33"/>
    </row>
    <row r="2452" spans="1:10">
      <c r="A2452" s="33" t="s">
        <v>94</v>
      </c>
      <c r="B2452" s="34">
        <v>345.6</v>
      </c>
      <c r="C2452" s="35">
        <v>65730.5</v>
      </c>
      <c r="D2452" s="33" t="s">
        <v>282</v>
      </c>
      <c r="E2452" s="34">
        <v>345.52199999999999</v>
      </c>
      <c r="F2452" s="36">
        <v>7.8000000000031405E-2</v>
      </c>
      <c r="G2452" s="34">
        <v>7.8000000000031405E-2</v>
      </c>
      <c r="H2452" s="35">
        <v>72.400000000000006</v>
      </c>
      <c r="I2452" s="37">
        <f t="shared" si="38"/>
        <v>1.1014673553373245E-3</v>
      </c>
      <c r="J2452" s="33"/>
    </row>
    <row r="2453" spans="1:10">
      <c r="A2453" s="33" t="s">
        <v>94</v>
      </c>
      <c r="B2453" s="34">
        <v>345.6</v>
      </c>
      <c r="C2453" s="35">
        <v>65730.5</v>
      </c>
      <c r="D2453" s="33" t="s">
        <v>54</v>
      </c>
      <c r="E2453" s="34">
        <v>345.52300000000002</v>
      </c>
      <c r="F2453" s="36">
        <v>7.6999999999998195E-2</v>
      </c>
      <c r="G2453" s="34">
        <v>7.6999999999998195E-2</v>
      </c>
      <c r="H2453" s="35">
        <v>173.9</v>
      </c>
      <c r="I2453" s="37">
        <f t="shared" si="38"/>
        <v>2.645651562060231E-3</v>
      </c>
      <c r="J2453" s="33"/>
    </row>
    <row r="2454" spans="1:10">
      <c r="A2454" s="33" t="s">
        <v>94</v>
      </c>
      <c r="B2454" s="34">
        <v>345.6</v>
      </c>
      <c r="C2454" s="35">
        <v>65730.5</v>
      </c>
      <c r="D2454" s="33" t="s">
        <v>239</v>
      </c>
      <c r="E2454" s="34">
        <v>345.56</v>
      </c>
      <c r="F2454" s="36">
        <v>4.0000000000020498E-2</v>
      </c>
      <c r="G2454" s="34">
        <v>4.0000000000020498E-2</v>
      </c>
      <c r="H2454" s="35">
        <v>24.9</v>
      </c>
      <c r="I2454" s="37">
        <f t="shared" si="38"/>
        <v>3.7881957386601349E-4</v>
      </c>
      <c r="J2454" s="33"/>
    </row>
    <row r="2455" spans="1:10">
      <c r="A2455" s="33" t="s">
        <v>94</v>
      </c>
      <c r="B2455" s="34">
        <v>345.6</v>
      </c>
      <c r="C2455" s="35">
        <v>65730.5</v>
      </c>
      <c r="D2455" s="33" t="s">
        <v>277</v>
      </c>
      <c r="E2455" s="34">
        <v>345.57400000000001</v>
      </c>
      <c r="F2455" s="36">
        <v>2.6000000000010501E-2</v>
      </c>
      <c r="G2455" s="34">
        <v>2.6000000000010501E-2</v>
      </c>
      <c r="H2455" s="35">
        <v>147.9</v>
      </c>
      <c r="I2455" s="37">
        <f t="shared" si="38"/>
        <v>2.2500969869390921E-3</v>
      </c>
      <c r="J2455" s="33"/>
    </row>
    <row r="2456" spans="1:10">
      <c r="A2456" s="33" t="s">
        <v>94</v>
      </c>
      <c r="B2456" s="34">
        <v>345.6</v>
      </c>
      <c r="C2456" s="35">
        <v>65730.5</v>
      </c>
      <c r="D2456" s="33" t="s">
        <v>236</v>
      </c>
      <c r="E2456" s="34">
        <v>345.59</v>
      </c>
      <c r="F2456" s="36">
        <v>1.0000000000047801E-2</v>
      </c>
      <c r="G2456" s="34">
        <v>1.0000000000047801E-2</v>
      </c>
      <c r="H2456" s="35">
        <v>448</v>
      </c>
      <c r="I2456" s="37">
        <f t="shared" si="38"/>
        <v>6.8157096020873111E-3</v>
      </c>
      <c r="J2456" s="33"/>
    </row>
    <row r="2457" spans="1:10">
      <c r="A2457" s="33" t="s">
        <v>94</v>
      </c>
      <c r="B2457" s="34">
        <v>345.6</v>
      </c>
      <c r="C2457" s="35">
        <v>65730.5</v>
      </c>
      <c r="D2457" s="33" t="s">
        <v>237</v>
      </c>
      <c r="E2457" s="34">
        <v>345.63900000000001</v>
      </c>
      <c r="F2457" s="36">
        <v>3.8999999999987302E-2</v>
      </c>
      <c r="G2457" s="34">
        <v>3.8999999999987302E-2</v>
      </c>
      <c r="H2457" s="35">
        <v>1525</v>
      </c>
      <c r="I2457" s="37">
        <f t="shared" si="38"/>
        <v>2.3200797194605244E-2</v>
      </c>
      <c r="J2457" s="33"/>
    </row>
    <row r="2458" spans="1:10">
      <c r="A2458" s="33" t="s">
        <v>94</v>
      </c>
      <c r="B2458" s="34">
        <v>345.6</v>
      </c>
      <c r="C2458" s="35">
        <v>65730.5</v>
      </c>
      <c r="D2458" s="33" t="s">
        <v>275</v>
      </c>
      <c r="E2458" s="34">
        <v>345.65199999999999</v>
      </c>
      <c r="F2458" s="36">
        <v>5.1999999999964103E-2</v>
      </c>
      <c r="G2458" s="34">
        <v>5.1999999999964103E-2</v>
      </c>
      <c r="H2458" s="35">
        <v>98.9</v>
      </c>
      <c r="I2458" s="37">
        <f t="shared" si="38"/>
        <v>1.5046287492107926E-3</v>
      </c>
      <c r="J2458" s="33"/>
    </row>
    <row r="2459" spans="1:10">
      <c r="A2459" s="33" t="s">
        <v>94</v>
      </c>
      <c r="B2459" s="34">
        <v>345.6</v>
      </c>
      <c r="C2459" s="35">
        <v>65730.5</v>
      </c>
      <c r="D2459" s="33" t="s">
        <v>273</v>
      </c>
      <c r="E2459" s="34">
        <v>345.654</v>
      </c>
      <c r="F2459" s="36">
        <v>5.3999999999973597E-2</v>
      </c>
      <c r="G2459" s="34">
        <v>5.3999999999973597E-2</v>
      </c>
      <c r="H2459" s="35">
        <v>8.3000000000000007</v>
      </c>
      <c r="I2459" s="37">
        <f t="shared" si="38"/>
        <v>1.2627319128867117E-4</v>
      </c>
      <c r="J2459" s="33"/>
    </row>
    <row r="2460" spans="1:10">
      <c r="A2460" s="33" t="s">
        <v>94</v>
      </c>
      <c r="B2460" s="34">
        <v>345.6</v>
      </c>
      <c r="C2460" s="35">
        <v>65730.5</v>
      </c>
      <c r="D2460" s="33" t="s">
        <v>33</v>
      </c>
      <c r="E2460" s="34">
        <v>345.65600000000001</v>
      </c>
      <c r="F2460" s="36">
        <v>5.5999999999983202E-2</v>
      </c>
      <c r="G2460" s="34">
        <v>5.5999999999983202E-2</v>
      </c>
      <c r="H2460" s="35">
        <v>3133.8</v>
      </c>
      <c r="I2460" s="37">
        <f t="shared" si="38"/>
        <v>4.7676497212100932E-2</v>
      </c>
      <c r="J2460" s="33" t="s">
        <v>116</v>
      </c>
    </row>
    <row r="2461" spans="1:10">
      <c r="A2461" s="33" t="s">
        <v>94</v>
      </c>
      <c r="B2461" s="34">
        <v>345.6</v>
      </c>
      <c r="C2461" s="35">
        <v>65730.5</v>
      </c>
      <c r="D2461" s="33" t="s">
        <v>268</v>
      </c>
      <c r="E2461" s="34">
        <v>345.66199999999998</v>
      </c>
      <c r="F2461" s="36">
        <v>6.1999999999955001E-2</v>
      </c>
      <c r="G2461" s="34">
        <v>6.1999999999955001E-2</v>
      </c>
      <c r="H2461" s="35">
        <v>8.6</v>
      </c>
      <c r="I2461" s="37">
        <f t="shared" si="38"/>
        <v>1.3083728254006892E-4</v>
      </c>
      <c r="J2461" s="33"/>
    </row>
    <row r="2462" spans="1:10">
      <c r="A2462" s="33" t="s">
        <v>94</v>
      </c>
      <c r="B2462" s="34">
        <v>345.6</v>
      </c>
      <c r="C2462" s="35">
        <v>65730.5</v>
      </c>
      <c r="D2462" s="33" t="s">
        <v>25</v>
      </c>
      <c r="E2462" s="34">
        <v>345.67700000000002</v>
      </c>
      <c r="F2462" s="36">
        <v>7.6999999999998195E-2</v>
      </c>
      <c r="G2462" s="34">
        <v>7.6999999999998195E-2</v>
      </c>
      <c r="H2462" s="35">
        <v>229.3</v>
      </c>
      <c r="I2462" s="37">
        <f t="shared" si="38"/>
        <v>3.4884870798183492E-3</v>
      </c>
      <c r="J2462" s="33" t="s">
        <v>116</v>
      </c>
    </row>
    <row r="2463" spans="1:10">
      <c r="A2463" s="33" t="s">
        <v>94</v>
      </c>
      <c r="B2463" s="34">
        <v>345.6</v>
      </c>
      <c r="C2463" s="35">
        <v>65730.5</v>
      </c>
      <c r="D2463" s="33" t="s">
        <v>54</v>
      </c>
      <c r="E2463" s="34">
        <v>345.69200000000001</v>
      </c>
      <c r="F2463" s="36">
        <v>9.1999999999984497E-2</v>
      </c>
      <c r="G2463" s="34">
        <v>9.1999999999984497E-2</v>
      </c>
      <c r="H2463" s="35">
        <v>8.4</v>
      </c>
      <c r="I2463" s="37">
        <f t="shared" si="38"/>
        <v>1.2779455503913708E-4</v>
      </c>
      <c r="J2463" s="33"/>
    </row>
    <row r="2464" spans="1:10">
      <c r="A2464" s="33" t="s">
        <v>94</v>
      </c>
      <c r="B2464" s="34">
        <v>345.6</v>
      </c>
      <c r="C2464" s="35">
        <v>65730.5</v>
      </c>
      <c r="D2464" s="33" t="s">
        <v>280</v>
      </c>
      <c r="E2464" s="34">
        <v>345.70400000000001</v>
      </c>
      <c r="F2464" s="36">
        <v>0.10399999999998499</v>
      </c>
      <c r="G2464" s="34">
        <v>0.10399999999998499</v>
      </c>
      <c r="H2464" s="35">
        <v>125.7</v>
      </c>
      <c r="I2464" s="37">
        <f t="shared" si="38"/>
        <v>1.9123542343356585E-3</v>
      </c>
      <c r="J2464" s="33"/>
    </row>
    <row r="2465" spans="1:10">
      <c r="A2465" s="33" t="s">
        <v>94</v>
      </c>
      <c r="B2465" s="34">
        <v>345.6</v>
      </c>
      <c r="C2465" s="35">
        <v>65730.5</v>
      </c>
      <c r="D2465" s="33" t="s">
        <v>36</v>
      </c>
      <c r="E2465" s="34">
        <v>345.70499999999998</v>
      </c>
      <c r="F2465" s="36">
        <v>0.105</v>
      </c>
      <c r="G2465" s="34">
        <v>0.105</v>
      </c>
      <c r="H2465" s="35">
        <v>211.2</v>
      </c>
      <c r="I2465" s="37">
        <f t="shared" si="38"/>
        <v>3.2131202409840178E-3</v>
      </c>
      <c r="J2465" s="33" t="s">
        <v>116</v>
      </c>
    </row>
    <row r="2466" spans="1:10">
      <c r="A2466" s="33" t="s">
        <v>94</v>
      </c>
      <c r="B2466" s="34">
        <v>345.6</v>
      </c>
      <c r="C2466" s="35">
        <v>65730.5</v>
      </c>
      <c r="D2466" s="33" t="s">
        <v>278</v>
      </c>
      <c r="E2466" s="34">
        <v>345.71499999999997</v>
      </c>
      <c r="F2466" s="36">
        <v>0.114999999999952</v>
      </c>
      <c r="G2466" s="34">
        <v>0.114999999999952</v>
      </c>
      <c r="H2466" s="35">
        <v>308.89999999999998</v>
      </c>
      <c r="I2466" s="37">
        <f t="shared" si="38"/>
        <v>4.6994926251892194E-3</v>
      </c>
      <c r="J2466" s="33"/>
    </row>
    <row r="2467" spans="1:10">
      <c r="A2467" s="33" t="s">
        <v>94</v>
      </c>
      <c r="B2467" s="34">
        <v>345.6</v>
      </c>
      <c r="C2467" s="35">
        <v>65730.5</v>
      </c>
      <c r="D2467" s="33" t="s">
        <v>184</v>
      </c>
      <c r="E2467" s="34">
        <v>345.74400000000003</v>
      </c>
      <c r="F2467" s="36">
        <v>0.14400000000000601</v>
      </c>
      <c r="G2467" s="34">
        <v>0.14400000000000601</v>
      </c>
      <c r="H2467" s="35">
        <v>77.8</v>
      </c>
      <c r="I2467" s="37">
        <f t="shared" si="38"/>
        <v>1.1836209978624839E-3</v>
      </c>
      <c r="J2467" s="33"/>
    </row>
    <row r="2468" spans="1:10">
      <c r="A2468" s="33" t="s">
        <v>94</v>
      </c>
      <c r="B2468" s="34">
        <v>345.6</v>
      </c>
      <c r="C2468" s="35">
        <v>65730.5</v>
      </c>
      <c r="D2468" s="33" t="s">
        <v>236</v>
      </c>
      <c r="E2468" s="34">
        <v>345.755</v>
      </c>
      <c r="F2468" s="36">
        <v>0.15499999999997299</v>
      </c>
      <c r="G2468" s="34">
        <v>0.15499999999997299</v>
      </c>
      <c r="H2468" s="35">
        <v>3709.2</v>
      </c>
      <c r="I2468" s="37">
        <f t="shared" si="38"/>
        <v>5.6430424232281812E-2</v>
      </c>
      <c r="J2468" s="33"/>
    </row>
    <row r="2469" spans="1:10">
      <c r="A2469" s="33" t="s">
        <v>94</v>
      </c>
      <c r="B2469" s="34">
        <v>345.6</v>
      </c>
      <c r="C2469" s="35">
        <v>65730.5</v>
      </c>
      <c r="D2469" s="33" t="s">
        <v>280</v>
      </c>
      <c r="E2469" s="34">
        <v>345.75599999999997</v>
      </c>
      <c r="F2469" s="36">
        <v>0.15599999999994901</v>
      </c>
      <c r="G2469" s="34">
        <v>0.15599999999994901</v>
      </c>
      <c r="H2469" s="35">
        <v>115.5</v>
      </c>
      <c r="I2469" s="37">
        <f t="shared" si="38"/>
        <v>1.7571751317881348E-3</v>
      </c>
      <c r="J2469" s="33"/>
    </row>
    <row r="2470" spans="1:10">
      <c r="A2470" s="33" t="s">
        <v>94</v>
      </c>
      <c r="B2470" s="34">
        <v>345.6</v>
      </c>
      <c r="C2470" s="35">
        <v>65730.5</v>
      </c>
      <c r="D2470" s="33" t="s">
        <v>239</v>
      </c>
      <c r="E2470" s="34">
        <v>345.76100000000002</v>
      </c>
      <c r="F2470" s="36">
        <v>0.161000000000001</v>
      </c>
      <c r="G2470" s="34">
        <v>0.161000000000001</v>
      </c>
      <c r="H2470" s="35">
        <v>32.799999999999997</v>
      </c>
      <c r="I2470" s="37">
        <f t="shared" si="38"/>
        <v>4.9900731015282095E-4</v>
      </c>
      <c r="J2470" s="33"/>
    </row>
    <row r="2471" spans="1:10">
      <c r="A2471" s="33" t="s">
        <v>94</v>
      </c>
      <c r="B2471" s="34">
        <v>345.6</v>
      </c>
      <c r="C2471" s="35">
        <v>65730.5</v>
      </c>
      <c r="D2471" s="33" t="s">
        <v>277</v>
      </c>
      <c r="E2471" s="34">
        <v>345.77100000000002</v>
      </c>
      <c r="F2471" s="36">
        <v>0.17099999999999199</v>
      </c>
      <c r="G2471" s="34">
        <v>0.17099999999999199</v>
      </c>
      <c r="H2471" s="35">
        <v>275.89999999999998</v>
      </c>
      <c r="I2471" s="37">
        <f t="shared" si="38"/>
        <v>4.1974425875354665E-3</v>
      </c>
      <c r="J2471" s="33"/>
    </row>
    <row r="2472" spans="1:10">
      <c r="A2472" s="33" t="s">
        <v>94</v>
      </c>
      <c r="B2472" s="34">
        <v>345.6</v>
      </c>
      <c r="C2472" s="35">
        <v>65730.5</v>
      </c>
      <c r="D2472" s="33" t="s">
        <v>273</v>
      </c>
      <c r="E2472" s="34">
        <v>345.78</v>
      </c>
      <c r="F2472" s="36">
        <v>0.17999999999995001</v>
      </c>
      <c r="G2472" s="34">
        <v>0.17999999999995001</v>
      </c>
      <c r="H2472" s="35">
        <v>8.3000000000000007</v>
      </c>
      <c r="I2472" s="37">
        <f t="shared" si="38"/>
        <v>1.2627319128867117E-4</v>
      </c>
      <c r="J2472" s="33"/>
    </row>
    <row r="2473" spans="1:10">
      <c r="A2473" s="33" t="s">
        <v>94</v>
      </c>
      <c r="B2473" s="34">
        <v>345.6</v>
      </c>
      <c r="C2473" s="35">
        <v>65730.5</v>
      </c>
      <c r="D2473" s="33" t="s">
        <v>286</v>
      </c>
      <c r="E2473" s="34">
        <v>345.78500000000003</v>
      </c>
      <c r="F2473" s="36">
        <v>0.185000000000002</v>
      </c>
      <c r="G2473" s="34">
        <v>0.185000000000002</v>
      </c>
      <c r="H2473" s="35">
        <v>21</v>
      </c>
      <c r="I2473" s="37">
        <f t="shared" si="38"/>
        <v>3.1948638759784272E-4</v>
      </c>
      <c r="J2473" s="33"/>
    </row>
    <row r="2474" spans="1:10">
      <c r="A2474" s="33" t="s">
        <v>94</v>
      </c>
      <c r="B2474" s="34">
        <v>345.6</v>
      </c>
      <c r="C2474" s="35">
        <v>65730.5</v>
      </c>
      <c r="D2474" s="33" t="s">
        <v>282</v>
      </c>
      <c r="E2474" s="34">
        <v>345.79300000000001</v>
      </c>
      <c r="F2474" s="36">
        <v>0.19299999999998399</v>
      </c>
      <c r="G2474" s="34">
        <v>0.19299999999998399</v>
      </c>
      <c r="H2474" s="35">
        <v>41.8</v>
      </c>
      <c r="I2474" s="37">
        <f t="shared" si="38"/>
        <v>6.3593004769475357E-4</v>
      </c>
      <c r="J2474" s="33"/>
    </row>
    <row r="2475" spans="1:10">
      <c r="A2475" s="33" t="s">
        <v>94</v>
      </c>
      <c r="B2475" s="34">
        <v>347.42500000000001</v>
      </c>
      <c r="C2475" s="35">
        <v>12415</v>
      </c>
      <c r="D2475" s="33" t="s">
        <v>269</v>
      </c>
      <c r="E2475" s="34">
        <v>347.24099999999999</v>
      </c>
      <c r="F2475" s="36">
        <v>0.184000000000026</v>
      </c>
      <c r="G2475" s="34">
        <v>0.184000000000026</v>
      </c>
      <c r="H2475" s="35">
        <v>88.9</v>
      </c>
      <c r="I2475" s="37">
        <f t="shared" si="38"/>
        <v>7.1606927104309308E-3</v>
      </c>
      <c r="J2475" s="33"/>
    </row>
    <row r="2476" spans="1:10">
      <c r="A2476" s="33" t="s">
        <v>94</v>
      </c>
      <c r="B2476" s="34">
        <v>347.42500000000001</v>
      </c>
      <c r="C2476" s="35">
        <v>12415</v>
      </c>
      <c r="D2476" s="33" t="s">
        <v>85</v>
      </c>
      <c r="E2476" s="34">
        <v>347.24599999999998</v>
      </c>
      <c r="F2476" s="36">
        <v>0.17899999999999999</v>
      </c>
      <c r="G2476" s="34">
        <v>0.17899999999999999</v>
      </c>
      <c r="H2476" s="35">
        <v>13532.4</v>
      </c>
      <c r="I2476" s="37">
        <f t="shared" si="38"/>
        <v>1.0900040273862264</v>
      </c>
      <c r="J2476" s="33" t="s">
        <v>116</v>
      </c>
    </row>
    <row r="2477" spans="1:10">
      <c r="A2477" s="33" t="s">
        <v>94</v>
      </c>
      <c r="B2477" s="34">
        <v>347.42500000000001</v>
      </c>
      <c r="C2477" s="35">
        <v>12415</v>
      </c>
      <c r="D2477" s="33" t="s">
        <v>193</v>
      </c>
      <c r="E2477" s="34">
        <v>347.25200000000001</v>
      </c>
      <c r="F2477" s="36">
        <v>0.17300000000000201</v>
      </c>
      <c r="G2477" s="34">
        <v>0.17300000000000201</v>
      </c>
      <c r="H2477" s="35">
        <v>5</v>
      </c>
      <c r="I2477" s="37">
        <f t="shared" si="38"/>
        <v>4.0273862263391061E-4</v>
      </c>
      <c r="J2477" s="33"/>
    </row>
    <row r="2478" spans="1:10">
      <c r="A2478" s="33" t="s">
        <v>94</v>
      </c>
      <c r="B2478" s="34">
        <v>347.42500000000001</v>
      </c>
      <c r="C2478" s="35">
        <v>12415</v>
      </c>
      <c r="D2478" s="33" t="s">
        <v>165</v>
      </c>
      <c r="E2478" s="34">
        <v>347.25400000000002</v>
      </c>
      <c r="F2478" s="36">
        <v>0.17099999999999199</v>
      </c>
      <c r="G2478" s="34">
        <v>0.17099999999999199</v>
      </c>
      <c r="H2478" s="35">
        <v>503.6</v>
      </c>
      <c r="I2478" s="37">
        <f t="shared" si="38"/>
        <v>4.0563834071687475E-2</v>
      </c>
      <c r="J2478" s="33"/>
    </row>
    <row r="2479" spans="1:10">
      <c r="A2479" s="33" t="s">
        <v>94</v>
      </c>
      <c r="B2479" s="34">
        <v>347.42500000000001</v>
      </c>
      <c r="C2479" s="35">
        <v>12415</v>
      </c>
      <c r="D2479" s="33" t="s">
        <v>277</v>
      </c>
      <c r="E2479" s="34">
        <v>347.25599999999997</v>
      </c>
      <c r="F2479" s="36">
        <v>0.16900000000004001</v>
      </c>
      <c r="G2479" s="34">
        <v>0.16900000000004001</v>
      </c>
      <c r="H2479" s="35">
        <v>237.3</v>
      </c>
      <c r="I2479" s="37">
        <f t="shared" si="38"/>
        <v>1.9113975030205399E-2</v>
      </c>
      <c r="J2479" s="33"/>
    </row>
    <row r="2480" spans="1:10">
      <c r="A2480" s="33" t="s">
        <v>94</v>
      </c>
      <c r="B2480" s="34">
        <v>347.42500000000001</v>
      </c>
      <c r="C2480" s="35">
        <v>12415</v>
      </c>
      <c r="D2480" s="33" t="s">
        <v>236</v>
      </c>
      <c r="E2480" s="34">
        <v>347.25700000000001</v>
      </c>
      <c r="F2480" s="36">
        <v>0.16800000000000601</v>
      </c>
      <c r="G2480" s="34">
        <v>0.16800000000000601</v>
      </c>
      <c r="H2480" s="35">
        <v>59.2</v>
      </c>
      <c r="I2480" s="37">
        <f t="shared" si="38"/>
        <v>4.7684252919855015E-3</v>
      </c>
      <c r="J2480" s="33"/>
    </row>
    <row r="2481" spans="1:10">
      <c r="A2481" s="33" t="s">
        <v>94</v>
      </c>
      <c r="B2481" s="34">
        <v>347.42500000000001</v>
      </c>
      <c r="C2481" s="35">
        <v>12415</v>
      </c>
      <c r="D2481" s="33" t="s">
        <v>279</v>
      </c>
      <c r="E2481" s="34">
        <v>347.27199999999999</v>
      </c>
      <c r="F2481" s="36">
        <v>0.15300000000002001</v>
      </c>
      <c r="G2481" s="34">
        <v>0.15300000000002001</v>
      </c>
      <c r="H2481" s="35">
        <v>23</v>
      </c>
      <c r="I2481" s="37">
        <f t="shared" si="38"/>
        <v>1.8525976641159886E-3</v>
      </c>
      <c r="J2481" s="33"/>
    </row>
    <row r="2482" spans="1:10">
      <c r="A2482" s="33" t="s">
        <v>94</v>
      </c>
      <c r="B2482" s="34">
        <v>347.42500000000001</v>
      </c>
      <c r="C2482" s="35">
        <v>12415</v>
      </c>
      <c r="D2482" s="33" t="s">
        <v>201</v>
      </c>
      <c r="E2482" s="34">
        <v>347.28</v>
      </c>
      <c r="F2482" s="36">
        <v>0.14500000000003899</v>
      </c>
      <c r="G2482" s="34">
        <v>0.14500000000003899</v>
      </c>
      <c r="H2482" s="35">
        <v>1510.2</v>
      </c>
      <c r="I2482" s="37">
        <f t="shared" si="38"/>
        <v>0.12164317358034636</v>
      </c>
      <c r="J2482" s="33"/>
    </row>
    <row r="2483" spans="1:10">
      <c r="A2483" s="33" t="s">
        <v>94</v>
      </c>
      <c r="B2483" s="34">
        <v>347.42500000000001</v>
      </c>
      <c r="C2483" s="35">
        <v>12415</v>
      </c>
      <c r="D2483" s="33" t="s">
        <v>273</v>
      </c>
      <c r="E2483" s="34">
        <v>347.30200000000002</v>
      </c>
      <c r="F2483" s="36">
        <v>0.12299999999999101</v>
      </c>
      <c r="G2483" s="34">
        <v>0.12299999999999101</v>
      </c>
      <c r="H2483" s="35">
        <v>14.7</v>
      </c>
      <c r="I2483" s="37">
        <f t="shared" si="38"/>
        <v>1.184051550543697E-3</v>
      </c>
      <c r="J2483" s="33"/>
    </row>
    <row r="2484" spans="1:10">
      <c r="A2484" s="33" t="s">
        <v>94</v>
      </c>
      <c r="B2484" s="34">
        <v>347.42500000000001</v>
      </c>
      <c r="C2484" s="35">
        <v>12415</v>
      </c>
      <c r="D2484" s="33" t="s">
        <v>271</v>
      </c>
      <c r="E2484" s="34">
        <v>347.303</v>
      </c>
      <c r="F2484" s="36">
        <v>0.122000000000014</v>
      </c>
      <c r="G2484" s="34">
        <v>0.122000000000014</v>
      </c>
      <c r="H2484" s="35">
        <v>1439.8</v>
      </c>
      <c r="I2484" s="37">
        <f t="shared" si="38"/>
        <v>0.11597261377366089</v>
      </c>
      <c r="J2484" s="33"/>
    </row>
    <row r="2485" spans="1:10">
      <c r="A2485" s="33" t="s">
        <v>94</v>
      </c>
      <c r="B2485" s="34">
        <v>347.42500000000001</v>
      </c>
      <c r="C2485" s="35">
        <v>12415</v>
      </c>
      <c r="D2485" s="33" t="s">
        <v>36</v>
      </c>
      <c r="E2485" s="34">
        <v>347.322</v>
      </c>
      <c r="F2485" s="36">
        <v>0.10299999999999999</v>
      </c>
      <c r="G2485" s="34">
        <v>0.10299999999999999</v>
      </c>
      <c r="H2485" s="35">
        <v>2433.5</v>
      </c>
      <c r="I2485" s="37">
        <f t="shared" si="38"/>
        <v>0.19601288763592428</v>
      </c>
      <c r="J2485" s="33" t="s">
        <v>116</v>
      </c>
    </row>
    <row r="2486" spans="1:10">
      <c r="A2486" s="33" t="s">
        <v>94</v>
      </c>
      <c r="B2486" s="34">
        <v>347.42500000000001</v>
      </c>
      <c r="C2486" s="35">
        <v>12415</v>
      </c>
      <c r="D2486" s="33" t="s">
        <v>271</v>
      </c>
      <c r="E2486" s="34">
        <v>347.34199999999998</v>
      </c>
      <c r="F2486" s="36">
        <v>8.3000000000026802E-2</v>
      </c>
      <c r="G2486" s="34">
        <v>8.3000000000026802E-2</v>
      </c>
      <c r="H2486" s="35">
        <v>108.7</v>
      </c>
      <c r="I2486" s="37">
        <f t="shared" si="38"/>
        <v>8.7555376560612165E-3</v>
      </c>
      <c r="J2486" s="33"/>
    </row>
    <row r="2487" spans="1:10">
      <c r="A2487" s="33" t="s">
        <v>94</v>
      </c>
      <c r="B2487" s="34">
        <v>347.42500000000001</v>
      </c>
      <c r="C2487" s="35">
        <v>12415</v>
      </c>
      <c r="D2487" s="33" t="s">
        <v>239</v>
      </c>
      <c r="E2487" s="34">
        <v>347.36099999999999</v>
      </c>
      <c r="F2487" s="36">
        <v>6.4000000000021401E-2</v>
      </c>
      <c r="G2487" s="34">
        <v>6.4000000000021401E-2</v>
      </c>
      <c r="H2487" s="35">
        <v>29</v>
      </c>
      <c r="I2487" s="37">
        <f t="shared" si="38"/>
        <v>2.3358840112766813E-3</v>
      </c>
      <c r="J2487" s="33"/>
    </row>
    <row r="2488" spans="1:10">
      <c r="A2488" s="33" t="s">
        <v>94</v>
      </c>
      <c r="B2488" s="34">
        <v>347.42500000000001</v>
      </c>
      <c r="C2488" s="35">
        <v>12415</v>
      </c>
      <c r="D2488" s="33" t="s">
        <v>33</v>
      </c>
      <c r="E2488" s="34">
        <v>347.37</v>
      </c>
      <c r="F2488" s="36">
        <v>5.50000000000068E-2</v>
      </c>
      <c r="G2488" s="34">
        <v>5.50000000000068E-2</v>
      </c>
      <c r="H2488" s="35">
        <v>503.7</v>
      </c>
      <c r="I2488" s="37">
        <f t="shared" si="38"/>
        <v>4.0571888844140154E-2</v>
      </c>
      <c r="J2488" s="33" t="s">
        <v>116</v>
      </c>
    </row>
    <row r="2489" spans="1:10">
      <c r="A2489" s="33" t="s">
        <v>94</v>
      </c>
      <c r="B2489" s="34">
        <v>347.42500000000001</v>
      </c>
      <c r="C2489" s="35">
        <v>12415</v>
      </c>
      <c r="D2489" s="33" t="s">
        <v>184</v>
      </c>
      <c r="E2489" s="34">
        <v>347.37</v>
      </c>
      <c r="F2489" s="36">
        <v>5.50000000000068E-2</v>
      </c>
      <c r="G2489" s="34">
        <v>5.50000000000068E-2</v>
      </c>
      <c r="H2489" s="35">
        <v>14.2</v>
      </c>
      <c r="I2489" s="37">
        <f t="shared" si="38"/>
        <v>1.1437776882803061E-3</v>
      </c>
      <c r="J2489" s="33"/>
    </row>
    <row r="2490" spans="1:10">
      <c r="A2490" s="33" t="s">
        <v>94</v>
      </c>
      <c r="B2490" s="34">
        <v>347.42500000000001</v>
      </c>
      <c r="C2490" s="35">
        <v>12415</v>
      </c>
      <c r="D2490" s="33" t="s">
        <v>268</v>
      </c>
      <c r="E2490" s="34">
        <v>347.375</v>
      </c>
      <c r="F2490" s="36">
        <v>5.0000000000011403E-2</v>
      </c>
      <c r="G2490" s="34">
        <v>5.0000000000011403E-2</v>
      </c>
      <c r="H2490" s="35">
        <v>29.4</v>
      </c>
      <c r="I2490" s="37">
        <f t="shared" si="38"/>
        <v>2.368103101087394E-3</v>
      </c>
      <c r="J2490" s="33"/>
    </row>
    <row r="2491" spans="1:10">
      <c r="A2491" s="33" t="s">
        <v>94</v>
      </c>
      <c r="B2491" s="34">
        <v>347.42500000000001</v>
      </c>
      <c r="C2491" s="35">
        <v>12415</v>
      </c>
      <c r="D2491" s="33" t="s">
        <v>270</v>
      </c>
      <c r="E2491" s="34">
        <v>347.39499999999998</v>
      </c>
      <c r="F2491" s="36">
        <v>3.00000000000296E-2</v>
      </c>
      <c r="G2491" s="34">
        <v>3.00000000000296E-2</v>
      </c>
      <c r="H2491" s="35">
        <v>238.6</v>
      </c>
      <c r="I2491" s="37">
        <f t="shared" si="38"/>
        <v>1.9218687072090214E-2</v>
      </c>
      <c r="J2491" s="33"/>
    </row>
    <row r="2492" spans="1:10">
      <c r="A2492" s="33" t="s">
        <v>94</v>
      </c>
      <c r="B2492" s="34">
        <v>347.42500000000001</v>
      </c>
      <c r="C2492" s="35">
        <v>12415</v>
      </c>
      <c r="D2492" s="33" t="s">
        <v>54</v>
      </c>
      <c r="E2492" s="34">
        <v>347.404</v>
      </c>
      <c r="F2492" s="36">
        <v>2.1000000000015E-2</v>
      </c>
      <c r="G2492" s="34">
        <v>2.1000000000015E-2</v>
      </c>
      <c r="H2492" s="35">
        <v>773</v>
      </c>
      <c r="I2492" s="37">
        <f t="shared" si="38"/>
        <v>6.2263391059202575E-2</v>
      </c>
      <c r="J2492" s="33"/>
    </row>
    <row r="2493" spans="1:10">
      <c r="A2493" s="33" t="s">
        <v>94</v>
      </c>
      <c r="B2493" s="34">
        <v>347.42500000000001</v>
      </c>
      <c r="C2493" s="35">
        <v>12415</v>
      </c>
      <c r="D2493" s="33" t="s">
        <v>240</v>
      </c>
      <c r="E2493" s="34">
        <v>347.404</v>
      </c>
      <c r="F2493" s="36">
        <v>2.1000000000015E-2</v>
      </c>
      <c r="G2493" s="34">
        <v>2.1000000000015E-2</v>
      </c>
      <c r="H2493" s="35">
        <v>1674.2</v>
      </c>
      <c r="I2493" s="37">
        <f t="shared" si="38"/>
        <v>0.13485300040273862</v>
      </c>
      <c r="J2493" s="33"/>
    </row>
    <row r="2494" spans="1:10">
      <c r="A2494" s="33" t="s">
        <v>94</v>
      </c>
      <c r="B2494" s="34">
        <v>347.42500000000001</v>
      </c>
      <c r="C2494" s="35">
        <v>12415</v>
      </c>
      <c r="D2494" s="33" t="s">
        <v>25</v>
      </c>
      <c r="E2494" s="34">
        <v>347.42099999999999</v>
      </c>
      <c r="F2494" s="36">
        <v>4.0000000000191003E-3</v>
      </c>
      <c r="G2494" s="34">
        <v>4.0000000000191003E-3</v>
      </c>
      <c r="H2494" s="35">
        <v>97.3</v>
      </c>
      <c r="I2494" s="37">
        <f t="shared" si="38"/>
        <v>7.8372935964559007E-3</v>
      </c>
      <c r="J2494" s="33" t="s">
        <v>116</v>
      </c>
    </row>
    <row r="2495" spans="1:10">
      <c r="A2495" s="33" t="s">
        <v>94</v>
      </c>
      <c r="B2495" s="34">
        <v>347.42500000000001</v>
      </c>
      <c r="C2495" s="35">
        <v>12415</v>
      </c>
      <c r="D2495" s="33" t="s">
        <v>193</v>
      </c>
      <c r="E2495" s="34">
        <v>347.42500000000001</v>
      </c>
      <c r="F2495" s="36">
        <v>0</v>
      </c>
      <c r="G2495" s="34">
        <v>0</v>
      </c>
      <c r="H2495" s="35">
        <v>38.299999999999997</v>
      </c>
      <c r="I2495" s="37">
        <f t="shared" si="38"/>
        <v>3.0849778493757551E-3</v>
      </c>
      <c r="J2495" s="33"/>
    </row>
    <row r="2496" spans="1:10">
      <c r="A2496" s="33" t="s">
        <v>94</v>
      </c>
      <c r="B2496" s="34">
        <v>347.42500000000001</v>
      </c>
      <c r="C2496" s="35">
        <v>12415</v>
      </c>
      <c r="D2496" s="33" t="s">
        <v>33</v>
      </c>
      <c r="E2496" s="34">
        <v>347.42700000000002</v>
      </c>
      <c r="F2496" s="36">
        <v>2.0000000000095501E-3</v>
      </c>
      <c r="G2496" s="34">
        <v>2.0000000000095501E-3</v>
      </c>
      <c r="H2496" s="35">
        <v>339.4</v>
      </c>
      <c r="I2496" s="37">
        <f t="shared" si="38"/>
        <v>2.7337897704389848E-2</v>
      </c>
      <c r="J2496" s="33" t="s">
        <v>116</v>
      </c>
    </row>
    <row r="2497" spans="1:10">
      <c r="A2497" s="33" t="s">
        <v>94</v>
      </c>
      <c r="B2497" s="34">
        <v>347.42500000000001</v>
      </c>
      <c r="C2497" s="35">
        <v>12415</v>
      </c>
      <c r="D2497" s="33" t="s">
        <v>239</v>
      </c>
      <c r="E2497" s="34">
        <v>347.43599999999998</v>
      </c>
      <c r="F2497" s="36">
        <v>1.09999999999673E-2</v>
      </c>
      <c r="G2497" s="34">
        <v>1.09999999999673E-2</v>
      </c>
      <c r="H2497" s="35">
        <v>28</v>
      </c>
      <c r="I2497" s="37">
        <f t="shared" si="38"/>
        <v>2.2553362867498991E-3</v>
      </c>
      <c r="J2497" s="33"/>
    </row>
    <row r="2498" spans="1:10">
      <c r="A2498" s="33" t="s">
        <v>94</v>
      </c>
      <c r="B2498" s="34">
        <v>347.42500000000001</v>
      </c>
      <c r="C2498" s="35">
        <v>12415</v>
      </c>
      <c r="D2498" s="33" t="s">
        <v>277</v>
      </c>
      <c r="E2498" s="34">
        <v>347.45400000000001</v>
      </c>
      <c r="F2498" s="36">
        <v>2.89999999999964E-2</v>
      </c>
      <c r="G2498" s="34">
        <v>2.89999999999964E-2</v>
      </c>
      <c r="H2498" s="35">
        <v>81.099999999999994</v>
      </c>
      <c r="I2498" s="37">
        <f t="shared" ref="I2498:I2561" si="39">H2498/C2498</f>
        <v>6.5324204591220292E-3</v>
      </c>
      <c r="J2498" s="33"/>
    </row>
    <row r="2499" spans="1:10">
      <c r="A2499" s="33" t="s">
        <v>94</v>
      </c>
      <c r="B2499" s="34">
        <v>347.42500000000001</v>
      </c>
      <c r="C2499" s="35">
        <v>12415</v>
      </c>
      <c r="D2499" s="33" t="s">
        <v>282</v>
      </c>
      <c r="E2499" s="34">
        <v>347.47699999999998</v>
      </c>
      <c r="F2499" s="36">
        <v>5.1999999999964103E-2</v>
      </c>
      <c r="G2499" s="34">
        <v>5.1999999999964103E-2</v>
      </c>
      <c r="H2499" s="35">
        <v>635.6</v>
      </c>
      <c r="I2499" s="37">
        <f t="shared" si="39"/>
        <v>5.1196133709222713E-2</v>
      </c>
      <c r="J2499" s="33"/>
    </row>
    <row r="2500" spans="1:10">
      <c r="A2500" s="33" t="s">
        <v>94</v>
      </c>
      <c r="B2500" s="34">
        <v>347.42500000000001</v>
      </c>
      <c r="C2500" s="35">
        <v>12415</v>
      </c>
      <c r="D2500" s="33" t="s">
        <v>302</v>
      </c>
      <c r="E2500" s="34">
        <v>347.48899999999998</v>
      </c>
      <c r="F2500" s="36">
        <v>6.3999999999964502E-2</v>
      </c>
      <c r="G2500" s="34">
        <v>6.3999999999964502E-2</v>
      </c>
      <c r="H2500" s="35">
        <v>1452.4</v>
      </c>
      <c r="I2500" s="37">
        <f t="shared" si="39"/>
        <v>0.11698751510269835</v>
      </c>
      <c r="J2500" s="33"/>
    </row>
    <row r="2501" spans="1:10">
      <c r="A2501" s="33" t="s">
        <v>94</v>
      </c>
      <c r="B2501" s="34">
        <v>347.42500000000001</v>
      </c>
      <c r="C2501" s="35">
        <v>12415</v>
      </c>
      <c r="D2501" s="33" t="s">
        <v>277</v>
      </c>
      <c r="E2501" s="34">
        <v>347.49900000000002</v>
      </c>
      <c r="F2501" s="36">
        <v>7.4000000000012306E-2</v>
      </c>
      <c r="G2501" s="34">
        <v>7.4000000000012306E-2</v>
      </c>
      <c r="H2501" s="35">
        <v>74.3</v>
      </c>
      <c r="I2501" s="37">
        <f t="shared" si="39"/>
        <v>5.9846959323399109E-3</v>
      </c>
      <c r="J2501" s="33"/>
    </row>
    <row r="2502" spans="1:10">
      <c r="A2502" s="33" t="s">
        <v>94</v>
      </c>
      <c r="B2502" s="34">
        <v>347.42500000000001</v>
      </c>
      <c r="C2502" s="35">
        <v>12415</v>
      </c>
      <c r="D2502" s="33" t="s">
        <v>275</v>
      </c>
      <c r="E2502" s="34">
        <v>347.50299999999999</v>
      </c>
      <c r="F2502" s="36">
        <v>7.7999999999974506E-2</v>
      </c>
      <c r="G2502" s="34">
        <v>7.7999999999974506E-2</v>
      </c>
      <c r="H2502" s="35">
        <v>12.2</v>
      </c>
      <c r="I2502" s="37">
        <f t="shared" si="39"/>
        <v>9.8268223922674184E-4</v>
      </c>
      <c r="J2502" s="33"/>
    </row>
    <row r="2503" spans="1:10">
      <c r="A2503" s="33" t="s">
        <v>94</v>
      </c>
      <c r="B2503" s="34">
        <v>347.42500000000001</v>
      </c>
      <c r="C2503" s="35">
        <v>12415</v>
      </c>
      <c r="D2503" s="33" t="s">
        <v>239</v>
      </c>
      <c r="E2503" s="34">
        <v>347.512</v>
      </c>
      <c r="F2503" s="36">
        <v>8.69999999999891E-2</v>
      </c>
      <c r="G2503" s="34">
        <v>8.69999999999891E-2</v>
      </c>
      <c r="H2503" s="35">
        <v>38.6</v>
      </c>
      <c r="I2503" s="37">
        <f t="shared" si="39"/>
        <v>3.10914216673379E-3</v>
      </c>
      <c r="J2503" s="33"/>
    </row>
    <row r="2504" spans="1:10">
      <c r="A2504" s="33" t="s">
        <v>94</v>
      </c>
      <c r="B2504" s="34">
        <v>347.42500000000001</v>
      </c>
      <c r="C2504" s="35">
        <v>12415</v>
      </c>
      <c r="D2504" s="33" t="s">
        <v>237</v>
      </c>
      <c r="E2504" s="34">
        <v>347.52699999999999</v>
      </c>
      <c r="F2504" s="36">
        <v>0.101999999999975</v>
      </c>
      <c r="G2504" s="34">
        <v>0.101999999999975</v>
      </c>
      <c r="H2504" s="35">
        <v>3.6</v>
      </c>
      <c r="I2504" s="37">
        <f t="shared" si="39"/>
        <v>2.8997180829641562E-4</v>
      </c>
      <c r="J2504" s="33"/>
    </row>
    <row r="2505" spans="1:10">
      <c r="A2505" s="33" t="s">
        <v>94</v>
      </c>
      <c r="B2505" s="34">
        <v>347.42500000000001</v>
      </c>
      <c r="C2505" s="35">
        <v>12415</v>
      </c>
      <c r="D2505" s="33" t="s">
        <v>97</v>
      </c>
      <c r="E2505" s="34">
        <v>347.54500000000002</v>
      </c>
      <c r="F2505" s="36">
        <v>0.12000000000000501</v>
      </c>
      <c r="G2505" s="34">
        <v>0.12000000000000501</v>
      </c>
      <c r="H2505" s="35">
        <v>225.9</v>
      </c>
      <c r="I2505" s="37">
        <f t="shared" si="39"/>
        <v>1.819573097060008E-2</v>
      </c>
      <c r="J2505" s="33"/>
    </row>
    <row r="2506" spans="1:10">
      <c r="A2506" s="33" t="s">
        <v>94</v>
      </c>
      <c r="B2506" s="34">
        <v>347.42500000000001</v>
      </c>
      <c r="C2506" s="35">
        <v>12415</v>
      </c>
      <c r="D2506" s="33" t="s">
        <v>273</v>
      </c>
      <c r="E2506" s="34">
        <v>347.55799999999999</v>
      </c>
      <c r="F2506" s="36">
        <v>0.13299999999998099</v>
      </c>
      <c r="G2506" s="34">
        <v>0.13299999999998099</v>
      </c>
      <c r="H2506" s="35">
        <v>7.2</v>
      </c>
      <c r="I2506" s="37">
        <f t="shared" si="39"/>
        <v>5.7994361659283124E-4</v>
      </c>
      <c r="J2506" s="33"/>
    </row>
    <row r="2507" spans="1:10">
      <c r="A2507" s="33" t="s">
        <v>94</v>
      </c>
      <c r="B2507" s="34">
        <v>347.42500000000001</v>
      </c>
      <c r="C2507" s="35">
        <v>12415</v>
      </c>
      <c r="D2507" s="33" t="s">
        <v>25</v>
      </c>
      <c r="E2507" s="34">
        <v>347.56700000000001</v>
      </c>
      <c r="F2507" s="36">
        <v>0.14199999999999599</v>
      </c>
      <c r="G2507" s="34">
        <v>0.14199999999999599</v>
      </c>
      <c r="H2507" s="35">
        <v>61.7</v>
      </c>
      <c r="I2507" s="37">
        <f t="shared" si="39"/>
        <v>4.9697946033024571E-3</v>
      </c>
      <c r="J2507" s="33" t="s">
        <v>116</v>
      </c>
    </row>
    <row r="2508" spans="1:10">
      <c r="A2508" s="33" t="s">
        <v>94</v>
      </c>
      <c r="B2508" s="34">
        <v>347.42500000000001</v>
      </c>
      <c r="C2508" s="35">
        <v>12415</v>
      </c>
      <c r="D2508" s="33" t="s">
        <v>240</v>
      </c>
      <c r="E2508" s="34">
        <v>347.57600000000002</v>
      </c>
      <c r="F2508" s="36">
        <v>0.15100000000001099</v>
      </c>
      <c r="G2508" s="34">
        <v>0.15100000000001099</v>
      </c>
      <c r="H2508" s="35">
        <v>11</v>
      </c>
      <c r="I2508" s="37">
        <f t="shared" si="39"/>
        <v>8.8602496979460325E-4</v>
      </c>
      <c r="J2508" s="33"/>
    </row>
    <row r="2509" spans="1:10">
      <c r="A2509" s="33" t="s">
        <v>94</v>
      </c>
      <c r="B2509" s="34">
        <v>347.42500000000001</v>
      </c>
      <c r="C2509" s="35">
        <v>12415</v>
      </c>
      <c r="D2509" s="33" t="s">
        <v>274</v>
      </c>
      <c r="E2509" s="34">
        <v>347.58300000000003</v>
      </c>
      <c r="F2509" s="36">
        <v>0.15800000000001599</v>
      </c>
      <c r="G2509" s="34">
        <v>0.15800000000001599</v>
      </c>
      <c r="H2509" s="35">
        <v>6.9</v>
      </c>
      <c r="I2509" s="37">
        <f t="shared" si="39"/>
        <v>5.5577929923479662E-4</v>
      </c>
      <c r="J2509" s="33"/>
    </row>
    <row r="2510" spans="1:10">
      <c r="A2510" s="33" t="s">
        <v>94</v>
      </c>
      <c r="B2510" s="34">
        <v>347.42500000000001</v>
      </c>
      <c r="C2510" s="35">
        <v>12415</v>
      </c>
      <c r="D2510" s="33" t="s">
        <v>286</v>
      </c>
      <c r="E2510" s="34">
        <v>347.59899999999999</v>
      </c>
      <c r="F2510" s="36">
        <v>0.17399999999997801</v>
      </c>
      <c r="G2510" s="34">
        <v>0.17399999999997801</v>
      </c>
      <c r="H2510" s="35">
        <v>5.5</v>
      </c>
      <c r="I2510" s="37">
        <f t="shared" si="39"/>
        <v>4.4301248489730163E-4</v>
      </c>
      <c r="J2510" s="33"/>
    </row>
    <row r="2511" spans="1:10">
      <c r="A2511" s="33" t="s">
        <v>94</v>
      </c>
      <c r="B2511" s="34">
        <v>347.42500000000001</v>
      </c>
      <c r="C2511" s="35">
        <v>12415</v>
      </c>
      <c r="D2511" s="33" t="s">
        <v>63</v>
      </c>
      <c r="E2511" s="34">
        <v>347.63</v>
      </c>
      <c r="F2511" s="36">
        <v>0.20499999999999999</v>
      </c>
      <c r="G2511" s="34">
        <v>0.20499999999999999</v>
      </c>
      <c r="H2511" s="35">
        <v>1589.6</v>
      </c>
      <c r="I2511" s="37">
        <f t="shared" si="39"/>
        <v>0.12803866290777285</v>
      </c>
      <c r="J2511" s="33" t="s">
        <v>116</v>
      </c>
    </row>
    <row r="2512" spans="1:10">
      <c r="A2512" s="33" t="s">
        <v>94</v>
      </c>
      <c r="B2512" s="34">
        <v>347.42500000000001</v>
      </c>
      <c r="C2512" s="35">
        <v>12415</v>
      </c>
      <c r="D2512" s="33" t="s">
        <v>36</v>
      </c>
      <c r="E2512" s="34">
        <v>347.63099999999997</v>
      </c>
      <c r="F2512" s="36">
        <v>0.20599999999999999</v>
      </c>
      <c r="G2512" s="34">
        <v>0.20599999999999999</v>
      </c>
      <c r="H2512" s="35">
        <v>384.6</v>
      </c>
      <c r="I2512" s="37">
        <f t="shared" si="39"/>
        <v>3.0978654853000404E-2</v>
      </c>
      <c r="J2512" s="33" t="s">
        <v>116</v>
      </c>
    </row>
    <row r="2513" spans="1:10">
      <c r="A2513" s="33" t="s">
        <v>94</v>
      </c>
      <c r="B2513" s="34">
        <v>347.42500000000001</v>
      </c>
      <c r="C2513" s="35">
        <v>12415</v>
      </c>
      <c r="D2513" s="33" t="s">
        <v>54</v>
      </c>
      <c r="E2513" s="34">
        <v>347.63499999999999</v>
      </c>
      <c r="F2513" s="36">
        <v>0.20999999999998001</v>
      </c>
      <c r="G2513" s="34">
        <v>0.20999999999998001</v>
      </c>
      <c r="H2513" s="35">
        <v>10.3</v>
      </c>
      <c r="I2513" s="37">
        <f t="shared" si="39"/>
        <v>8.2964156262585584E-4</v>
      </c>
      <c r="J2513" s="33"/>
    </row>
    <row r="2514" spans="1:10">
      <c r="A2514" s="33" t="s">
        <v>94</v>
      </c>
      <c r="B2514" s="34">
        <v>347.42500000000001</v>
      </c>
      <c r="C2514" s="35">
        <v>12415</v>
      </c>
      <c r="D2514" s="33" t="s">
        <v>277</v>
      </c>
      <c r="E2514" s="34">
        <v>347.64400000000001</v>
      </c>
      <c r="F2514" s="36">
        <v>0.21899999999999401</v>
      </c>
      <c r="G2514" s="34">
        <v>0.21899999999999401</v>
      </c>
      <c r="H2514" s="35">
        <v>73</v>
      </c>
      <c r="I2514" s="37">
        <f t="shared" si="39"/>
        <v>5.8799838904550943E-3</v>
      </c>
      <c r="J2514" s="33"/>
    </row>
    <row r="2515" spans="1:10">
      <c r="A2515" s="33" t="s">
        <v>94</v>
      </c>
      <c r="B2515" s="34">
        <v>348.48399999999998</v>
      </c>
      <c r="C2515" s="35">
        <v>21258.5</v>
      </c>
      <c r="D2515" s="33" t="s">
        <v>54</v>
      </c>
      <c r="E2515" s="34">
        <v>348.34100000000001</v>
      </c>
      <c r="F2515" s="36">
        <v>0.14299999999997201</v>
      </c>
      <c r="G2515" s="34">
        <v>0.14299999999997201</v>
      </c>
      <c r="H2515" s="35">
        <v>125.9</v>
      </c>
      <c r="I2515" s="37">
        <f t="shared" si="39"/>
        <v>5.922336947573912E-3</v>
      </c>
      <c r="J2515" s="33"/>
    </row>
    <row r="2516" spans="1:10">
      <c r="A2516" s="33" t="s">
        <v>94</v>
      </c>
      <c r="B2516" s="34">
        <v>348.48399999999998</v>
      </c>
      <c r="C2516" s="35">
        <v>21258.5</v>
      </c>
      <c r="D2516" s="33" t="s">
        <v>294</v>
      </c>
      <c r="E2516" s="34">
        <v>348.34199999999998</v>
      </c>
      <c r="F2516" s="36">
        <v>0.14199999999999599</v>
      </c>
      <c r="G2516" s="34">
        <v>0.14199999999999599</v>
      </c>
      <c r="H2516" s="35">
        <v>10.3</v>
      </c>
      <c r="I2516" s="37">
        <f t="shared" si="39"/>
        <v>4.8451207752193243E-4</v>
      </c>
      <c r="J2516" s="33"/>
    </row>
    <row r="2517" spans="1:10">
      <c r="A2517" s="33" t="s">
        <v>94</v>
      </c>
      <c r="B2517" s="34">
        <v>348.48399999999998</v>
      </c>
      <c r="C2517" s="35">
        <v>21258.5</v>
      </c>
      <c r="D2517" s="33" t="s">
        <v>236</v>
      </c>
      <c r="E2517" s="34">
        <v>348.35300000000001</v>
      </c>
      <c r="F2517" s="36">
        <v>0.130999999999972</v>
      </c>
      <c r="G2517" s="34">
        <v>0.130999999999972</v>
      </c>
      <c r="H2517" s="35">
        <v>3679</v>
      </c>
      <c r="I2517" s="37">
        <f t="shared" si="39"/>
        <v>0.17306018768963002</v>
      </c>
      <c r="J2517" s="33"/>
    </row>
    <row r="2518" spans="1:10">
      <c r="A2518" s="33" t="s">
        <v>94</v>
      </c>
      <c r="B2518" s="34">
        <v>348.48399999999998</v>
      </c>
      <c r="C2518" s="35">
        <v>21258.5</v>
      </c>
      <c r="D2518" s="33" t="s">
        <v>237</v>
      </c>
      <c r="E2518" s="34">
        <v>348.363</v>
      </c>
      <c r="F2518" s="36">
        <v>0.120999999999981</v>
      </c>
      <c r="G2518" s="34">
        <v>0.120999999999981</v>
      </c>
      <c r="H2518" s="35">
        <v>106.4</v>
      </c>
      <c r="I2518" s="37">
        <f t="shared" si="39"/>
        <v>5.0050568008090882E-3</v>
      </c>
      <c r="J2518" s="33"/>
    </row>
    <row r="2519" spans="1:10">
      <c r="A2519" s="33" t="s">
        <v>94</v>
      </c>
      <c r="B2519" s="34">
        <v>348.48399999999998</v>
      </c>
      <c r="C2519" s="35">
        <v>21258.5</v>
      </c>
      <c r="D2519" s="33" t="s">
        <v>201</v>
      </c>
      <c r="E2519" s="34">
        <v>348.36900000000003</v>
      </c>
      <c r="F2519" s="36">
        <v>0.114999999999952</v>
      </c>
      <c r="G2519" s="34">
        <v>0.114999999999952</v>
      </c>
      <c r="H2519" s="35">
        <v>544.70000000000005</v>
      </c>
      <c r="I2519" s="37">
        <f t="shared" si="39"/>
        <v>2.5622692099630737E-2</v>
      </c>
      <c r="J2519" s="33"/>
    </row>
    <row r="2520" spans="1:10">
      <c r="A2520" s="33" t="s">
        <v>94</v>
      </c>
      <c r="B2520" s="34">
        <v>348.48399999999998</v>
      </c>
      <c r="C2520" s="35">
        <v>21258.5</v>
      </c>
      <c r="D2520" s="33" t="s">
        <v>286</v>
      </c>
      <c r="E2520" s="34">
        <v>348.375</v>
      </c>
      <c r="F2520" s="36">
        <v>0.10899999999998</v>
      </c>
      <c r="G2520" s="34">
        <v>0.10899999999998</v>
      </c>
      <c r="H2520" s="35">
        <v>14.8</v>
      </c>
      <c r="I2520" s="37">
        <f t="shared" si="39"/>
        <v>6.9619211139073788E-4</v>
      </c>
      <c r="J2520" s="33"/>
    </row>
    <row r="2521" spans="1:10">
      <c r="A2521" s="33" t="s">
        <v>94</v>
      </c>
      <c r="B2521" s="34">
        <v>348.48399999999998</v>
      </c>
      <c r="C2521" s="35">
        <v>21258.5</v>
      </c>
      <c r="D2521" s="33" t="s">
        <v>165</v>
      </c>
      <c r="E2521" s="34">
        <v>348.37700000000001</v>
      </c>
      <c r="F2521" s="36">
        <v>0.10699999999997099</v>
      </c>
      <c r="G2521" s="34">
        <v>0.10699999999997099</v>
      </c>
      <c r="H2521" s="35">
        <v>333.3</v>
      </c>
      <c r="I2521" s="37">
        <f t="shared" si="39"/>
        <v>1.5678434508549523E-2</v>
      </c>
      <c r="J2521" s="33"/>
    </row>
    <row r="2522" spans="1:10">
      <c r="A2522" s="33" t="s">
        <v>94</v>
      </c>
      <c r="B2522" s="34">
        <v>348.48399999999998</v>
      </c>
      <c r="C2522" s="35">
        <v>21258.5</v>
      </c>
      <c r="D2522" s="33" t="s">
        <v>54</v>
      </c>
      <c r="E2522" s="34">
        <v>348.37900000000002</v>
      </c>
      <c r="F2522" s="36">
        <v>0.104999999999961</v>
      </c>
      <c r="G2522" s="34">
        <v>0.104999999999961</v>
      </c>
      <c r="H2522" s="35">
        <v>7.3</v>
      </c>
      <c r="I2522" s="37">
        <f t="shared" si="39"/>
        <v>3.4339205494272879E-4</v>
      </c>
      <c r="J2522" s="33"/>
    </row>
    <row r="2523" spans="1:10">
      <c r="A2523" s="33" t="s">
        <v>94</v>
      </c>
      <c r="B2523" s="34">
        <v>348.48399999999998</v>
      </c>
      <c r="C2523" s="35">
        <v>21258.5</v>
      </c>
      <c r="D2523" s="33" t="s">
        <v>275</v>
      </c>
      <c r="E2523" s="34">
        <v>348.38299999999998</v>
      </c>
      <c r="F2523" s="36">
        <v>0.10099999999999899</v>
      </c>
      <c r="G2523" s="34">
        <v>0.10099999999999899</v>
      </c>
      <c r="H2523" s="35">
        <v>13.9</v>
      </c>
      <c r="I2523" s="37">
        <f t="shared" si="39"/>
        <v>6.5385610461697673E-4</v>
      </c>
      <c r="J2523" s="33"/>
    </row>
    <row r="2524" spans="1:10">
      <c r="A2524" s="33" t="s">
        <v>94</v>
      </c>
      <c r="B2524" s="34">
        <v>348.48399999999998</v>
      </c>
      <c r="C2524" s="35">
        <v>21258.5</v>
      </c>
      <c r="D2524" s="33" t="s">
        <v>282</v>
      </c>
      <c r="E2524" s="34">
        <v>348.40300000000002</v>
      </c>
      <c r="F2524" s="36">
        <v>8.0999999999960395E-2</v>
      </c>
      <c r="G2524" s="34">
        <v>8.0999999999960395E-2</v>
      </c>
      <c r="H2524" s="35">
        <v>9.1</v>
      </c>
      <c r="I2524" s="37">
        <f t="shared" si="39"/>
        <v>4.2806406849025093E-4</v>
      </c>
      <c r="J2524" s="33"/>
    </row>
    <row r="2525" spans="1:10">
      <c r="A2525" s="33" t="s">
        <v>94</v>
      </c>
      <c r="B2525" s="34">
        <v>348.48399999999998</v>
      </c>
      <c r="C2525" s="35">
        <v>21258.5</v>
      </c>
      <c r="D2525" s="33" t="s">
        <v>273</v>
      </c>
      <c r="E2525" s="34">
        <v>348.40499999999997</v>
      </c>
      <c r="F2525" s="36">
        <v>7.9000000000007703E-2</v>
      </c>
      <c r="G2525" s="34">
        <v>7.9000000000007703E-2</v>
      </c>
      <c r="H2525" s="35">
        <v>675.6</v>
      </c>
      <c r="I2525" s="37">
        <f t="shared" si="39"/>
        <v>3.1780229084836652E-2</v>
      </c>
      <c r="J2525" s="33"/>
    </row>
    <row r="2526" spans="1:10">
      <c r="A2526" s="33" t="s">
        <v>94</v>
      </c>
      <c r="B2526" s="34">
        <v>348.48399999999998</v>
      </c>
      <c r="C2526" s="35">
        <v>21258.5</v>
      </c>
      <c r="D2526" s="33" t="s">
        <v>271</v>
      </c>
      <c r="E2526" s="34">
        <v>348.40800000000002</v>
      </c>
      <c r="F2526" s="36">
        <v>7.5999999999964998E-2</v>
      </c>
      <c r="G2526" s="34">
        <v>7.5999999999964998E-2</v>
      </c>
      <c r="H2526" s="35">
        <v>119.1</v>
      </c>
      <c r="I2526" s="37">
        <f t="shared" si="39"/>
        <v>5.6024648963943829E-3</v>
      </c>
      <c r="J2526" s="33"/>
    </row>
    <row r="2527" spans="1:10">
      <c r="A2527" s="33" t="s">
        <v>94</v>
      </c>
      <c r="B2527" s="34">
        <v>348.48399999999998</v>
      </c>
      <c r="C2527" s="35">
        <v>21258.5</v>
      </c>
      <c r="D2527" s="33" t="s">
        <v>239</v>
      </c>
      <c r="E2527" s="34">
        <v>348.416</v>
      </c>
      <c r="F2527" s="36">
        <v>6.7999999999983601E-2</v>
      </c>
      <c r="G2527" s="34">
        <v>6.7999999999983601E-2</v>
      </c>
      <c r="H2527" s="35">
        <v>43.5</v>
      </c>
      <c r="I2527" s="37">
        <f t="shared" si="39"/>
        <v>2.0462403273984525E-3</v>
      </c>
      <c r="J2527" s="33"/>
    </row>
    <row r="2528" spans="1:10">
      <c r="A2528" s="33" t="s">
        <v>94</v>
      </c>
      <c r="B2528" s="34">
        <v>348.48399999999998</v>
      </c>
      <c r="C2528" s="35">
        <v>21258.5</v>
      </c>
      <c r="D2528" s="33" t="s">
        <v>290</v>
      </c>
      <c r="E2528" s="34">
        <v>348.44799999999998</v>
      </c>
      <c r="F2528" s="36">
        <v>3.6000000000001399E-2</v>
      </c>
      <c r="G2528" s="34">
        <v>3.6000000000001399E-2</v>
      </c>
      <c r="H2528" s="35">
        <v>6</v>
      </c>
      <c r="I2528" s="37">
        <f t="shared" si="39"/>
        <v>2.8224004515840724E-4</v>
      </c>
      <c r="J2528" s="33"/>
    </row>
    <row r="2529" spans="1:10">
      <c r="A2529" s="33" t="s">
        <v>94</v>
      </c>
      <c r="B2529" s="34">
        <v>348.48399999999998</v>
      </c>
      <c r="C2529" s="35">
        <v>21258.5</v>
      </c>
      <c r="D2529" s="33" t="s">
        <v>275</v>
      </c>
      <c r="E2529" s="34">
        <v>348.45600000000002</v>
      </c>
      <c r="F2529" s="36">
        <v>2.79999999999632E-2</v>
      </c>
      <c r="G2529" s="34">
        <v>2.79999999999632E-2</v>
      </c>
      <c r="H2529" s="35">
        <v>20.3</v>
      </c>
      <c r="I2529" s="37">
        <f t="shared" si="39"/>
        <v>9.5491215278594452E-4</v>
      </c>
      <c r="J2529" s="33"/>
    </row>
    <row r="2530" spans="1:10">
      <c r="A2530" s="33" t="s">
        <v>94</v>
      </c>
      <c r="B2530" s="34">
        <v>348.48399999999998</v>
      </c>
      <c r="C2530" s="35">
        <v>21258.5</v>
      </c>
      <c r="D2530" s="33" t="s">
        <v>292</v>
      </c>
      <c r="E2530" s="34">
        <v>348.46</v>
      </c>
      <c r="F2530" s="36">
        <v>2.4000000000000899E-2</v>
      </c>
      <c r="G2530" s="34">
        <v>2.4000000000000899E-2</v>
      </c>
      <c r="H2530" s="35">
        <v>0.3</v>
      </c>
      <c r="I2530" s="37">
        <f t="shared" si="39"/>
        <v>1.411200225792036E-5</v>
      </c>
      <c r="J2530" s="33"/>
    </row>
    <row r="2531" spans="1:10">
      <c r="A2531" s="33" t="s">
        <v>94</v>
      </c>
      <c r="B2531" s="34">
        <v>348.48399999999998</v>
      </c>
      <c r="C2531" s="35">
        <v>21258.5</v>
      </c>
      <c r="D2531" s="33" t="s">
        <v>193</v>
      </c>
      <c r="E2531" s="34">
        <v>348.46199999999999</v>
      </c>
      <c r="F2531" s="36">
        <v>2.1999999999991401E-2</v>
      </c>
      <c r="G2531" s="34">
        <v>2.1999999999991401E-2</v>
      </c>
      <c r="H2531" s="35">
        <v>78</v>
      </c>
      <c r="I2531" s="37">
        <f t="shared" si="39"/>
        <v>3.6691205870592941E-3</v>
      </c>
      <c r="J2531" s="33"/>
    </row>
    <row r="2532" spans="1:10">
      <c r="A2532" s="33" t="s">
        <v>94</v>
      </c>
      <c r="B2532" s="34">
        <v>348.48399999999998</v>
      </c>
      <c r="C2532" s="35">
        <v>21258.5</v>
      </c>
      <c r="D2532" s="33" t="s">
        <v>33</v>
      </c>
      <c r="E2532" s="34">
        <v>348.46800000000002</v>
      </c>
      <c r="F2532" s="36">
        <v>1.59999999999627E-2</v>
      </c>
      <c r="G2532" s="34">
        <v>1.59999999999627E-2</v>
      </c>
      <c r="H2532" s="35">
        <v>483.8</v>
      </c>
      <c r="I2532" s="37">
        <f t="shared" si="39"/>
        <v>2.2757955641272903E-2</v>
      </c>
      <c r="J2532" s="33" t="s">
        <v>116</v>
      </c>
    </row>
    <row r="2533" spans="1:10">
      <c r="A2533" s="33" t="s">
        <v>94</v>
      </c>
      <c r="B2533" s="34">
        <v>348.48399999999998</v>
      </c>
      <c r="C2533" s="35">
        <v>21258.5</v>
      </c>
      <c r="D2533" s="33" t="s">
        <v>25</v>
      </c>
      <c r="E2533" s="34">
        <v>348.46899999999999</v>
      </c>
      <c r="F2533" s="36">
        <v>1.4999999999986399E-2</v>
      </c>
      <c r="G2533" s="34">
        <v>1.4999999999986399E-2</v>
      </c>
      <c r="H2533" s="35">
        <v>267.39999999999998</v>
      </c>
      <c r="I2533" s="37">
        <f t="shared" si="39"/>
        <v>1.2578498012559681E-2</v>
      </c>
      <c r="J2533" s="33" t="s">
        <v>116</v>
      </c>
    </row>
    <row r="2534" spans="1:10">
      <c r="A2534" s="33" t="s">
        <v>94</v>
      </c>
      <c r="B2534" s="34">
        <v>348.48399999999998</v>
      </c>
      <c r="C2534" s="35">
        <v>21258.5</v>
      </c>
      <c r="D2534" s="33" t="s">
        <v>27</v>
      </c>
      <c r="E2534" s="34">
        <v>348.488</v>
      </c>
      <c r="F2534" s="36">
        <v>4.0000000000191003E-3</v>
      </c>
      <c r="G2534" s="34">
        <v>4.0000000000191003E-3</v>
      </c>
      <c r="H2534" s="35">
        <v>183.2</v>
      </c>
      <c r="I2534" s="37">
        <f t="shared" si="39"/>
        <v>8.6177293788367009E-3</v>
      </c>
      <c r="J2534" s="33" t="s">
        <v>116</v>
      </c>
    </row>
    <row r="2535" spans="1:10">
      <c r="A2535" s="33" t="s">
        <v>94</v>
      </c>
      <c r="B2535" s="34">
        <v>348.48399999999998</v>
      </c>
      <c r="C2535" s="35">
        <v>21258.5</v>
      </c>
      <c r="D2535" s="33" t="s">
        <v>25</v>
      </c>
      <c r="E2535" s="34">
        <v>348.505</v>
      </c>
      <c r="F2535" s="36">
        <v>2.1000000000015E-2</v>
      </c>
      <c r="G2535" s="34">
        <v>2.1000000000015E-2</v>
      </c>
      <c r="H2535" s="35">
        <v>1482.5</v>
      </c>
      <c r="I2535" s="37">
        <f t="shared" si="39"/>
        <v>6.973681115788978E-2</v>
      </c>
      <c r="J2535" s="33" t="s">
        <v>116</v>
      </c>
    </row>
    <row r="2536" spans="1:10">
      <c r="A2536" s="33" t="s">
        <v>94</v>
      </c>
      <c r="B2536" s="34">
        <v>348.48399999999998</v>
      </c>
      <c r="C2536" s="35">
        <v>21258.5</v>
      </c>
      <c r="D2536" s="33" t="s">
        <v>165</v>
      </c>
      <c r="E2536" s="34">
        <v>348.51100000000002</v>
      </c>
      <c r="F2536" s="36">
        <v>2.7000000000043701E-2</v>
      </c>
      <c r="G2536" s="34">
        <v>2.7000000000043701E-2</v>
      </c>
      <c r="H2536" s="35">
        <v>10.5</v>
      </c>
      <c r="I2536" s="37">
        <f t="shared" si="39"/>
        <v>4.9392007902721263E-4</v>
      </c>
      <c r="J2536" s="33"/>
    </row>
    <row r="2537" spans="1:10">
      <c r="A2537" s="33" t="s">
        <v>94</v>
      </c>
      <c r="B2537" s="34">
        <v>348.48399999999998</v>
      </c>
      <c r="C2537" s="35">
        <v>21258.5</v>
      </c>
      <c r="D2537" s="33" t="s">
        <v>269</v>
      </c>
      <c r="E2537" s="34">
        <v>348.517</v>
      </c>
      <c r="F2537" s="36">
        <v>3.3000000000015503E-2</v>
      </c>
      <c r="G2537" s="34">
        <v>3.3000000000015503E-2</v>
      </c>
      <c r="H2537" s="35">
        <v>51.3</v>
      </c>
      <c r="I2537" s="37">
        <f t="shared" si="39"/>
        <v>2.4131523861043815E-3</v>
      </c>
      <c r="J2537" s="33"/>
    </row>
    <row r="2538" spans="1:10">
      <c r="A2538" s="33" t="s">
        <v>94</v>
      </c>
      <c r="B2538" s="34">
        <v>348.48399999999998</v>
      </c>
      <c r="C2538" s="35">
        <v>21258.5</v>
      </c>
      <c r="D2538" s="33" t="s">
        <v>271</v>
      </c>
      <c r="E2538" s="34">
        <v>348.52100000000002</v>
      </c>
      <c r="F2538" s="36">
        <v>3.7000000000034602E-2</v>
      </c>
      <c r="G2538" s="34">
        <v>3.7000000000034602E-2</v>
      </c>
      <c r="H2538" s="35">
        <v>385</v>
      </c>
      <c r="I2538" s="37">
        <f t="shared" si="39"/>
        <v>1.8110402897664465E-2</v>
      </c>
      <c r="J2538" s="33"/>
    </row>
    <row r="2539" spans="1:10">
      <c r="A2539" s="33" t="s">
        <v>94</v>
      </c>
      <c r="B2539" s="34">
        <v>348.48399999999998</v>
      </c>
      <c r="C2539" s="35">
        <v>21258.5</v>
      </c>
      <c r="D2539" s="33" t="s">
        <v>294</v>
      </c>
      <c r="E2539" s="34">
        <v>348.52600000000001</v>
      </c>
      <c r="F2539" s="36">
        <v>4.2000000000029999E-2</v>
      </c>
      <c r="G2539" s="34">
        <v>4.2000000000029999E-2</v>
      </c>
      <c r="H2539" s="35">
        <v>59.1</v>
      </c>
      <c r="I2539" s="37">
        <f t="shared" si="39"/>
        <v>2.780064444810311E-3</v>
      </c>
      <c r="J2539" s="33"/>
    </row>
    <row r="2540" spans="1:10">
      <c r="A2540" s="33" t="s">
        <v>94</v>
      </c>
      <c r="B2540" s="34">
        <v>348.48399999999998</v>
      </c>
      <c r="C2540" s="35">
        <v>21258.5</v>
      </c>
      <c r="D2540" s="33" t="s">
        <v>236</v>
      </c>
      <c r="E2540" s="34">
        <v>348.52800000000002</v>
      </c>
      <c r="F2540" s="36">
        <v>4.4000000000039598E-2</v>
      </c>
      <c r="G2540" s="34">
        <v>4.4000000000039598E-2</v>
      </c>
      <c r="H2540" s="35">
        <v>462.6</v>
      </c>
      <c r="I2540" s="37">
        <f t="shared" si="39"/>
        <v>2.1760707481713198E-2</v>
      </c>
      <c r="J2540" s="33"/>
    </row>
    <row r="2541" spans="1:10">
      <c r="A2541" s="33" t="s">
        <v>94</v>
      </c>
      <c r="B2541" s="34">
        <v>348.48399999999998</v>
      </c>
      <c r="C2541" s="35">
        <v>21258.5</v>
      </c>
      <c r="D2541" s="33" t="s">
        <v>97</v>
      </c>
      <c r="E2541" s="34">
        <v>348.53300000000002</v>
      </c>
      <c r="F2541" s="36">
        <v>4.9000000000035002E-2</v>
      </c>
      <c r="G2541" s="34">
        <v>4.9000000000035002E-2</v>
      </c>
      <c r="H2541" s="35">
        <v>49</v>
      </c>
      <c r="I2541" s="37">
        <f t="shared" si="39"/>
        <v>2.3049603687936588E-3</v>
      </c>
      <c r="J2541" s="33"/>
    </row>
    <row r="2542" spans="1:10">
      <c r="A2542" s="33" t="s">
        <v>94</v>
      </c>
      <c r="B2542" s="34">
        <v>348.48399999999998</v>
      </c>
      <c r="C2542" s="35">
        <v>21258.5</v>
      </c>
      <c r="D2542" s="33" t="s">
        <v>54</v>
      </c>
      <c r="E2542" s="34">
        <v>348.536</v>
      </c>
      <c r="F2542" s="36">
        <v>5.2000000000020898E-2</v>
      </c>
      <c r="G2542" s="34">
        <v>5.2000000000020898E-2</v>
      </c>
      <c r="H2542" s="35">
        <v>142.80000000000001</v>
      </c>
      <c r="I2542" s="37">
        <f t="shared" si="39"/>
        <v>6.7173130747700928E-3</v>
      </c>
      <c r="J2542" s="33"/>
    </row>
    <row r="2543" spans="1:10">
      <c r="A2543" s="33" t="s">
        <v>94</v>
      </c>
      <c r="B2543" s="34">
        <v>348.48399999999998</v>
      </c>
      <c r="C2543" s="35">
        <v>21258.5</v>
      </c>
      <c r="D2543" s="33" t="s">
        <v>285</v>
      </c>
      <c r="E2543" s="34">
        <v>348.55500000000001</v>
      </c>
      <c r="F2543" s="36">
        <v>7.1000000000026403E-2</v>
      </c>
      <c r="G2543" s="34">
        <v>7.1000000000026403E-2</v>
      </c>
      <c r="H2543" s="35">
        <v>10.1</v>
      </c>
      <c r="I2543" s="37">
        <f t="shared" si="39"/>
        <v>4.7510407601665213E-4</v>
      </c>
      <c r="J2543" s="33"/>
    </row>
    <row r="2544" spans="1:10">
      <c r="A2544" s="33" t="s">
        <v>94</v>
      </c>
      <c r="B2544" s="34">
        <v>348.48399999999998</v>
      </c>
      <c r="C2544" s="35">
        <v>21258.5</v>
      </c>
      <c r="D2544" s="33" t="s">
        <v>240</v>
      </c>
      <c r="E2544" s="34">
        <v>348.572</v>
      </c>
      <c r="F2544" s="36">
        <v>8.8000000000022296E-2</v>
      </c>
      <c r="G2544" s="34">
        <v>8.8000000000022296E-2</v>
      </c>
      <c r="H2544" s="35">
        <v>37.6</v>
      </c>
      <c r="I2544" s="37">
        <f t="shared" si="39"/>
        <v>1.7687042829926853E-3</v>
      </c>
      <c r="J2544" s="33"/>
    </row>
    <row r="2545" spans="1:10">
      <c r="A2545" s="33" t="s">
        <v>94</v>
      </c>
      <c r="B2545" s="34">
        <v>348.48399999999998</v>
      </c>
      <c r="C2545" s="35">
        <v>21258.5</v>
      </c>
      <c r="D2545" s="33" t="s">
        <v>63</v>
      </c>
      <c r="E2545" s="34">
        <v>348.57600000000002</v>
      </c>
      <c r="F2545" s="36">
        <v>9.2000000000041396E-2</v>
      </c>
      <c r="G2545" s="34">
        <v>9.2000000000041396E-2</v>
      </c>
      <c r="H2545" s="35">
        <v>2959.3</v>
      </c>
      <c r="I2545" s="37">
        <f t="shared" si="39"/>
        <v>0.13920549427287909</v>
      </c>
      <c r="J2545" s="33" t="s">
        <v>116</v>
      </c>
    </row>
    <row r="2546" spans="1:10">
      <c r="A2546" s="33" t="s">
        <v>94</v>
      </c>
      <c r="B2546" s="34">
        <v>348.48399999999998</v>
      </c>
      <c r="C2546" s="35">
        <v>21258.5</v>
      </c>
      <c r="D2546" s="33" t="s">
        <v>84</v>
      </c>
      <c r="E2546" s="34">
        <v>348.58499999999998</v>
      </c>
      <c r="F2546" s="36">
        <v>0.10099999999999899</v>
      </c>
      <c r="G2546" s="34">
        <v>0.10099999999999899</v>
      </c>
      <c r="H2546" s="35">
        <v>3640.6</v>
      </c>
      <c r="I2546" s="37">
        <f t="shared" si="39"/>
        <v>0.17125385140061622</v>
      </c>
      <c r="J2546" s="33" t="s">
        <v>116</v>
      </c>
    </row>
    <row r="2547" spans="1:10">
      <c r="A2547" s="33" t="s">
        <v>94</v>
      </c>
      <c r="B2547" s="34">
        <v>348.48399999999998</v>
      </c>
      <c r="C2547" s="35">
        <v>21258.5</v>
      </c>
      <c r="D2547" s="33" t="s">
        <v>165</v>
      </c>
      <c r="E2547" s="34">
        <v>348.58800000000002</v>
      </c>
      <c r="F2547" s="36">
        <v>0.104000000000042</v>
      </c>
      <c r="G2547" s="34">
        <v>0.104000000000042</v>
      </c>
      <c r="H2547" s="35">
        <v>28.8</v>
      </c>
      <c r="I2547" s="37">
        <f t="shared" si="39"/>
        <v>1.3547522167603548E-3</v>
      </c>
      <c r="J2547" s="33"/>
    </row>
    <row r="2548" spans="1:10">
      <c r="A2548" s="33" t="s">
        <v>94</v>
      </c>
      <c r="B2548" s="34">
        <v>348.48399999999998</v>
      </c>
      <c r="C2548" s="35">
        <v>21258.5</v>
      </c>
      <c r="D2548" s="33" t="s">
        <v>33</v>
      </c>
      <c r="E2548" s="34">
        <v>348.59199999999998</v>
      </c>
      <c r="F2548" s="36">
        <v>0.108000000000004</v>
      </c>
      <c r="G2548" s="34">
        <v>0.108000000000004</v>
      </c>
      <c r="H2548" s="35">
        <v>353.6</v>
      </c>
      <c r="I2548" s="37">
        <f t="shared" si="39"/>
        <v>1.6633346661335466E-2</v>
      </c>
      <c r="J2548" s="33" t="s">
        <v>116</v>
      </c>
    </row>
    <row r="2549" spans="1:10">
      <c r="A2549" s="33" t="s">
        <v>94</v>
      </c>
      <c r="B2549" s="34">
        <v>348.48399999999998</v>
      </c>
      <c r="C2549" s="35">
        <v>21258.5</v>
      </c>
      <c r="D2549" s="33" t="s">
        <v>278</v>
      </c>
      <c r="E2549" s="34">
        <v>348.59199999999998</v>
      </c>
      <c r="F2549" s="36">
        <v>0.108000000000004</v>
      </c>
      <c r="G2549" s="34">
        <v>0.108000000000004</v>
      </c>
      <c r="H2549" s="35">
        <v>484.9</v>
      </c>
      <c r="I2549" s="37">
        <f t="shared" si="39"/>
        <v>2.2809699649551943E-2</v>
      </c>
      <c r="J2549" s="33"/>
    </row>
    <row r="2550" spans="1:10">
      <c r="A2550" s="33" t="s">
        <v>94</v>
      </c>
      <c r="B2550" s="34">
        <v>348.48399999999998</v>
      </c>
      <c r="C2550" s="35">
        <v>21258.5</v>
      </c>
      <c r="D2550" s="33" t="s">
        <v>275</v>
      </c>
      <c r="E2550" s="34">
        <v>348.59300000000002</v>
      </c>
      <c r="F2550" s="36">
        <v>0.109000000000037</v>
      </c>
      <c r="G2550" s="34">
        <v>0.109000000000037</v>
      </c>
      <c r="H2550" s="35">
        <v>16.7</v>
      </c>
      <c r="I2550" s="37">
        <f t="shared" si="39"/>
        <v>7.8556812569090012E-4</v>
      </c>
      <c r="J2550" s="33"/>
    </row>
    <row r="2551" spans="1:10">
      <c r="A2551" s="33" t="s">
        <v>94</v>
      </c>
      <c r="B2551" s="34">
        <v>348.48399999999998</v>
      </c>
      <c r="C2551" s="35">
        <v>21258.5</v>
      </c>
      <c r="D2551" s="33" t="s">
        <v>273</v>
      </c>
      <c r="E2551" s="34">
        <v>348.59300000000002</v>
      </c>
      <c r="F2551" s="36">
        <v>0.109000000000037</v>
      </c>
      <c r="G2551" s="34">
        <v>0.109000000000037</v>
      </c>
      <c r="H2551" s="35">
        <v>78</v>
      </c>
      <c r="I2551" s="37">
        <f t="shared" si="39"/>
        <v>3.6691205870592941E-3</v>
      </c>
      <c r="J2551" s="33"/>
    </row>
    <row r="2552" spans="1:10">
      <c r="A2552" s="33" t="s">
        <v>94</v>
      </c>
      <c r="B2552" s="34">
        <v>348.48399999999998</v>
      </c>
      <c r="C2552" s="35">
        <v>21258.5</v>
      </c>
      <c r="D2552" s="33" t="s">
        <v>54</v>
      </c>
      <c r="E2552" s="34">
        <v>348.61200000000002</v>
      </c>
      <c r="F2552" s="36">
        <v>0.128000000000043</v>
      </c>
      <c r="G2552" s="34">
        <v>0.128000000000043</v>
      </c>
      <c r="H2552" s="35">
        <v>25</v>
      </c>
      <c r="I2552" s="37">
        <f t="shared" si="39"/>
        <v>1.1760001881600301E-3</v>
      </c>
      <c r="J2552" s="33"/>
    </row>
    <row r="2553" spans="1:10">
      <c r="A2553" s="33" t="s">
        <v>94</v>
      </c>
      <c r="B2553" s="34">
        <v>348.48399999999998</v>
      </c>
      <c r="C2553" s="35">
        <v>21258.5</v>
      </c>
      <c r="D2553" s="33" t="s">
        <v>84</v>
      </c>
      <c r="E2553" s="34">
        <v>349.45499999999998</v>
      </c>
      <c r="F2553" s="36">
        <v>0.97099999999999997</v>
      </c>
      <c r="G2553" s="34">
        <v>0.97099999999999997</v>
      </c>
      <c r="H2553" s="35">
        <v>448.3</v>
      </c>
      <c r="I2553" s="37">
        <f t="shared" si="39"/>
        <v>2.108803537408566E-2</v>
      </c>
      <c r="J2553" s="33" t="s">
        <v>116</v>
      </c>
    </row>
    <row r="2554" spans="1:10">
      <c r="A2554" s="33" t="s">
        <v>94</v>
      </c>
      <c r="B2554" s="34">
        <v>349.476</v>
      </c>
      <c r="C2554" s="35">
        <v>12259.5</v>
      </c>
      <c r="D2554" s="33" t="s">
        <v>165</v>
      </c>
      <c r="E2554" s="34">
        <v>349.29500000000002</v>
      </c>
      <c r="F2554" s="36">
        <v>0.18099999999998301</v>
      </c>
      <c r="G2554" s="34">
        <v>0.18099999999998301</v>
      </c>
      <c r="H2554" s="35">
        <v>4243.5</v>
      </c>
      <c r="I2554" s="37">
        <f t="shared" si="39"/>
        <v>0.3461397283739141</v>
      </c>
      <c r="J2554" s="33"/>
    </row>
    <row r="2555" spans="1:10">
      <c r="A2555" s="33" t="s">
        <v>94</v>
      </c>
      <c r="B2555" s="34">
        <v>349.476</v>
      </c>
      <c r="C2555" s="35">
        <v>12259.5</v>
      </c>
      <c r="D2555" s="33" t="s">
        <v>94</v>
      </c>
      <c r="E2555" s="34">
        <v>349.30900000000003</v>
      </c>
      <c r="F2555" s="36">
        <v>0.16700000000000001</v>
      </c>
      <c r="G2555" s="34">
        <v>0.16700000000000001</v>
      </c>
      <c r="H2555" s="35">
        <v>2237.4</v>
      </c>
      <c r="I2555" s="37">
        <f t="shared" si="39"/>
        <v>0.18250336473755047</v>
      </c>
      <c r="J2555" s="33" t="s">
        <v>116</v>
      </c>
    </row>
    <row r="2556" spans="1:10">
      <c r="A2556" s="33" t="s">
        <v>94</v>
      </c>
      <c r="B2556" s="34">
        <v>349.476</v>
      </c>
      <c r="C2556" s="35">
        <v>12259.5</v>
      </c>
      <c r="D2556" s="33" t="s">
        <v>25</v>
      </c>
      <c r="E2556" s="34">
        <v>349.31</v>
      </c>
      <c r="F2556" s="36">
        <v>0.16599999999999701</v>
      </c>
      <c r="G2556" s="34">
        <v>0.16599999999999701</v>
      </c>
      <c r="H2556" s="35">
        <v>222.1</v>
      </c>
      <c r="I2556" s="37">
        <f t="shared" si="39"/>
        <v>1.8116562665687834E-2</v>
      </c>
      <c r="J2556" s="33" t="s">
        <v>116</v>
      </c>
    </row>
    <row r="2557" spans="1:10">
      <c r="A2557" s="33" t="s">
        <v>94</v>
      </c>
      <c r="B2557" s="34">
        <v>349.476</v>
      </c>
      <c r="C2557" s="35">
        <v>12259.5</v>
      </c>
      <c r="D2557" s="33" t="s">
        <v>278</v>
      </c>
      <c r="E2557" s="34">
        <v>349.31599999999997</v>
      </c>
      <c r="F2557" s="36">
        <v>0.16000000000002501</v>
      </c>
      <c r="G2557" s="34">
        <v>0.16000000000002501</v>
      </c>
      <c r="H2557" s="35">
        <v>447</v>
      </c>
      <c r="I2557" s="37">
        <f t="shared" si="39"/>
        <v>3.6461519637831882E-2</v>
      </c>
      <c r="J2557" s="33"/>
    </row>
    <row r="2558" spans="1:10">
      <c r="A2558" s="33" t="s">
        <v>94</v>
      </c>
      <c r="B2558" s="34">
        <v>349.476</v>
      </c>
      <c r="C2558" s="35">
        <v>12259.5</v>
      </c>
      <c r="D2558" s="33" t="s">
        <v>287</v>
      </c>
      <c r="E2558" s="34">
        <v>349.327</v>
      </c>
      <c r="F2558" s="36">
        <v>0.14900000000000099</v>
      </c>
      <c r="G2558" s="34">
        <v>0.14900000000000099</v>
      </c>
      <c r="H2558" s="35">
        <v>1043</v>
      </c>
      <c r="I2558" s="37">
        <f t="shared" si="39"/>
        <v>8.5076879154941068E-2</v>
      </c>
      <c r="J2558" s="33"/>
    </row>
    <row r="2559" spans="1:10">
      <c r="A2559" s="33" t="s">
        <v>94</v>
      </c>
      <c r="B2559" s="34">
        <v>349.476</v>
      </c>
      <c r="C2559" s="35">
        <v>12259.5</v>
      </c>
      <c r="D2559" s="33" t="s">
        <v>277</v>
      </c>
      <c r="E2559" s="34">
        <v>349.33300000000003</v>
      </c>
      <c r="F2559" s="36">
        <v>0.14299999999997201</v>
      </c>
      <c r="G2559" s="34">
        <v>0.14299999999997201</v>
      </c>
      <c r="H2559" s="35">
        <v>274.5</v>
      </c>
      <c r="I2559" s="37">
        <f t="shared" si="39"/>
        <v>2.2390798972225619E-2</v>
      </c>
      <c r="J2559" s="33"/>
    </row>
    <row r="2560" spans="1:10">
      <c r="A2560" s="33" t="s">
        <v>94</v>
      </c>
      <c r="B2560" s="34">
        <v>349.476</v>
      </c>
      <c r="C2560" s="35">
        <v>12259.5</v>
      </c>
      <c r="D2560" s="33" t="s">
        <v>97</v>
      </c>
      <c r="E2560" s="34">
        <v>349.34699999999998</v>
      </c>
      <c r="F2560" s="36">
        <v>0.12900000000001899</v>
      </c>
      <c r="G2560" s="34">
        <v>0.12900000000001899</v>
      </c>
      <c r="H2560" s="35">
        <v>42</v>
      </c>
      <c r="I2560" s="37">
        <f t="shared" si="39"/>
        <v>3.4259145968432644E-3</v>
      </c>
      <c r="J2560" s="33"/>
    </row>
    <row r="2561" spans="1:10">
      <c r="A2561" s="33" t="s">
        <v>94</v>
      </c>
      <c r="B2561" s="34">
        <v>349.476</v>
      </c>
      <c r="C2561" s="35">
        <v>12259.5</v>
      </c>
      <c r="D2561" s="33" t="s">
        <v>271</v>
      </c>
      <c r="E2561" s="34">
        <v>349.35199999999998</v>
      </c>
      <c r="F2561" s="36">
        <v>0.12400000000002399</v>
      </c>
      <c r="G2561" s="34">
        <v>0.12400000000002399</v>
      </c>
      <c r="H2561" s="35">
        <v>953</v>
      </c>
      <c r="I2561" s="37">
        <f t="shared" si="39"/>
        <v>7.7735633590276923E-2</v>
      </c>
      <c r="J2561" s="33"/>
    </row>
    <row r="2562" spans="1:10">
      <c r="A2562" s="33" t="s">
        <v>94</v>
      </c>
      <c r="B2562" s="34">
        <v>349.476</v>
      </c>
      <c r="C2562" s="35">
        <v>12259.5</v>
      </c>
      <c r="D2562" s="33" t="s">
        <v>54</v>
      </c>
      <c r="E2562" s="34">
        <v>349.35399999999998</v>
      </c>
      <c r="F2562" s="36">
        <v>0.122000000000014</v>
      </c>
      <c r="G2562" s="34">
        <v>0.122000000000014</v>
      </c>
      <c r="H2562" s="35">
        <v>1.6</v>
      </c>
      <c r="I2562" s="37">
        <f t="shared" ref="I2562:I2625" si="40">H2562/C2562</f>
        <v>1.3051103226069578E-4</v>
      </c>
      <c r="J2562" s="33"/>
    </row>
    <row r="2563" spans="1:10">
      <c r="A2563" s="33" t="s">
        <v>94</v>
      </c>
      <c r="B2563" s="34">
        <v>349.476</v>
      </c>
      <c r="C2563" s="35">
        <v>12259.5</v>
      </c>
      <c r="D2563" s="33" t="s">
        <v>270</v>
      </c>
      <c r="E2563" s="34">
        <v>349.36</v>
      </c>
      <c r="F2563" s="36">
        <v>0.115999999999985</v>
      </c>
      <c r="G2563" s="34">
        <v>0.115999999999985</v>
      </c>
      <c r="H2563" s="35">
        <v>484.1</v>
      </c>
      <c r="I2563" s="37">
        <f t="shared" si="40"/>
        <v>3.9487744198376772E-2</v>
      </c>
      <c r="J2563" s="33"/>
    </row>
    <row r="2564" spans="1:10">
      <c r="A2564" s="33" t="s">
        <v>94</v>
      </c>
      <c r="B2564" s="34">
        <v>349.476</v>
      </c>
      <c r="C2564" s="35">
        <v>12259.5</v>
      </c>
      <c r="D2564" s="33" t="s">
        <v>25</v>
      </c>
      <c r="E2564" s="34">
        <v>349.37200000000001</v>
      </c>
      <c r="F2564" s="36">
        <v>0.10399999999998499</v>
      </c>
      <c r="G2564" s="34">
        <v>0.10399999999998499</v>
      </c>
      <c r="H2564" s="35">
        <v>225.7</v>
      </c>
      <c r="I2564" s="37">
        <f t="shared" si="40"/>
        <v>1.8410212488274399E-2</v>
      </c>
      <c r="J2564" s="33" t="s">
        <v>116</v>
      </c>
    </row>
    <row r="2565" spans="1:10">
      <c r="A2565" s="33" t="s">
        <v>94</v>
      </c>
      <c r="B2565" s="34">
        <v>349.476</v>
      </c>
      <c r="C2565" s="35">
        <v>12259.5</v>
      </c>
      <c r="D2565" s="33" t="s">
        <v>54</v>
      </c>
      <c r="E2565" s="34">
        <v>349.38600000000002</v>
      </c>
      <c r="F2565" s="36">
        <v>8.9999999999975003E-2</v>
      </c>
      <c r="G2565" s="34">
        <v>8.9999999999975003E-2</v>
      </c>
      <c r="H2565" s="35">
        <v>1.2</v>
      </c>
      <c r="I2565" s="37">
        <f t="shared" si="40"/>
        <v>9.7883274195521836E-5</v>
      </c>
      <c r="J2565" s="33"/>
    </row>
    <row r="2566" spans="1:10">
      <c r="A2566" s="33" t="s">
        <v>94</v>
      </c>
      <c r="B2566" s="34">
        <v>349.476</v>
      </c>
      <c r="C2566" s="35">
        <v>12259.5</v>
      </c>
      <c r="D2566" s="33" t="s">
        <v>201</v>
      </c>
      <c r="E2566" s="34">
        <v>349.42099999999999</v>
      </c>
      <c r="F2566" s="36">
        <v>5.50000000000068E-2</v>
      </c>
      <c r="G2566" s="34">
        <v>5.50000000000068E-2</v>
      </c>
      <c r="H2566" s="35">
        <v>1332.9</v>
      </c>
      <c r="I2566" s="37">
        <f t="shared" si="40"/>
        <v>0.1087238468126759</v>
      </c>
      <c r="J2566" s="33"/>
    </row>
    <row r="2567" spans="1:10">
      <c r="A2567" s="33" t="s">
        <v>94</v>
      </c>
      <c r="B2567" s="34">
        <v>349.476</v>
      </c>
      <c r="C2567" s="35">
        <v>12259.5</v>
      </c>
      <c r="D2567" s="33" t="s">
        <v>268</v>
      </c>
      <c r="E2567" s="34">
        <v>349.42500000000001</v>
      </c>
      <c r="F2567" s="36">
        <v>5.0999999999987701E-2</v>
      </c>
      <c r="G2567" s="34">
        <v>5.0999999999987701E-2</v>
      </c>
      <c r="H2567" s="35">
        <v>13.6</v>
      </c>
      <c r="I2567" s="37">
        <f t="shared" si="40"/>
        <v>1.1093437742159141E-3</v>
      </c>
      <c r="J2567" s="33"/>
    </row>
    <row r="2568" spans="1:10">
      <c r="A2568" s="33" t="s">
        <v>94</v>
      </c>
      <c r="B2568" s="34">
        <v>349.476</v>
      </c>
      <c r="C2568" s="35">
        <v>12259.5</v>
      </c>
      <c r="D2568" s="33" t="s">
        <v>36</v>
      </c>
      <c r="E2568" s="34">
        <v>349.44099999999997</v>
      </c>
      <c r="F2568" s="36">
        <v>3.5000000000000003E-2</v>
      </c>
      <c r="G2568" s="34">
        <v>3.5000000000000003E-2</v>
      </c>
      <c r="H2568" s="35">
        <v>30.6</v>
      </c>
      <c r="I2568" s="37">
        <f t="shared" si="40"/>
        <v>2.4960234919858071E-3</v>
      </c>
      <c r="J2568" s="33" t="s">
        <v>116</v>
      </c>
    </row>
    <row r="2569" spans="1:10">
      <c r="A2569" s="33" t="s">
        <v>94</v>
      </c>
      <c r="B2569" s="34">
        <v>349.476</v>
      </c>
      <c r="C2569" s="35">
        <v>12259.5</v>
      </c>
      <c r="D2569" s="33" t="s">
        <v>282</v>
      </c>
      <c r="E2569" s="34">
        <v>349.44400000000002</v>
      </c>
      <c r="F2569" s="36">
        <v>3.19999999999823E-2</v>
      </c>
      <c r="G2569" s="34">
        <v>3.19999999999823E-2</v>
      </c>
      <c r="H2569" s="35">
        <v>10.7</v>
      </c>
      <c r="I2569" s="37">
        <f t="shared" si="40"/>
        <v>8.7279252824340307E-4</v>
      </c>
      <c r="J2569" s="33"/>
    </row>
    <row r="2570" spans="1:10">
      <c r="A2570" s="33" t="s">
        <v>94</v>
      </c>
      <c r="B2570" s="34">
        <v>349.476</v>
      </c>
      <c r="C2570" s="35">
        <v>12259.5</v>
      </c>
      <c r="D2570" s="33" t="s">
        <v>33</v>
      </c>
      <c r="E2570" s="34">
        <v>349.44900000000001</v>
      </c>
      <c r="F2570" s="36">
        <v>2.6999999999986798E-2</v>
      </c>
      <c r="G2570" s="34">
        <v>2.6999999999986798E-2</v>
      </c>
      <c r="H2570" s="35">
        <v>11781</v>
      </c>
      <c r="I2570" s="37">
        <f t="shared" si="40"/>
        <v>0.96096904441453568</v>
      </c>
      <c r="J2570" s="33" t="s">
        <v>116</v>
      </c>
    </row>
    <row r="2571" spans="1:10">
      <c r="A2571" s="33" t="s">
        <v>94</v>
      </c>
      <c r="B2571" s="34">
        <v>349.476</v>
      </c>
      <c r="C2571" s="35">
        <v>12259.5</v>
      </c>
      <c r="D2571" s="33" t="s">
        <v>239</v>
      </c>
      <c r="E2571" s="34">
        <v>349.45100000000002</v>
      </c>
      <c r="F2571" s="36">
        <v>2.4999999999977301E-2</v>
      </c>
      <c r="G2571" s="34">
        <v>2.4999999999977301E-2</v>
      </c>
      <c r="H2571" s="35">
        <v>7.2</v>
      </c>
      <c r="I2571" s="37">
        <f t="shared" si="40"/>
        <v>5.8729964517313107E-4</v>
      </c>
      <c r="J2571" s="33"/>
    </row>
    <row r="2572" spans="1:10">
      <c r="A2572" s="33" t="s">
        <v>94</v>
      </c>
      <c r="B2572" s="34">
        <v>349.476</v>
      </c>
      <c r="C2572" s="35">
        <v>12259.5</v>
      </c>
      <c r="D2572" s="33" t="s">
        <v>25</v>
      </c>
      <c r="E2572" s="34">
        <v>349.46499999999997</v>
      </c>
      <c r="F2572" s="36">
        <v>1.10000000000241E-2</v>
      </c>
      <c r="G2572" s="34">
        <v>1.10000000000241E-2</v>
      </c>
      <c r="H2572" s="35">
        <v>103.7</v>
      </c>
      <c r="I2572" s="37">
        <f t="shared" si="40"/>
        <v>8.4587462783963455E-3</v>
      </c>
      <c r="J2572" s="33" t="s">
        <v>116</v>
      </c>
    </row>
    <row r="2573" spans="1:10">
      <c r="A2573" s="33" t="s">
        <v>94</v>
      </c>
      <c r="B2573" s="34">
        <v>349.476</v>
      </c>
      <c r="C2573" s="35">
        <v>12259.5</v>
      </c>
      <c r="D2573" s="33" t="s">
        <v>279</v>
      </c>
      <c r="E2573" s="34">
        <v>349.47300000000001</v>
      </c>
      <c r="F2573" s="36">
        <v>2.9999999999858998E-3</v>
      </c>
      <c r="G2573" s="34">
        <v>2.9999999999858998E-3</v>
      </c>
      <c r="H2573" s="35">
        <v>27</v>
      </c>
      <c r="I2573" s="37">
        <f t="shared" si="40"/>
        <v>2.2023736693992414E-3</v>
      </c>
      <c r="J2573" s="33"/>
    </row>
    <row r="2574" spans="1:10">
      <c r="A2574" s="33" t="s">
        <v>94</v>
      </c>
      <c r="B2574" s="34">
        <v>349.476</v>
      </c>
      <c r="C2574" s="35">
        <v>12259.5</v>
      </c>
      <c r="D2574" s="33" t="s">
        <v>277</v>
      </c>
      <c r="E2574" s="34">
        <v>349.48399999999998</v>
      </c>
      <c r="F2574" s="36">
        <v>7.9999999999813606E-3</v>
      </c>
      <c r="G2574" s="34">
        <v>7.9999999999813606E-3</v>
      </c>
      <c r="H2574" s="35">
        <v>264.39999999999998</v>
      </c>
      <c r="I2574" s="37">
        <f t="shared" si="40"/>
        <v>2.1566948081079979E-2</v>
      </c>
      <c r="J2574" s="33"/>
    </row>
    <row r="2575" spans="1:10">
      <c r="A2575" s="33" t="s">
        <v>94</v>
      </c>
      <c r="B2575" s="34">
        <v>349.476</v>
      </c>
      <c r="C2575" s="35">
        <v>12259.5</v>
      </c>
      <c r="D2575" s="33" t="s">
        <v>239</v>
      </c>
      <c r="E2575" s="34">
        <v>349.495</v>
      </c>
      <c r="F2575" s="36">
        <v>1.9000000000005499E-2</v>
      </c>
      <c r="G2575" s="34">
        <v>1.9000000000005499E-2</v>
      </c>
      <c r="H2575" s="35">
        <v>12.3</v>
      </c>
      <c r="I2575" s="37">
        <f t="shared" si="40"/>
        <v>1.003303560504099E-3</v>
      </c>
      <c r="J2575" s="33"/>
    </row>
    <row r="2576" spans="1:10">
      <c r="A2576" s="33" t="s">
        <v>94</v>
      </c>
      <c r="B2576" s="34">
        <v>349.476</v>
      </c>
      <c r="C2576" s="35">
        <v>12259.5</v>
      </c>
      <c r="D2576" s="33" t="s">
        <v>25</v>
      </c>
      <c r="E2576" s="34">
        <v>349.5</v>
      </c>
      <c r="F2576" s="36">
        <v>2.4000000000000899E-2</v>
      </c>
      <c r="G2576" s="34">
        <v>2.4000000000000899E-2</v>
      </c>
      <c r="H2576" s="35">
        <v>154.19999999999999</v>
      </c>
      <c r="I2576" s="37">
        <f t="shared" si="40"/>
        <v>1.2578000734124555E-2</v>
      </c>
      <c r="J2576" s="33" t="s">
        <v>116</v>
      </c>
    </row>
    <row r="2577" spans="1:10">
      <c r="A2577" s="33" t="s">
        <v>94</v>
      </c>
      <c r="B2577" s="34">
        <v>349.476</v>
      </c>
      <c r="C2577" s="35">
        <v>12259.5</v>
      </c>
      <c r="D2577" s="33" t="s">
        <v>274</v>
      </c>
      <c r="E2577" s="34">
        <v>349.524</v>
      </c>
      <c r="F2577" s="36">
        <v>4.8000000000001798E-2</v>
      </c>
      <c r="G2577" s="34">
        <v>4.8000000000001798E-2</v>
      </c>
      <c r="H2577" s="35">
        <v>64.2</v>
      </c>
      <c r="I2577" s="37">
        <f t="shared" si="40"/>
        <v>5.2367551694604188E-3</v>
      </c>
      <c r="J2577" s="33"/>
    </row>
    <row r="2578" spans="1:10">
      <c r="A2578" s="33" t="s">
        <v>94</v>
      </c>
      <c r="B2578" s="34">
        <v>349.476</v>
      </c>
      <c r="C2578" s="35">
        <v>12259.5</v>
      </c>
      <c r="D2578" s="33" t="s">
        <v>97</v>
      </c>
      <c r="E2578" s="34">
        <v>349.529</v>
      </c>
      <c r="F2578" s="36">
        <v>5.2999999999997299E-2</v>
      </c>
      <c r="G2578" s="34">
        <v>5.2999999999997299E-2</v>
      </c>
      <c r="H2578" s="35">
        <v>11.9</v>
      </c>
      <c r="I2578" s="37">
        <f t="shared" si="40"/>
        <v>9.7067580243892493E-4</v>
      </c>
      <c r="J2578" s="33"/>
    </row>
    <row r="2579" spans="1:10">
      <c r="A2579" s="33" t="s">
        <v>94</v>
      </c>
      <c r="B2579" s="34">
        <v>349.476</v>
      </c>
      <c r="C2579" s="35">
        <v>12259.5</v>
      </c>
      <c r="D2579" s="33" t="s">
        <v>201</v>
      </c>
      <c r="E2579" s="34">
        <v>349.536</v>
      </c>
      <c r="F2579" s="36">
        <v>6.0000000000002301E-2</v>
      </c>
      <c r="G2579" s="34">
        <v>6.0000000000002301E-2</v>
      </c>
      <c r="H2579" s="35">
        <v>1093.5</v>
      </c>
      <c r="I2579" s="37">
        <f t="shared" si="40"/>
        <v>8.9196133610669276E-2</v>
      </c>
      <c r="J2579" s="33"/>
    </row>
    <row r="2580" spans="1:10">
      <c r="A2580" s="33" t="s">
        <v>94</v>
      </c>
      <c r="B2580" s="34">
        <v>349.476</v>
      </c>
      <c r="C2580" s="35">
        <v>12259.5</v>
      </c>
      <c r="D2580" s="33" t="s">
        <v>239</v>
      </c>
      <c r="E2580" s="34">
        <v>349.53699999999998</v>
      </c>
      <c r="F2580" s="36">
        <v>6.0999999999978599E-2</v>
      </c>
      <c r="G2580" s="34">
        <v>6.0999999999978599E-2</v>
      </c>
      <c r="H2580" s="35">
        <v>135</v>
      </c>
      <c r="I2580" s="37">
        <f t="shared" si="40"/>
        <v>1.1011868346996207E-2</v>
      </c>
      <c r="J2580" s="33"/>
    </row>
    <row r="2581" spans="1:10">
      <c r="A2581" s="33" t="s">
        <v>94</v>
      </c>
      <c r="B2581" s="34">
        <v>349.476</v>
      </c>
      <c r="C2581" s="35">
        <v>12259.5</v>
      </c>
      <c r="D2581" s="33" t="s">
        <v>54</v>
      </c>
      <c r="E2581" s="34">
        <v>349.56799999999998</v>
      </c>
      <c r="F2581" s="36">
        <v>9.1999999999984497E-2</v>
      </c>
      <c r="G2581" s="34">
        <v>9.1999999999984497E-2</v>
      </c>
      <c r="H2581" s="35">
        <v>826</v>
      </c>
      <c r="I2581" s="37">
        <f t="shared" si="40"/>
        <v>6.7376320404584203E-2</v>
      </c>
      <c r="J2581" s="33"/>
    </row>
    <row r="2582" spans="1:10">
      <c r="A2582" s="33" t="s">
        <v>94</v>
      </c>
      <c r="B2582" s="34">
        <v>349.476</v>
      </c>
      <c r="C2582" s="35">
        <v>12259.5</v>
      </c>
      <c r="D2582" s="33" t="s">
        <v>269</v>
      </c>
      <c r="E2582" s="34">
        <v>349.57499999999999</v>
      </c>
      <c r="F2582" s="36">
        <v>9.8999999999989499E-2</v>
      </c>
      <c r="G2582" s="34">
        <v>9.8999999999989499E-2</v>
      </c>
      <c r="H2582" s="35">
        <v>2589.4</v>
      </c>
      <c r="I2582" s="37">
        <f t="shared" si="40"/>
        <v>0.21121579183490355</v>
      </c>
      <c r="J2582" s="33"/>
    </row>
    <row r="2583" spans="1:10">
      <c r="A2583" s="33" t="s">
        <v>94</v>
      </c>
      <c r="B2583" s="34">
        <v>349.476</v>
      </c>
      <c r="C2583" s="35">
        <v>12259.5</v>
      </c>
      <c r="D2583" s="33" t="s">
        <v>277</v>
      </c>
      <c r="E2583" s="34">
        <v>349.57499999999999</v>
      </c>
      <c r="F2583" s="36">
        <v>9.8999999999989499E-2</v>
      </c>
      <c r="G2583" s="34">
        <v>9.8999999999989499E-2</v>
      </c>
      <c r="H2583" s="35">
        <v>91</v>
      </c>
      <c r="I2583" s="37">
        <f t="shared" si="40"/>
        <v>7.4228149598270727E-3</v>
      </c>
      <c r="J2583" s="33"/>
    </row>
    <row r="2584" spans="1:10">
      <c r="A2584" s="33" t="s">
        <v>94</v>
      </c>
      <c r="B2584" s="34">
        <v>349.476</v>
      </c>
      <c r="C2584" s="35">
        <v>12259.5</v>
      </c>
      <c r="D2584" s="33" t="s">
        <v>240</v>
      </c>
      <c r="E2584" s="34">
        <v>349.58300000000003</v>
      </c>
      <c r="F2584" s="36">
        <v>0.107000000000028</v>
      </c>
      <c r="G2584" s="34">
        <v>0.107000000000028</v>
      </c>
      <c r="H2584" s="35">
        <v>1035.5</v>
      </c>
      <c r="I2584" s="37">
        <f t="shared" si="40"/>
        <v>8.4465108691219051E-2</v>
      </c>
      <c r="J2584" s="33"/>
    </row>
    <row r="2585" spans="1:10">
      <c r="A2585" s="33" t="s">
        <v>94</v>
      </c>
      <c r="B2585" s="34">
        <v>349.476</v>
      </c>
      <c r="C2585" s="35">
        <v>12259.5</v>
      </c>
      <c r="D2585" s="33" t="s">
        <v>63</v>
      </c>
      <c r="E2585" s="34">
        <v>349.59</v>
      </c>
      <c r="F2585" s="36">
        <v>0.114</v>
      </c>
      <c r="G2585" s="34">
        <v>0.114</v>
      </c>
      <c r="H2585" s="35">
        <v>12.4</v>
      </c>
      <c r="I2585" s="37">
        <f t="shared" si="40"/>
        <v>1.0114605000203923E-3</v>
      </c>
      <c r="J2585" s="33" t="s">
        <v>116</v>
      </c>
    </row>
    <row r="2586" spans="1:10">
      <c r="A2586" s="33" t="s">
        <v>94</v>
      </c>
      <c r="B2586" s="34">
        <v>349.476</v>
      </c>
      <c r="C2586" s="35">
        <v>12259.5</v>
      </c>
      <c r="D2586" s="33" t="s">
        <v>270</v>
      </c>
      <c r="E2586" s="34">
        <v>349.59199999999998</v>
      </c>
      <c r="F2586" s="36">
        <v>0.115999999999985</v>
      </c>
      <c r="G2586" s="34">
        <v>0.115999999999985</v>
      </c>
      <c r="H2586" s="35">
        <v>204.8</v>
      </c>
      <c r="I2586" s="37">
        <f t="shared" si="40"/>
        <v>1.670541212936906E-2</v>
      </c>
      <c r="J2586" s="33"/>
    </row>
    <row r="2587" spans="1:10">
      <c r="A2587" s="33" t="s">
        <v>94</v>
      </c>
      <c r="B2587" s="34">
        <v>349.476</v>
      </c>
      <c r="C2587" s="35">
        <v>12259.5</v>
      </c>
      <c r="D2587" s="33" t="s">
        <v>25</v>
      </c>
      <c r="E2587" s="34">
        <v>349.59399999999999</v>
      </c>
      <c r="F2587" s="36">
        <v>0.117999999999995</v>
      </c>
      <c r="G2587" s="34">
        <v>0.117999999999995</v>
      </c>
      <c r="H2587" s="35">
        <v>354.2</v>
      </c>
      <c r="I2587" s="37">
        <f t="shared" si="40"/>
        <v>2.889187976671153E-2</v>
      </c>
      <c r="J2587" s="33" t="s">
        <v>116</v>
      </c>
    </row>
    <row r="2588" spans="1:10">
      <c r="A2588" s="33" t="s">
        <v>94</v>
      </c>
      <c r="B2588" s="34">
        <v>349.476</v>
      </c>
      <c r="C2588" s="35">
        <v>12259.5</v>
      </c>
      <c r="D2588" s="33" t="s">
        <v>268</v>
      </c>
      <c r="E2588" s="34">
        <v>349.59800000000001</v>
      </c>
      <c r="F2588" s="36">
        <v>0.122000000000014</v>
      </c>
      <c r="G2588" s="34">
        <v>0.122000000000014</v>
      </c>
      <c r="H2588" s="35">
        <v>22.2</v>
      </c>
      <c r="I2588" s="37">
        <f t="shared" si="40"/>
        <v>1.810840572617154E-3</v>
      </c>
      <c r="J2588" s="33"/>
    </row>
    <row r="2589" spans="1:10">
      <c r="A2589" s="33" t="s">
        <v>94</v>
      </c>
      <c r="B2589" s="34">
        <v>349.476</v>
      </c>
      <c r="C2589" s="35">
        <v>12259.5</v>
      </c>
      <c r="D2589" s="33" t="s">
        <v>239</v>
      </c>
      <c r="E2589" s="34">
        <v>349.60199999999998</v>
      </c>
      <c r="F2589" s="36">
        <v>0.12599999999997599</v>
      </c>
      <c r="G2589" s="34">
        <v>0.12599999999997599</v>
      </c>
      <c r="H2589" s="35">
        <v>0.8</v>
      </c>
      <c r="I2589" s="37">
        <f t="shared" si="40"/>
        <v>6.525551613034789E-5</v>
      </c>
      <c r="J2589" s="33"/>
    </row>
    <row r="2590" spans="1:10">
      <c r="A2590" s="33" t="s">
        <v>94</v>
      </c>
      <c r="B2590" s="34">
        <v>349.476</v>
      </c>
      <c r="C2590" s="35">
        <v>12259.5</v>
      </c>
      <c r="D2590" s="33" t="s">
        <v>165</v>
      </c>
      <c r="E2590" s="34">
        <v>349.60199999999998</v>
      </c>
      <c r="F2590" s="36">
        <v>0.12599999999997599</v>
      </c>
      <c r="G2590" s="34">
        <v>0.12599999999997599</v>
      </c>
      <c r="H2590" s="35">
        <v>6.6</v>
      </c>
      <c r="I2590" s="37">
        <f t="shared" si="40"/>
        <v>5.3835800807537008E-4</v>
      </c>
      <c r="J2590" s="33"/>
    </row>
    <row r="2591" spans="1:10">
      <c r="A2591" s="33" t="s">
        <v>94</v>
      </c>
      <c r="B2591" s="34">
        <v>349.476</v>
      </c>
      <c r="C2591" s="35">
        <v>12259.5</v>
      </c>
      <c r="D2591" s="33" t="s">
        <v>273</v>
      </c>
      <c r="E2591" s="34">
        <v>349.60300000000001</v>
      </c>
      <c r="F2591" s="36">
        <v>0.12700000000000999</v>
      </c>
      <c r="G2591" s="34">
        <v>0.12700000000000999</v>
      </c>
      <c r="H2591" s="35">
        <v>29.2</v>
      </c>
      <c r="I2591" s="37">
        <f t="shared" si="40"/>
        <v>2.3818263387576982E-3</v>
      </c>
      <c r="J2591" s="33"/>
    </row>
    <row r="2592" spans="1:10">
      <c r="A2592" s="33" t="s">
        <v>94</v>
      </c>
      <c r="B2592" s="34">
        <v>349.476</v>
      </c>
      <c r="C2592" s="35">
        <v>12259.5</v>
      </c>
      <c r="D2592" s="33" t="s">
        <v>116</v>
      </c>
      <c r="E2592" s="34">
        <v>349.60599999999999</v>
      </c>
      <c r="F2592" s="36">
        <v>0.13</v>
      </c>
      <c r="G2592" s="34">
        <v>0.13</v>
      </c>
      <c r="H2592" s="35">
        <v>0.6</v>
      </c>
      <c r="I2592" s="37">
        <f t="shared" si="40"/>
        <v>4.8941637097760918E-5</v>
      </c>
      <c r="J2592" s="33" t="s">
        <v>116</v>
      </c>
    </row>
    <row r="2593" spans="1:10">
      <c r="A2593" s="33" t="s">
        <v>94</v>
      </c>
      <c r="B2593" s="34">
        <v>349.476</v>
      </c>
      <c r="C2593" s="35">
        <v>12259.5</v>
      </c>
      <c r="D2593" s="33" t="s">
        <v>278</v>
      </c>
      <c r="E2593" s="34">
        <v>349.608</v>
      </c>
      <c r="F2593" s="36">
        <v>0.132000000000005</v>
      </c>
      <c r="G2593" s="34">
        <v>0.132000000000005</v>
      </c>
      <c r="H2593" s="35">
        <v>27879.599999999999</v>
      </c>
      <c r="I2593" s="37">
        <f t="shared" si="40"/>
        <v>2.2741221093845589</v>
      </c>
      <c r="J2593" s="33"/>
    </row>
    <row r="2594" spans="1:10">
      <c r="A2594" s="33" t="s">
        <v>94</v>
      </c>
      <c r="B2594" s="34">
        <v>349.476</v>
      </c>
      <c r="C2594" s="35">
        <v>12259.5</v>
      </c>
      <c r="D2594" s="33" t="s">
        <v>236</v>
      </c>
      <c r="E2594" s="34">
        <v>349.61900000000003</v>
      </c>
      <c r="F2594" s="36">
        <v>0.14300000000002899</v>
      </c>
      <c r="G2594" s="34">
        <v>0.14300000000002899</v>
      </c>
      <c r="H2594" s="35">
        <v>81236.100000000006</v>
      </c>
      <c r="I2594" s="37">
        <f t="shared" si="40"/>
        <v>6.6263795423956937</v>
      </c>
      <c r="J2594" s="33"/>
    </row>
    <row r="2595" spans="1:10">
      <c r="A2595" s="33" t="s">
        <v>94</v>
      </c>
      <c r="B2595" s="34">
        <v>351.55900000000003</v>
      </c>
      <c r="C2595" s="35">
        <v>22584.5</v>
      </c>
      <c r="D2595" s="33" t="s">
        <v>278</v>
      </c>
      <c r="E2595" s="34">
        <v>351.387</v>
      </c>
      <c r="F2595" s="36">
        <v>0.17200000000002599</v>
      </c>
      <c r="G2595" s="34">
        <v>0.17200000000002599</v>
      </c>
      <c r="H2595" s="35">
        <v>117.1</v>
      </c>
      <c r="I2595" s="37">
        <f t="shared" si="40"/>
        <v>5.1849719940667265E-3</v>
      </c>
      <c r="J2595" s="33"/>
    </row>
    <row r="2596" spans="1:10">
      <c r="A2596" s="33" t="s">
        <v>94</v>
      </c>
      <c r="B2596" s="34">
        <v>351.55900000000003</v>
      </c>
      <c r="C2596" s="35">
        <v>22584.5</v>
      </c>
      <c r="D2596" s="33" t="s">
        <v>165</v>
      </c>
      <c r="E2596" s="34">
        <v>351.399</v>
      </c>
      <c r="F2596" s="36">
        <v>0.16000000000002501</v>
      </c>
      <c r="G2596" s="34">
        <v>0.16000000000002501</v>
      </c>
      <c r="H2596" s="35">
        <v>205.2</v>
      </c>
      <c r="I2596" s="37">
        <f t="shared" si="40"/>
        <v>9.0858774823440857E-3</v>
      </c>
      <c r="J2596" s="33"/>
    </row>
    <row r="2597" spans="1:10">
      <c r="A2597" s="33" t="s">
        <v>94</v>
      </c>
      <c r="B2597" s="34">
        <v>351.55900000000003</v>
      </c>
      <c r="C2597" s="35">
        <v>22584.5</v>
      </c>
      <c r="D2597" s="33" t="s">
        <v>133</v>
      </c>
      <c r="E2597" s="34">
        <v>351.40600000000001</v>
      </c>
      <c r="F2597" s="36">
        <v>0.15300000000002001</v>
      </c>
      <c r="G2597" s="34">
        <v>0.15300000000002001</v>
      </c>
      <c r="H2597" s="35">
        <v>33</v>
      </c>
      <c r="I2597" s="37">
        <f t="shared" si="40"/>
        <v>1.4611791272775576E-3</v>
      </c>
      <c r="J2597" s="33"/>
    </row>
    <row r="2598" spans="1:10">
      <c r="A2598" s="33" t="s">
        <v>94</v>
      </c>
      <c r="B2598" s="34">
        <v>351.55900000000003</v>
      </c>
      <c r="C2598" s="35">
        <v>22584.5</v>
      </c>
      <c r="D2598" s="33" t="s">
        <v>274</v>
      </c>
      <c r="E2598" s="34">
        <v>351.41</v>
      </c>
      <c r="F2598" s="36">
        <v>0.14900000000000099</v>
      </c>
      <c r="G2598" s="34">
        <v>0.14900000000000099</v>
      </c>
      <c r="H2598" s="35">
        <v>5.6</v>
      </c>
      <c r="I2598" s="37">
        <f t="shared" si="40"/>
        <v>2.4795767008346429E-4</v>
      </c>
      <c r="J2598" s="33"/>
    </row>
    <row r="2599" spans="1:10">
      <c r="A2599" s="33" t="s">
        <v>94</v>
      </c>
      <c r="B2599" s="34">
        <v>351.55900000000003</v>
      </c>
      <c r="C2599" s="35">
        <v>22584.5</v>
      </c>
      <c r="D2599" s="33" t="s">
        <v>25</v>
      </c>
      <c r="E2599" s="34">
        <v>351.43200000000002</v>
      </c>
      <c r="F2599" s="36">
        <v>0.12700000000000999</v>
      </c>
      <c r="G2599" s="34">
        <v>0.12700000000000999</v>
      </c>
      <c r="H2599" s="35">
        <v>97</v>
      </c>
      <c r="I2599" s="37">
        <f t="shared" si="40"/>
        <v>4.2949810710885784E-3</v>
      </c>
      <c r="J2599" s="33" t="s">
        <v>116</v>
      </c>
    </row>
    <row r="2600" spans="1:10">
      <c r="A2600" s="33" t="s">
        <v>94</v>
      </c>
      <c r="B2600" s="34">
        <v>351.55900000000003</v>
      </c>
      <c r="C2600" s="35">
        <v>22584.5</v>
      </c>
      <c r="D2600" s="33" t="s">
        <v>84</v>
      </c>
      <c r="E2600" s="34">
        <v>351.43799999999999</v>
      </c>
      <c r="F2600" s="36">
        <v>0.121</v>
      </c>
      <c r="G2600" s="34">
        <v>0.121</v>
      </c>
      <c r="H2600" s="35">
        <v>36.200000000000003</v>
      </c>
      <c r="I2600" s="37">
        <f t="shared" si="40"/>
        <v>1.6028692244681089E-3</v>
      </c>
      <c r="J2600" s="33" t="s">
        <v>116</v>
      </c>
    </row>
    <row r="2601" spans="1:10">
      <c r="A2601" s="33" t="s">
        <v>94</v>
      </c>
      <c r="B2601" s="34">
        <v>351.55900000000003</v>
      </c>
      <c r="C2601" s="35">
        <v>22584.5</v>
      </c>
      <c r="D2601" s="33" t="s">
        <v>278</v>
      </c>
      <c r="E2601" s="34">
        <v>351.44099999999997</v>
      </c>
      <c r="F2601" s="36">
        <v>0.11800000000005199</v>
      </c>
      <c r="G2601" s="34">
        <v>0.11800000000005199</v>
      </c>
      <c r="H2601" s="35">
        <v>124</v>
      </c>
      <c r="I2601" s="37">
        <f t="shared" si="40"/>
        <v>5.4904912661338529E-3</v>
      </c>
      <c r="J2601" s="33"/>
    </row>
    <row r="2602" spans="1:10">
      <c r="A2602" s="33" t="s">
        <v>94</v>
      </c>
      <c r="B2602" s="34">
        <v>351.55900000000003</v>
      </c>
      <c r="C2602" s="35">
        <v>22584.5</v>
      </c>
      <c r="D2602" s="33" t="s">
        <v>268</v>
      </c>
      <c r="E2602" s="34">
        <v>351.44900000000001</v>
      </c>
      <c r="F2602" s="36">
        <v>0.110000000000014</v>
      </c>
      <c r="G2602" s="34">
        <v>0.110000000000014</v>
      </c>
      <c r="H2602" s="35">
        <v>1727</v>
      </c>
      <c r="I2602" s="37">
        <f t="shared" si="40"/>
        <v>7.6468374327525512E-2</v>
      </c>
      <c r="J2602" s="33"/>
    </row>
    <row r="2603" spans="1:10">
      <c r="A2603" s="33" t="s">
        <v>94</v>
      </c>
      <c r="B2603" s="34">
        <v>351.55900000000003</v>
      </c>
      <c r="C2603" s="35">
        <v>22584.5</v>
      </c>
      <c r="D2603" s="33" t="s">
        <v>271</v>
      </c>
      <c r="E2603" s="34">
        <v>351.45299999999997</v>
      </c>
      <c r="F2603" s="36">
        <v>0.106000000000051</v>
      </c>
      <c r="G2603" s="34">
        <v>0.106000000000051</v>
      </c>
      <c r="H2603" s="35">
        <v>8039.4</v>
      </c>
      <c r="I2603" s="37">
        <f t="shared" si="40"/>
        <v>0.35596980229803626</v>
      </c>
      <c r="J2603" s="33"/>
    </row>
    <row r="2604" spans="1:10">
      <c r="A2604" s="33" t="s">
        <v>94</v>
      </c>
      <c r="B2604" s="34">
        <v>351.55900000000003</v>
      </c>
      <c r="C2604" s="35">
        <v>22584.5</v>
      </c>
      <c r="D2604" s="33" t="s">
        <v>36</v>
      </c>
      <c r="E2604" s="34">
        <v>351.46</v>
      </c>
      <c r="F2604" s="36">
        <v>9.9000000000000005E-2</v>
      </c>
      <c r="G2604" s="34">
        <v>9.9000000000000005E-2</v>
      </c>
      <c r="H2604" s="35">
        <v>18.7</v>
      </c>
      <c r="I2604" s="37">
        <f t="shared" si="40"/>
        <v>8.2800150545728267E-4</v>
      </c>
      <c r="J2604" s="33" t="s">
        <v>116</v>
      </c>
    </row>
    <row r="2605" spans="1:10">
      <c r="A2605" s="33" t="s">
        <v>94</v>
      </c>
      <c r="B2605" s="34">
        <v>351.55900000000003</v>
      </c>
      <c r="C2605" s="35">
        <v>22584.5</v>
      </c>
      <c r="D2605" s="33" t="s">
        <v>97</v>
      </c>
      <c r="E2605" s="34">
        <v>351.46300000000002</v>
      </c>
      <c r="F2605" s="36">
        <v>9.6000000000003596E-2</v>
      </c>
      <c r="G2605" s="34">
        <v>9.6000000000003596E-2</v>
      </c>
      <c r="H2605" s="35">
        <v>1.1000000000000001</v>
      </c>
      <c r="I2605" s="37">
        <f t="shared" si="40"/>
        <v>4.8705970909251924E-5</v>
      </c>
      <c r="J2605" s="33"/>
    </row>
    <row r="2606" spans="1:10">
      <c r="A2606" s="33" t="s">
        <v>94</v>
      </c>
      <c r="B2606" s="34">
        <v>351.55900000000003</v>
      </c>
      <c r="C2606" s="35">
        <v>22584.5</v>
      </c>
      <c r="D2606" s="33" t="s">
        <v>236</v>
      </c>
      <c r="E2606" s="34">
        <v>351.46300000000002</v>
      </c>
      <c r="F2606" s="36">
        <v>9.6000000000003596E-2</v>
      </c>
      <c r="G2606" s="34">
        <v>9.6000000000003596E-2</v>
      </c>
      <c r="H2606" s="35">
        <v>331</v>
      </c>
      <c r="I2606" s="37">
        <f t="shared" si="40"/>
        <v>1.4656069428147624E-2</v>
      </c>
      <c r="J2606" s="33"/>
    </row>
    <row r="2607" spans="1:10">
      <c r="A2607" s="33" t="s">
        <v>94</v>
      </c>
      <c r="B2607" s="34">
        <v>351.55900000000003</v>
      </c>
      <c r="C2607" s="35">
        <v>22584.5</v>
      </c>
      <c r="D2607" s="33" t="s">
        <v>84</v>
      </c>
      <c r="E2607" s="34">
        <v>351.48899999999998</v>
      </c>
      <c r="F2607" s="36">
        <v>7.0000000000000007E-2</v>
      </c>
      <c r="G2607" s="34">
        <v>7.0000000000000007E-2</v>
      </c>
      <c r="H2607" s="35">
        <v>2790.6</v>
      </c>
      <c r="I2607" s="37">
        <f t="shared" si="40"/>
        <v>0.12356262038123492</v>
      </c>
      <c r="J2607" s="33" t="s">
        <v>116</v>
      </c>
    </row>
    <row r="2608" spans="1:10">
      <c r="A2608" s="33" t="s">
        <v>94</v>
      </c>
      <c r="B2608" s="34">
        <v>351.55900000000003</v>
      </c>
      <c r="C2608" s="35">
        <v>22584.5</v>
      </c>
      <c r="D2608" s="33" t="s">
        <v>271</v>
      </c>
      <c r="E2608" s="34">
        <v>351.49599999999998</v>
      </c>
      <c r="F2608" s="36">
        <v>6.3000000000045006E-2</v>
      </c>
      <c r="G2608" s="34">
        <v>6.3000000000045006E-2</v>
      </c>
      <c r="H2608" s="35">
        <v>275.10000000000002</v>
      </c>
      <c r="I2608" s="37">
        <f t="shared" si="40"/>
        <v>1.2180920542850186E-2</v>
      </c>
      <c r="J2608" s="33"/>
    </row>
    <row r="2609" spans="1:10">
      <c r="A2609" s="33" t="s">
        <v>94</v>
      </c>
      <c r="B2609" s="34">
        <v>351.55900000000003</v>
      </c>
      <c r="C2609" s="35">
        <v>22584.5</v>
      </c>
      <c r="D2609" s="33" t="s">
        <v>274</v>
      </c>
      <c r="E2609" s="34">
        <v>351.50099999999998</v>
      </c>
      <c r="F2609" s="36">
        <v>5.8000000000049602E-2</v>
      </c>
      <c r="G2609" s="34">
        <v>5.8000000000049602E-2</v>
      </c>
      <c r="H2609" s="35">
        <v>3.1</v>
      </c>
      <c r="I2609" s="37">
        <f t="shared" si="40"/>
        <v>1.3726228165334632E-4</v>
      </c>
      <c r="J2609" s="33"/>
    </row>
    <row r="2610" spans="1:10">
      <c r="A2610" s="33" t="s">
        <v>94</v>
      </c>
      <c r="B2610" s="34">
        <v>351.55900000000003</v>
      </c>
      <c r="C2610" s="35">
        <v>22584.5</v>
      </c>
      <c r="D2610" s="33" t="s">
        <v>165</v>
      </c>
      <c r="E2610" s="34">
        <v>351.505</v>
      </c>
      <c r="F2610" s="36">
        <v>5.4000000000030503E-2</v>
      </c>
      <c r="G2610" s="34">
        <v>5.4000000000030503E-2</v>
      </c>
      <c r="H2610" s="35">
        <v>6998.6</v>
      </c>
      <c r="I2610" s="37">
        <f t="shared" si="40"/>
        <v>0.30988509818680954</v>
      </c>
      <c r="J2610" s="33"/>
    </row>
    <row r="2611" spans="1:10">
      <c r="A2611" s="33" t="s">
        <v>94</v>
      </c>
      <c r="B2611" s="34">
        <v>351.55900000000003</v>
      </c>
      <c r="C2611" s="35">
        <v>22584.5</v>
      </c>
      <c r="D2611" s="33" t="s">
        <v>277</v>
      </c>
      <c r="E2611" s="34">
        <v>351.52300000000002</v>
      </c>
      <c r="F2611" s="36">
        <v>3.6000000000001399E-2</v>
      </c>
      <c r="G2611" s="34">
        <v>3.6000000000001399E-2</v>
      </c>
      <c r="H2611" s="35">
        <v>211.6</v>
      </c>
      <c r="I2611" s="37">
        <f t="shared" si="40"/>
        <v>9.3692576767251869E-3</v>
      </c>
      <c r="J2611" s="33"/>
    </row>
    <row r="2612" spans="1:10">
      <c r="A2612" s="33" t="s">
        <v>94</v>
      </c>
      <c r="B2612" s="34">
        <v>351.55900000000003</v>
      </c>
      <c r="C2612" s="35">
        <v>22584.5</v>
      </c>
      <c r="D2612" s="33" t="s">
        <v>273</v>
      </c>
      <c r="E2612" s="34">
        <v>351.54300000000001</v>
      </c>
      <c r="F2612" s="36">
        <v>1.6000000000019599E-2</v>
      </c>
      <c r="G2612" s="34">
        <v>1.6000000000019599E-2</v>
      </c>
      <c r="H2612" s="35">
        <v>1785.8</v>
      </c>
      <c r="I2612" s="37">
        <f t="shared" si="40"/>
        <v>7.9071929863401891E-2</v>
      </c>
      <c r="J2612" s="33"/>
    </row>
    <row r="2613" spans="1:10">
      <c r="A2613" s="33" t="s">
        <v>94</v>
      </c>
      <c r="B2613" s="34">
        <v>351.55900000000003</v>
      </c>
      <c r="C2613" s="35">
        <v>22584.5</v>
      </c>
      <c r="D2613" s="33" t="s">
        <v>308</v>
      </c>
      <c r="E2613" s="34">
        <v>351.55399999999997</v>
      </c>
      <c r="F2613" s="36">
        <v>5.0000000000523003E-3</v>
      </c>
      <c r="G2613" s="34">
        <v>5.0000000000523003E-3</v>
      </c>
      <c r="H2613" s="35">
        <v>127.6</v>
      </c>
      <c r="I2613" s="37">
        <f t="shared" si="40"/>
        <v>5.6498926254732228E-3</v>
      </c>
      <c r="J2613" s="33"/>
    </row>
    <row r="2614" spans="1:10">
      <c r="A2614" s="33" t="s">
        <v>94</v>
      </c>
      <c r="B2614" s="34">
        <v>351.55900000000003</v>
      </c>
      <c r="C2614" s="35">
        <v>22584.5</v>
      </c>
      <c r="D2614" s="33" t="s">
        <v>25</v>
      </c>
      <c r="E2614" s="34">
        <v>351.56400000000002</v>
      </c>
      <c r="F2614" s="36">
        <v>4.9999999999954499E-3</v>
      </c>
      <c r="G2614" s="34">
        <v>4.9999999999954499E-3</v>
      </c>
      <c r="H2614" s="35">
        <v>333.3</v>
      </c>
      <c r="I2614" s="37">
        <f t="shared" si="40"/>
        <v>1.4757909185503333E-2</v>
      </c>
      <c r="J2614" s="33" t="s">
        <v>116</v>
      </c>
    </row>
    <row r="2615" spans="1:10">
      <c r="A2615" s="33" t="s">
        <v>94</v>
      </c>
      <c r="B2615" s="34">
        <v>351.55900000000003</v>
      </c>
      <c r="C2615" s="35">
        <v>22584.5</v>
      </c>
      <c r="D2615" s="33" t="s">
        <v>271</v>
      </c>
      <c r="E2615" s="34">
        <v>351.57100000000003</v>
      </c>
      <c r="F2615" s="36">
        <v>1.20000000000005E-2</v>
      </c>
      <c r="G2615" s="34">
        <v>1.20000000000005E-2</v>
      </c>
      <c r="H2615" s="35">
        <v>203.5</v>
      </c>
      <c r="I2615" s="37">
        <f t="shared" si="40"/>
        <v>9.0106046182116054E-3</v>
      </c>
      <c r="J2615" s="33"/>
    </row>
    <row r="2616" spans="1:10">
      <c r="A2616" s="33" t="s">
        <v>94</v>
      </c>
      <c r="B2616" s="34">
        <v>351.55900000000003</v>
      </c>
      <c r="C2616" s="35">
        <v>22584.5</v>
      </c>
      <c r="D2616" s="33" t="s">
        <v>275</v>
      </c>
      <c r="E2616" s="34">
        <v>351.577</v>
      </c>
      <c r="F2616" s="36">
        <v>1.7999999999972299E-2</v>
      </c>
      <c r="G2616" s="34">
        <v>1.7999999999972299E-2</v>
      </c>
      <c r="H2616" s="35">
        <v>37.799999999999997</v>
      </c>
      <c r="I2616" s="37">
        <f t="shared" si="40"/>
        <v>1.6737142730633842E-3</v>
      </c>
      <c r="J2616" s="33"/>
    </row>
    <row r="2617" spans="1:10">
      <c r="A2617" s="33" t="s">
        <v>94</v>
      </c>
      <c r="B2617" s="34">
        <v>351.55900000000003</v>
      </c>
      <c r="C2617" s="35">
        <v>22584.5</v>
      </c>
      <c r="D2617" s="33" t="s">
        <v>290</v>
      </c>
      <c r="E2617" s="34">
        <v>351.59500000000003</v>
      </c>
      <c r="F2617" s="36">
        <v>3.6000000000001399E-2</v>
      </c>
      <c r="G2617" s="34">
        <v>3.6000000000001399E-2</v>
      </c>
      <c r="H2617" s="35">
        <v>32.6</v>
      </c>
      <c r="I2617" s="37">
        <f t="shared" si="40"/>
        <v>1.4434678651287388E-3</v>
      </c>
      <c r="J2617" s="33"/>
    </row>
    <row r="2618" spans="1:10">
      <c r="A2618" s="33" t="s">
        <v>94</v>
      </c>
      <c r="B2618" s="34">
        <v>351.55900000000003</v>
      </c>
      <c r="C2618" s="35">
        <v>22584.5</v>
      </c>
      <c r="D2618" s="33" t="s">
        <v>278</v>
      </c>
      <c r="E2618" s="34">
        <v>351.6</v>
      </c>
      <c r="F2618" s="36">
        <v>4.0999999999996803E-2</v>
      </c>
      <c r="G2618" s="34">
        <v>4.0999999999996803E-2</v>
      </c>
      <c r="H2618" s="35">
        <v>66.099999999999994</v>
      </c>
      <c r="I2618" s="37">
        <f t="shared" si="40"/>
        <v>2.9267860700923198E-3</v>
      </c>
      <c r="J2618" s="33"/>
    </row>
    <row r="2619" spans="1:10">
      <c r="A2619" s="33" t="s">
        <v>94</v>
      </c>
      <c r="B2619" s="34">
        <v>351.55900000000003</v>
      </c>
      <c r="C2619" s="35">
        <v>22584.5</v>
      </c>
      <c r="D2619" s="33" t="s">
        <v>201</v>
      </c>
      <c r="E2619" s="34">
        <v>351.61599999999999</v>
      </c>
      <c r="F2619" s="36">
        <v>5.69999999999595E-2</v>
      </c>
      <c r="G2619" s="34">
        <v>5.69999999999595E-2</v>
      </c>
      <c r="H2619" s="35">
        <v>694</v>
      </c>
      <c r="I2619" s="37">
        <f t="shared" si="40"/>
        <v>3.0729039828200758E-2</v>
      </c>
      <c r="J2619" s="33"/>
    </row>
    <row r="2620" spans="1:10">
      <c r="A2620" s="33" t="s">
        <v>94</v>
      </c>
      <c r="B2620" s="34">
        <v>351.55900000000003</v>
      </c>
      <c r="C2620" s="35">
        <v>22584.5</v>
      </c>
      <c r="D2620" s="33" t="s">
        <v>273</v>
      </c>
      <c r="E2620" s="34">
        <v>351.61900000000003</v>
      </c>
      <c r="F2620" s="36">
        <v>6.0000000000002301E-2</v>
      </c>
      <c r="G2620" s="34">
        <v>6.0000000000002301E-2</v>
      </c>
      <c r="H2620" s="35">
        <v>13.9</v>
      </c>
      <c r="I2620" s="37">
        <f t="shared" si="40"/>
        <v>6.1546635967145609E-4</v>
      </c>
      <c r="J2620" s="33"/>
    </row>
    <row r="2621" spans="1:10">
      <c r="A2621" s="33" t="s">
        <v>94</v>
      </c>
      <c r="B2621" s="34">
        <v>351.55900000000003</v>
      </c>
      <c r="C2621" s="35">
        <v>22584.5</v>
      </c>
      <c r="D2621" s="33" t="s">
        <v>165</v>
      </c>
      <c r="E2621" s="34">
        <v>351.62099999999998</v>
      </c>
      <c r="F2621" s="36">
        <v>6.1999999999955001E-2</v>
      </c>
      <c r="G2621" s="34">
        <v>6.1999999999955001E-2</v>
      </c>
      <c r="H2621" s="35">
        <v>61.1</v>
      </c>
      <c r="I2621" s="37">
        <f t="shared" si="40"/>
        <v>2.7053952932320842E-3</v>
      </c>
      <c r="J2621" s="33"/>
    </row>
    <row r="2622" spans="1:10">
      <c r="A2622" s="33" t="s">
        <v>94</v>
      </c>
      <c r="B2622" s="34">
        <v>351.55900000000003</v>
      </c>
      <c r="C2622" s="35">
        <v>22584.5</v>
      </c>
      <c r="D2622" s="33" t="s">
        <v>274</v>
      </c>
      <c r="E2622" s="34">
        <v>351.62299999999999</v>
      </c>
      <c r="F2622" s="36">
        <v>6.3999999999964502E-2</v>
      </c>
      <c r="G2622" s="34">
        <v>6.3999999999964502E-2</v>
      </c>
      <c r="H2622" s="35">
        <v>5.3</v>
      </c>
      <c r="I2622" s="37">
        <f t="shared" si="40"/>
        <v>2.3467422347185017E-4</v>
      </c>
      <c r="J2622" s="33"/>
    </row>
    <row r="2623" spans="1:10">
      <c r="A2623" s="33" t="s">
        <v>94</v>
      </c>
      <c r="B2623" s="34">
        <v>351.55900000000003</v>
      </c>
      <c r="C2623" s="35">
        <v>22584.5</v>
      </c>
      <c r="D2623" s="33" t="s">
        <v>116</v>
      </c>
      <c r="E2623" s="34">
        <v>351.625</v>
      </c>
      <c r="F2623" s="36">
        <v>6.6000000000000003E-2</v>
      </c>
      <c r="G2623" s="34">
        <v>6.6000000000000003E-2</v>
      </c>
      <c r="H2623" s="35">
        <v>56.6</v>
      </c>
      <c r="I2623" s="37">
        <f t="shared" si="40"/>
        <v>2.5061435940578716E-3</v>
      </c>
      <c r="J2623" s="33" t="s">
        <v>116</v>
      </c>
    </row>
    <row r="2624" spans="1:10">
      <c r="A2624" s="33" t="s">
        <v>94</v>
      </c>
      <c r="B2624" s="34">
        <v>351.55900000000003</v>
      </c>
      <c r="C2624" s="35">
        <v>22584.5</v>
      </c>
      <c r="D2624" s="33" t="s">
        <v>271</v>
      </c>
      <c r="E2624" s="34">
        <v>351.63499999999999</v>
      </c>
      <c r="F2624" s="36">
        <v>7.5999999999964998E-2</v>
      </c>
      <c r="G2624" s="34">
        <v>7.5999999999964998E-2</v>
      </c>
      <c r="H2624" s="35">
        <v>468.7</v>
      </c>
      <c r="I2624" s="37">
        <f t="shared" si="40"/>
        <v>2.0753171422878521E-2</v>
      </c>
      <c r="J2624" s="33"/>
    </row>
    <row r="2625" spans="1:10">
      <c r="A2625" s="33" t="s">
        <v>94</v>
      </c>
      <c r="B2625" s="34">
        <v>351.55900000000003</v>
      </c>
      <c r="C2625" s="35">
        <v>22584.5</v>
      </c>
      <c r="D2625" s="33" t="s">
        <v>54</v>
      </c>
      <c r="E2625" s="34">
        <v>351.642</v>
      </c>
      <c r="F2625" s="36">
        <v>8.2999999999970001E-2</v>
      </c>
      <c r="G2625" s="34">
        <v>8.2999999999970001E-2</v>
      </c>
      <c r="H2625" s="35">
        <v>5.3</v>
      </c>
      <c r="I2625" s="37">
        <f t="shared" si="40"/>
        <v>2.3467422347185017E-4</v>
      </c>
      <c r="J2625" s="33"/>
    </row>
    <row r="2626" spans="1:10">
      <c r="A2626" s="33" t="s">
        <v>94</v>
      </c>
      <c r="B2626" s="34">
        <v>351.55900000000003</v>
      </c>
      <c r="C2626" s="35">
        <v>22584.5</v>
      </c>
      <c r="D2626" s="33" t="s">
        <v>279</v>
      </c>
      <c r="E2626" s="34">
        <v>351.66399999999999</v>
      </c>
      <c r="F2626" s="36">
        <v>0.104999999999961</v>
      </c>
      <c r="G2626" s="34">
        <v>0.104999999999961</v>
      </c>
      <c r="H2626" s="35">
        <v>18.100000000000001</v>
      </c>
      <c r="I2626" s="37">
        <f t="shared" ref="I2626:I2689" si="41">H2626/C2626</f>
        <v>8.0143461223405443E-4</v>
      </c>
      <c r="J2626" s="33"/>
    </row>
    <row r="2627" spans="1:10">
      <c r="A2627" s="33" t="s">
        <v>94</v>
      </c>
      <c r="B2627" s="34">
        <v>351.55900000000003</v>
      </c>
      <c r="C2627" s="35">
        <v>22584.5</v>
      </c>
      <c r="D2627" s="33" t="s">
        <v>36</v>
      </c>
      <c r="E2627" s="34">
        <v>351.67700000000002</v>
      </c>
      <c r="F2627" s="36">
        <v>0.11799999999999999</v>
      </c>
      <c r="G2627" s="34">
        <v>0.11799999999999999</v>
      </c>
      <c r="H2627" s="35">
        <v>509.1</v>
      </c>
      <c r="I2627" s="37">
        <f t="shared" si="41"/>
        <v>2.2542008899909229E-2</v>
      </c>
      <c r="J2627" s="33" t="s">
        <v>116</v>
      </c>
    </row>
    <row r="2628" spans="1:10">
      <c r="A2628" s="33" t="s">
        <v>94</v>
      </c>
      <c r="B2628" s="34">
        <v>351.55900000000003</v>
      </c>
      <c r="C2628" s="35">
        <v>22584.5</v>
      </c>
      <c r="D2628" s="33" t="s">
        <v>271</v>
      </c>
      <c r="E2628" s="34">
        <v>351.68200000000002</v>
      </c>
      <c r="F2628" s="36">
        <v>0.12299999999999101</v>
      </c>
      <c r="G2628" s="34">
        <v>0.12299999999999101</v>
      </c>
      <c r="H2628" s="35">
        <v>455.2</v>
      </c>
      <c r="I2628" s="37">
        <f t="shared" si="41"/>
        <v>2.0155416325355884E-2</v>
      </c>
      <c r="J2628" s="33"/>
    </row>
    <row r="2629" spans="1:10">
      <c r="A2629" s="33" t="s">
        <v>94</v>
      </c>
      <c r="B2629" s="34">
        <v>351.55900000000003</v>
      </c>
      <c r="C2629" s="35">
        <v>22584.5</v>
      </c>
      <c r="D2629" s="33" t="s">
        <v>273</v>
      </c>
      <c r="E2629" s="34">
        <v>351.68599999999998</v>
      </c>
      <c r="F2629" s="36">
        <v>0.12699999999995301</v>
      </c>
      <c r="G2629" s="34">
        <v>0.12699999999995301</v>
      </c>
      <c r="H2629" s="35">
        <v>23.6</v>
      </c>
      <c r="I2629" s="37">
        <f t="shared" si="41"/>
        <v>1.0449644667803141E-3</v>
      </c>
      <c r="J2629" s="33"/>
    </row>
    <row r="2630" spans="1:10">
      <c r="A2630" s="33" t="s">
        <v>94</v>
      </c>
      <c r="B2630" s="34">
        <v>351.55900000000003</v>
      </c>
      <c r="C2630" s="35">
        <v>22584.5</v>
      </c>
      <c r="D2630" s="33" t="s">
        <v>285</v>
      </c>
      <c r="E2630" s="34">
        <v>351.69400000000002</v>
      </c>
      <c r="F2630" s="36">
        <v>0.13499999999999099</v>
      </c>
      <c r="G2630" s="34">
        <v>0.13499999999999099</v>
      </c>
      <c r="H2630" s="35">
        <v>5207.3999999999996</v>
      </c>
      <c r="I2630" s="37">
        <f t="shared" si="41"/>
        <v>0.23057406628439858</v>
      </c>
      <c r="J2630" s="33"/>
    </row>
    <row r="2631" spans="1:10">
      <c r="A2631" s="33" t="s">
        <v>94</v>
      </c>
      <c r="B2631" s="34">
        <v>351.55900000000003</v>
      </c>
      <c r="C2631" s="35">
        <v>22584.5</v>
      </c>
      <c r="D2631" s="33" t="s">
        <v>63</v>
      </c>
      <c r="E2631" s="34">
        <v>351.7</v>
      </c>
      <c r="F2631" s="36">
        <v>0.14099999999999999</v>
      </c>
      <c r="G2631" s="34">
        <v>0.14099999999999999</v>
      </c>
      <c r="H2631" s="35">
        <v>11.3</v>
      </c>
      <c r="I2631" s="37">
        <f t="shared" si="41"/>
        <v>5.0034315570413339E-4</v>
      </c>
      <c r="J2631" s="33" t="s">
        <v>116</v>
      </c>
    </row>
    <row r="2632" spans="1:10">
      <c r="A2632" s="33" t="s">
        <v>94</v>
      </c>
      <c r="B2632" s="34">
        <v>351.55900000000003</v>
      </c>
      <c r="C2632" s="35">
        <v>22584.5</v>
      </c>
      <c r="D2632" s="33" t="s">
        <v>277</v>
      </c>
      <c r="E2632" s="34">
        <v>351.70499999999998</v>
      </c>
      <c r="F2632" s="36">
        <v>0.145999999999958</v>
      </c>
      <c r="G2632" s="34">
        <v>0.145999999999958</v>
      </c>
      <c r="H2632" s="35">
        <v>196.3</v>
      </c>
      <c r="I2632" s="37">
        <f t="shared" si="41"/>
        <v>8.6918018995328656E-3</v>
      </c>
      <c r="J2632" s="33"/>
    </row>
    <row r="2633" spans="1:10">
      <c r="A2633" s="33" t="s">
        <v>94</v>
      </c>
      <c r="B2633" s="34">
        <v>351.55900000000003</v>
      </c>
      <c r="C2633" s="35">
        <v>22584.5</v>
      </c>
      <c r="D2633" s="33" t="s">
        <v>33</v>
      </c>
      <c r="E2633" s="34">
        <v>351.726</v>
      </c>
      <c r="F2633" s="36">
        <v>0.166999999999973</v>
      </c>
      <c r="G2633" s="34">
        <v>0.166999999999973</v>
      </c>
      <c r="H2633" s="35">
        <v>2317.1</v>
      </c>
      <c r="I2633" s="37">
        <f t="shared" si="41"/>
        <v>0.10259691381257056</v>
      </c>
      <c r="J2633" s="33" t="s">
        <v>116</v>
      </c>
    </row>
    <row r="2634" spans="1:10">
      <c r="A2634" s="33" t="s">
        <v>94</v>
      </c>
      <c r="B2634" s="34">
        <v>379.67500000000001</v>
      </c>
      <c r="C2634" s="35">
        <v>37799.5</v>
      </c>
      <c r="D2634" s="33" t="s">
        <v>27</v>
      </c>
      <c r="E2634" s="34">
        <v>379.54500000000002</v>
      </c>
      <c r="F2634" s="36">
        <v>0.12999999999999601</v>
      </c>
      <c r="G2634" s="34">
        <v>0.12999999999999601</v>
      </c>
      <c r="H2634" s="35">
        <v>1933.8</v>
      </c>
      <c r="I2634" s="37">
        <f t="shared" si="41"/>
        <v>5.1159406870461249E-2</v>
      </c>
      <c r="J2634" s="33" t="s">
        <v>116</v>
      </c>
    </row>
    <row r="2635" spans="1:10">
      <c r="A2635" s="33" t="s">
        <v>94</v>
      </c>
      <c r="B2635" s="34">
        <v>379.67500000000001</v>
      </c>
      <c r="C2635" s="35">
        <v>37799.5</v>
      </c>
      <c r="D2635" s="33" t="s">
        <v>277</v>
      </c>
      <c r="E2635" s="34">
        <v>379.56099999999998</v>
      </c>
      <c r="F2635" s="36">
        <v>0.11400000000003301</v>
      </c>
      <c r="G2635" s="34">
        <v>0.11400000000003301</v>
      </c>
      <c r="H2635" s="35">
        <v>132.5</v>
      </c>
      <c r="I2635" s="37">
        <f t="shared" si="41"/>
        <v>3.505337372187463E-3</v>
      </c>
      <c r="J2635" s="33"/>
    </row>
    <row r="2636" spans="1:10">
      <c r="A2636" s="33" t="s">
        <v>94</v>
      </c>
      <c r="B2636" s="34">
        <v>379.67500000000001</v>
      </c>
      <c r="C2636" s="35">
        <v>37799.5</v>
      </c>
      <c r="D2636" s="33" t="s">
        <v>284</v>
      </c>
      <c r="E2636" s="34">
        <v>379.56799999999998</v>
      </c>
      <c r="F2636" s="36">
        <v>0.107000000000028</v>
      </c>
      <c r="G2636" s="34">
        <v>0.107000000000028</v>
      </c>
      <c r="H2636" s="35">
        <v>0.6</v>
      </c>
      <c r="I2636" s="37">
        <f t="shared" si="41"/>
        <v>1.5873225836320587E-5</v>
      </c>
      <c r="J2636" s="33"/>
    </row>
    <row r="2637" spans="1:10">
      <c r="A2637" s="33" t="s">
        <v>94</v>
      </c>
      <c r="B2637" s="34">
        <v>379.67500000000001</v>
      </c>
      <c r="C2637" s="35">
        <v>37799.5</v>
      </c>
      <c r="D2637" s="33" t="s">
        <v>271</v>
      </c>
      <c r="E2637" s="34">
        <v>379.56799999999998</v>
      </c>
      <c r="F2637" s="36">
        <v>0.107000000000028</v>
      </c>
      <c r="G2637" s="34">
        <v>0.107000000000028</v>
      </c>
      <c r="H2637" s="35">
        <v>417</v>
      </c>
      <c r="I2637" s="37">
        <f t="shared" si="41"/>
        <v>1.1031891956242807E-2</v>
      </c>
      <c r="J2637" s="33"/>
    </row>
    <row r="2638" spans="1:10">
      <c r="A2638" s="33" t="s">
        <v>94</v>
      </c>
      <c r="B2638" s="34">
        <v>379.67500000000001</v>
      </c>
      <c r="C2638" s="35">
        <v>37799.5</v>
      </c>
      <c r="D2638" s="33" t="s">
        <v>54</v>
      </c>
      <c r="E2638" s="34">
        <v>379.58499999999998</v>
      </c>
      <c r="F2638" s="36">
        <v>9.0000000000031805E-2</v>
      </c>
      <c r="G2638" s="34">
        <v>9.0000000000031805E-2</v>
      </c>
      <c r="H2638" s="35">
        <v>2.6</v>
      </c>
      <c r="I2638" s="37">
        <f t="shared" si="41"/>
        <v>6.8783978624055878E-5</v>
      </c>
      <c r="J2638" s="33"/>
    </row>
    <row r="2639" spans="1:10">
      <c r="A2639" s="33" t="s">
        <v>94</v>
      </c>
      <c r="B2639" s="34">
        <v>379.67500000000001</v>
      </c>
      <c r="C2639" s="35">
        <v>37799.5</v>
      </c>
      <c r="D2639" s="33" t="s">
        <v>237</v>
      </c>
      <c r="E2639" s="34">
        <v>379.58600000000001</v>
      </c>
      <c r="F2639" s="36">
        <v>8.8999999999998594E-2</v>
      </c>
      <c r="G2639" s="34">
        <v>8.8999999999998594E-2</v>
      </c>
      <c r="H2639" s="35">
        <v>37.799999999999997</v>
      </c>
      <c r="I2639" s="37">
        <f t="shared" si="41"/>
        <v>1.0000132276881968E-3</v>
      </c>
      <c r="J2639" s="33"/>
    </row>
    <row r="2640" spans="1:10">
      <c r="A2640" s="33" t="s">
        <v>94</v>
      </c>
      <c r="B2640" s="34">
        <v>379.67500000000001</v>
      </c>
      <c r="C2640" s="35">
        <v>37799.5</v>
      </c>
      <c r="D2640" s="33" t="s">
        <v>282</v>
      </c>
      <c r="E2640" s="34">
        <v>379.58800000000002</v>
      </c>
      <c r="F2640" s="36">
        <v>8.69999999999891E-2</v>
      </c>
      <c r="G2640" s="34">
        <v>8.69999999999891E-2</v>
      </c>
      <c r="H2640" s="35">
        <v>3.3</v>
      </c>
      <c r="I2640" s="37">
        <f t="shared" si="41"/>
        <v>8.7302742099763217E-5</v>
      </c>
      <c r="J2640" s="33"/>
    </row>
    <row r="2641" spans="1:10">
      <c r="A2641" s="33" t="s">
        <v>94</v>
      </c>
      <c r="B2641" s="34">
        <v>379.67500000000001</v>
      </c>
      <c r="C2641" s="35">
        <v>37799.5</v>
      </c>
      <c r="D2641" s="33" t="s">
        <v>276</v>
      </c>
      <c r="E2641" s="34">
        <v>379.601</v>
      </c>
      <c r="F2641" s="36">
        <v>7.4000000000012306E-2</v>
      </c>
      <c r="G2641" s="34">
        <v>7.4000000000012306E-2</v>
      </c>
      <c r="H2641" s="35">
        <v>13.3</v>
      </c>
      <c r="I2641" s="37">
        <f t="shared" si="41"/>
        <v>3.5185650603843967E-4</v>
      </c>
      <c r="J2641" s="33"/>
    </row>
    <row r="2642" spans="1:10">
      <c r="A2642" s="33" t="s">
        <v>94</v>
      </c>
      <c r="B2642" s="34">
        <v>379.67500000000001</v>
      </c>
      <c r="C2642" s="35">
        <v>37799.5</v>
      </c>
      <c r="D2642" s="33" t="s">
        <v>274</v>
      </c>
      <c r="E2642" s="34">
        <v>379.62799999999999</v>
      </c>
      <c r="F2642" s="36">
        <v>4.7000000000025501E-2</v>
      </c>
      <c r="G2642" s="34">
        <v>4.7000000000025501E-2</v>
      </c>
      <c r="H2642" s="35">
        <v>5.6</v>
      </c>
      <c r="I2642" s="37">
        <f t="shared" si="41"/>
        <v>1.4815010780565879E-4</v>
      </c>
      <c r="J2642" s="33"/>
    </row>
    <row r="2643" spans="1:10">
      <c r="A2643" s="33" t="s">
        <v>94</v>
      </c>
      <c r="B2643" s="34">
        <v>379.67500000000001</v>
      </c>
      <c r="C2643" s="35">
        <v>37799.5</v>
      </c>
      <c r="D2643" s="33" t="s">
        <v>36</v>
      </c>
      <c r="E2643" s="34">
        <v>379.63600000000002</v>
      </c>
      <c r="F2643" s="36">
        <v>3.9E-2</v>
      </c>
      <c r="G2643" s="34">
        <v>3.9E-2</v>
      </c>
      <c r="H2643" s="35">
        <v>202</v>
      </c>
      <c r="I2643" s="37">
        <f t="shared" si="41"/>
        <v>5.3439860315612642E-3</v>
      </c>
      <c r="J2643" s="33" t="s">
        <v>116</v>
      </c>
    </row>
    <row r="2644" spans="1:10">
      <c r="A2644" s="33" t="s">
        <v>94</v>
      </c>
      <c r="B2644" s="34">
        <v>379.67500000000001</v>
      </c>
      <c r="C2644" s="35">
        <v>37799.5</v>
      </c>
      <c r="D2644" s="33" t="s">
        <v>273</v>
      </c>
      <c r="E2644" s="34">
        <v>379.64299999999997</v>
      </c>
      <c r="F2644" s="36">
        <v>3.2000000000039101E-2</v>
      </c>
      <c r="G2644" s="34">
        <v>3.2000000000039101E-2</v>
      </c>
      <c r="H2644" s="35">
        <v>49.4</v>
      </c>
      <c r="I2644" s="37">
        <f t="shared" si="41"/>
        <v>1.3068955938570616E-3</v>
      </c>
      <c r="J2644" s="33"/>
    </row>
    <row r="2645" spans="1:10">
      <c r="A2645" s="33" t="s">
        <v>94</v>
      </c>
      <c r="B2645" s="34">
        <v>379.67500000000001</v>
      </c>
      <c r="C2645" s="35">
        <v>37799.5</v>
      </c>
      <c r="D2645" s="33" t="s">
        <v>27</v>
      </c>
      <c r="E2645" s="34">
        <v>379.64499999999998</v>
      </c>
      <c r="F2645" s="36">
        <v>3.00000000000296E-2</v>
      </c>
      <c r="G2645" s="34">
        <v>3.00000000000296E-2</v>
      </c>
      <c r="H2645" s="35">
        <v>691.5</v>
      </c>
      <c r="I2645" s="37">
        <f t="shared" si="41"/>
        <v>1.8293892776359476E-2</v>
      </c>
      <c r="J2645" s="33" t="s">
        <v>116</v>
      </c>
    </row>
    <row r="2646" spans="1:10">
      <c r="A2646" s="33" t="s">
        <v>94</v>
      </c>
      <c r="B2646" s="34">
        <v>379.67500000000001</v>
      </c>
      <c r="C2646" s="35">
        <v>37799.5</v>
      </c>
      <c r="D2646" s="33" t="s">
        <v>236</v>
      </c>
      <c r="E2646" s="34">
        <v>379.649</v>
      </c>
      <c r="F2646" s="36">
        <v>2.6000000000010501E-2</v>
      </c>
      <c r="G2646" s="34">
        <v>2.6000000000010501E-2</v>
      </c>
      <c r="H2646" s="35">
        <v>2220.5</v>
      </c>
      <c r="I2646" s="37">
        <f t="shared" si="41"/>
        <v>5.8744163282583105E-2</v>
      </c>
      <c r="J2646" s="33"/>
    </row>
    <row r="2647" spans="1:10">
      <c r="A2647" s="33" t="s">
        <v>94</v>
      </c>
      <c r="B2647" s="34">
        <v>379.67500000000001</v>
      </c>
      <c r="C2647" s="35">
        <v>37799.5</v>
      </c>
      <c r="D2647" s="33" t="s">
        <v>277</v>
      </c>
      <c r="E2647" s="34">
        <v>379.65300000000002</v>
      </c>
      <c r="F2647" s="36">
        <v>2.1999999999991401E-2</v>
      </c>
      <c r="G2647" s="34">
        <v>2.1999999999991401E-2</v>
      </c>
      <c r="H2647" s="35">
        <v>372.2</v>
      </c>
      <c r="I2647" s="37">
        <f t="shared" si="41"/>
        <v>9.8466910937975369E-3</v>
      </c>
      <c r="J2647" s="33"/>
    </row>
    <row r="2648" spans="1:10">
      <c r="A2648" s="33" t="s">
        <v>94</v>
      </c>
      <c r="B2648" s="34">
        <v>379.67500000000001</v>
      </c>
      <c r="C2648" s="35">
        <v>37799.5</v>
      </c>
      <c r="D2648" s="33" t="s">
        <v>279</v>
      </c>
      <c r="E2648" s="34">
        <v>379.66</v>
      </c>
      <c r="F2648" s="36">
        <v>1.4999999999986399E-2</v>
      </c>
      <c r="G2648" s="34">
        <v>1.4999999999986399E-2</v>
      </c>
      <c r="H2648" s="35">
        <v>10.6</v>
      </c>
      <c r="I2648" s="37">
        <f t="shared" si="41"/>
        <v>2.80426989774997E-4</v>
      </c>
      <c r="J2648" s="33"/>
    </row>
    <row r="2649" spans="1:10">
      <c r="A2649" s="33" t="s">
        <v>94</v>
      </c>
      <c r="B2649" s="34">
        <v>379.67500000000001</v>
      </c>
      <c r="C2649" s="35">
        <v>37799.5</v>
      </c>
      <c r="D2649" s="33" t="s">
        <v>25</v>
      </c>
      <c r="E2649" s="34">
        <v>379.66800000000001</v>
      </c>
      <c r="F2649" s="36">
        <v>7.0000000000049996E-3</v>
      </c>
      <c r="G2649" s="34">
        <v>7.0000000000049996E-3</v>
      </c>
      <c r="H2649" s="35">
        <v>395.7</v>
      </c>
      <c r="I2649" s="37">
        <f t="shared" si="41"/>
        <v>1.0468392439053426E-2</v>
      </c>
      <c r="J2649" s="33" t="s">
        <v>116</v>
      </c>
    </row>
    <row r="2650" spans="1:10">
      <c r="A2650" s="33" t="s">
        <v>94</v>
      </c>
      <c r="B2650" s="34">
        <v>379.67500000000001</v>
      </c>
      <c r="C2650" s="35">
        <v>37799.5</v>
      </c>
      <c r="D2650" s="33" t="s">
        <v>275</v>
      </c>
      <c r="E2650" s="34">
        <v>379.66899999999998</v>
      </c>
      <c r="F2650" s="36">
        <v>6.00000000002865E-3</v>
      </c>
      <c r="G2650" s="34">
        <v>6.00000000002865E-3</v>
      </c>
      <c r="H2650" s="35">
        <v>16.899999999999999</v>
      </c>
      <c r="I2650" s="37">
        <f t="shared" si="41"/>
        <v>4.4709586105636315E-4</v>
      </c>
      <c r="J2650" s="33"/>
    </row>
    <row r="2651" spans="1:10">
      <c r="A2651" s="33" t="s">
        <v>94</v>
      </c>
      <c r="B2651" s="34">
        <v>379.67500000000001</v>
      </c>
      <c r="C2651" s="35">
        <v>37799.5</v>
      </c>
      <c r="D2651" s="33" t="s">
        <v>273</v>
      </c>
      <c r="E2651" s="34">
        <v>379.68299999999999</v>
      </c>
      <c r="F2651" s="36">
        <v>7.9999999999813606E-3</v>
      </c>
      <c r="G2651" s="34">
        <v>7.9999999999813606E-3</v>
      </c>
      <c r="H2651" s="35">
        <v>29.7</v>
      </c>
      <c r="I2651" s="37">
        <f t="shared" si="41"/>
        <v>7.8572467889786903E-4</v>
      </c>
      <c r="J2651" s="33"/>
    </row>
    <row r="2652" spans="1:10">
      <c r="A2652" s="33" t="s">
        <v>94</v>
      </c>
      <c r="B2652" s="34">
        <v>379.67500000000001</v>
      </c>
      <c r="C2652" s="35">
        <v>37799.5</v>
      </c>
      <c r="D2652" s="33" t="s">
        <v>277</v>
      </c>
      <c r="E2652" s="34">
        <v>379.68400000000003</v>
      </c>
      <c r="F2652" s="36">
        <v>9.0000000000145502E-3</v>
      </c>
      <c r="G2652" s="34">
        <v>9.0000000000145502E-3</v>
      </c>
      <c r="H2652" s="35">
        <v>245.7</v>
      </c>
      <c r="I2652" s="37">
        <f t="shared" si="41"/>
        <v>6.5000859799732797E-3</v>
      </c>
      <c r="J2652" s="33"/>
    </row>
    <row r="2653" spans="1:10">
      <c r="A2653" s="33" t="s">
        <v>94</v>
      </c>
      <c r="B2653" s="34">
        <v>379.67500000000001</v>
      </c>
      <c r="C2653" s="35">
        <v>37799.5</v>
      </c>
      <c r="D2653" s="33" t="s">
        <v>237</v>
      </c>
      <c r="E2653" s="34">
        <v>379.68799999999999</v>
      </c>
      <c r="F2653" s="36">
        <v>1.2999999999976799E-2</v>
      </c>
      <c r="G2653" s="34">
        <v>1.2999999999976799E-2</v>
      </c>
      <c r="H2653" s="35">
        <v>133.1</v>
      </c>
      <c r="I2653" s="37">
        <f t="shared" si="41"/>
        <v>3.5212105980237831E-3</v>
      </c>
      <c r="J2653" s="33"/>
    </row>
    <row r="2654" spans="1:10">
      <c r="A2654" s="33" t="s">
        <v>94</v>
      </c>
      <c r="B2654" s="34">
        <v>379.67500000000001</v>
      </c>
      <c r="C2654" s="35">
        <v>37799.5</v>
      </c>
      <c r="D2654" s="33" t="s">
        <v>239</v>
      </c>
      <c r="E2654" s="34">
        <v>379.71300000000002</v>
      </c>
      <c r="F2654" s="36">
        <v>3.80000000000109E-2</v>
      </c>
      <c r="G2654" s="34">
        <v>3.80000000000109E-2</v>
      </c>
      <c r="H2654" s="35">
        <v>36.9</v>
      </c>
      <c r="I2654" s="37">
        <f t="shared" si="41"/>
        <v>9.7620338893371599E-4</v>
      </c>
      <c r="J2654" s="33"/>
    </row>
    <row r="2655" spans="1:10">
      <c r="A2655" s="33" t="s">
        <v>94</v>
      </c>
      <c r="B2655" s="34">
        <v>379.67500000000001</v>
      </c>
      <c r="C2655" s="35">
        <v>37799.5</v>
      </c>
      <c r="D2655" s="33" t="s">
        <v>270</v>
      </c>
      <c r="E2655" s="34">
        <v>379.72899999999998</v>
      </c>
      <c r="F2655" s="36">
        <v>5.3999999999973597E-2</v>
      </c>
      <c r="G2655" s="34">
        <v>5.3999999999973597E-2</v>
      </c>
      <c r="H2655" s="35">
        <v>1394.2</v>
      </c>
      <c r="I2655" s="37">
        <f t="shared" si="41"/>
        <v>3.6884085768330271E-2</v>
      </c>
      <c r="J2655" s="33"/>
    </row>
    <row r="2656" spans="1:10">
      <c r="A2656" s="33" t="s">
        <v>94</v>
      </c>
      <c r="B2656" s="34">
        <v>379.67500000000001</v>
      </c>
      <c r="C2656" s="35">
        <v>37799.5</v>
      </c>
      <c r="D2656" s="33" t="s">
        <v>275</v>
      </c>
      <c r="E2656" s="34">
        <v>379.73</v>
      </c>
      <c r="F2656" s="36">
        <v>5.50000000000068E-2</v>
      </c>
      <c r="G2656" s="34">
        <v>5.50000000000068E-2</v>
      </c>
      <c r="H2656" s="35">
        <v>38.299999999999997</v>
      </c>
      <c r="I2656" s="37">
        <f t="shared" si="41"/>
        <v>1.0132409158851306E-3</v>
      </c>
      <c r="J2656" s="33"/>
    </row>
    <row r="2657" spans="1:10">
      <c r="A2657" s="33" t="s">
        <v>94</v>
      </c>
      <c r="B2657" s="34">
        <v>379.67500000000001</v>
      </c>
      <c r="C2657" s="35">
        <v>37799.5</v>
      </c>
      <c r="D2657" s="33" t="s">
        <v>25</v>
      </c>
      <c r="E2657" s="34">
        <v>379.73200000000003</v>
      </c>
      <c r="F2657" s="36">
        <v>5.7000000000016399E-2</v>
      </c>
      <c r="G2657" s="34">
        <v>5.7000000000016399E-2</v>
      </c>
      <c r="H2657" s="35">
        <v>48.5</v>
      </c>
      <c r="I2657" s="37">
        <f t="shared" si="41"/>
        <v>1.2830857551025807E-3</v>
      </c>
      <c r="J2657" s="33" t="s">
        <v>116</v>
      </c>
    </row>
    <row r="2658" spans="1:10">
      <c r="A2658" s="33" t="s">
        <v>94</v>
      </c>
      <c r="B2658" s="34">
        <v>379.67500000000001</v>
      </c>
      <c r="C2658" s="35">
        <v>37799.5</v>
      </c>
      <c r="D2658" s="33" t="s">
        <v>271</v>
      </c>
      <c r="E2658" s="34">
        <v>379.745</v>
      </c>
      <c r="F2658" s="36">
        <v>6.9999999999993207E-2</v>
      </c>
      <c r="G2658" s="34">
        <v>6.9999999999993207E-2</v>
      </c>
      <c r="H2658" s="35">
        <v>326.89999999999998</v>
      </c>
      <c r="I2658" s="37">
        <f t="shared" si="41"/>
        <v>8.6482625431553318E-3</v>
      </c>
      <c r="J2658" s="33"/>
    </row>
    <row r="2659" spans="1:10">
      <c r="A2659" s="33" t="s">
        <v>94</v>
      </c>
      <c r="B2659" s="34">
        <v>379.67500000000001</v>
      </c>
      <c r="C2659" s="35">
        <v>37799.5</v>
      </c>
      <c r="D2659" s="33" t="s">
        <v>97</v>
      </c>
      <c r="E2659" s="34">
        <v>379.75200000000001</v>
      </c>
      <c r="F2659" s="36">
        <v>7.6999999999998195E-2</v>
      </c>
      <c r="G2659" s="34">
        <v>7.6999999999998195E-2</v>
      </c>
      <c r="H2659" s="35">
        <v>62.3</v>
      </c>
      <c r="I2659" s="37">
        <f t="shared" si="41"/>
        <v>1.6481699493379541E-3</v>
      </c>
      <c r="J2659" s="33"/>
    </row>
    <row r="2660" spans="1:10">
      <c r="A2660" s="33" t="s">
        <v>94</v>
      </c>
      <c r="B2660" s="34">
        <v>379.67500000000001</v>
      </c>
      <c r="C2660" s="35">
        <v>37799.5</v>
      </c>
      <c r="D2660" s="33" t="s">
        <v>279</v>
      </c>
      <c r="E2660" s="34">
        <v>379.75799999999998</v>
      </c>
      <c r="F2660" s="36">
        <v>8.2999999999970001E-2</v>
      </c>
      <c r="G2660" s="34">
        <v>8.2999999999970001E-2</v>
      </c>
      <c r="H2660" s="35">
        <v>8.6999999999999993</v>
      </c>
      <c r="I2660" s="37">
        <f t="shared" si="41"/>
        <v>2.3016177462664849E-4</v>
      </c>
      <c r="J2660" s="33"/>
    </row>
    <row r="2661" spans="1:10">
      <c r="A2661" s="33" t="s">
        <v>94</v>
      </c>
      <c r="B2661" s="34">
        <v>379.67500000000001</v>
      </c>
      <c r="C2661" s="35">
        <v>37799.5</v>
      </c>
      <c r="D2661" s="33" t="s">
        <v>239</v>
      </c>
      <c r="E2661" s="34">
        <v>379.77100000000002</v>
      </c>
      <c r="F2661" s="36">
        <v>9.6000000000003596E-2</v>
      </c>
      <c r="G2661" s="34">
        <v>9.6000000000003596E-2</v>
      </c>
      <c r="H2661" s="35">
        <v>90.2</v>
      </c>
      <c r="I2661" s="37">
        <f t="shared" si="41"/>
        <v>2.3862749507268617E-3</v>
      </c>
      <c r="J2661" s="33"/>
    </row>
    <row r="2662" spans="1:10">
      <c r="A2662" s="33" t="s">
        <v>94</v>
      </c>
      <c r="B2662" s="34">
        <v>379.67500000000001</v>
      </c>
      <c r="C2662" s="35">
        <v>37799.5</v>
      </c>
      <c r="D2662" s="33" t="s">
        <v>270</v>
      </c>
      <c r="E2662" s="34">
        <v>379.774</v>
      </c>
      <c r="F2662" s="36">
        <v>9.8999999999989499E-2</v>
      </c>
      <c r="G2662" s="34">
        <v>9.8999999999989499E-2</v>
      </c>
      <c r="H2662" s="35">
        <v>7190.5</v>
      </c>
      <c r="I2662" s="37">
        <f t="shared" si="41"/>
        <v>0.1902273839601053</v>
      </c>
      <c r="J2662" s="33"/>
    </row>
    <row r="2663" spans="1:10">
      <c r="A2663" s="33" t="s">
        <v>94</v>
      </c>
      <c r="B2663" s="34">
        <v>379.67500000000001</v>
      </c>
      <c r="C2663" s="35">
        <v>37799.5</v>
      </c>
      <c r="D2663" s="33" t="s">
        <v>269</v>
      </c>
      <c r="E2663" s="34">
        <v>379.79199999999997</v>
      </c>
      <c r="F2663" s="36">
        <v>0.116999999999962</v>
      </c>
      <c r="G2663" s="34">
        <v>0.116999999999962</v>
      </c>
      <c r="H2663" s="35">
        <v>485.2</v>
      </c>
      <c r="I2663" s="37">
        <f t="shared" si="41"/>
        <v>1.283614862630458E-2</v>
      </c>
      <c r="J2663" s="33"/>
    </row>
    <row r="2664" spans="1:10">
      <c r="A2664" s="33" t="s">
        <v>94</v>
      </c>
      <c r="B2664" s="34">
        <v>379.67500000000001</v>
      </c>
      <c r="C2664" s="35">
        <v>37799.5</v>
      </c>
      <c r="D2664" s="33" t="s">
        <v>268</v>
      </c>
      <c r="E2664" s="34">
        <v>379.80500000000001</v>
      </c>
      <c r="F2664" s="36">
        <v>0.12999999999999601</v>
      </c>
      <c r="G2664" s="34">
        <v>0.12999999999999601</v>
      </c>
      <c r="H2664" s="35">
        <v>132.80000000000001</v>
      </c>
      <c r="I2664" s="37">
        <f t="shared" si="41"/>
        <v>3.5132739851056233E-3</v>
      </c>
      <c r="J2664" s="33"/>
    </row>
    <row r="2665" spans="1:10">
      <c r="A2665" s="33" t="s">
        <v>94</v>
      </c>
      <c r="B2665" s="34">
        <v>379.67500000000001</v>
      </c>
      <c r="C2665" s="35">
        <v>37799.5</v>
      </c>
      <c r="D2665" s="33" t="s">
        <v>271</v>
      </c>
      <c r="E2665" s="34">
        <v>379.81</v>
      </c>
      <c r="F2665" s="36">
        <v>0.13499999999999099</v>
      </c>
      <c r="G2665" s="34">
        <v>0.13499999999999099</v>
      </c>
      <c r="H2665" s="35">
        <v>108</v>
      </c>
      <c r="I2665" s="37">
        <f t="shared" si="41"/>
        <v>2.8571806505377057E-3</v>
      </c>
      <c r="J2665" s="33"/>
    </row>
    <row r="2666" spans="1:10">
      <c r="A2666" s="33" t="s">
        <v>94</v>
      </c>
      <c r="B2666" s="34">
        <v>379.67500000000001</v>
      </c>
      <c r="C2666" s="35">
        <v>37799.5</v>
      </c>
      <c r="D2666" s="33" t="s">
        <v>273</v>
      </c>
      <c r="E2666" s="34">
        <v>379.81200000000001</v>
      </c>
      <c r="F2666" s="36">
        <v>0.13700000000000101</v>
      </c>
      <c r="G2666" s="34">
        <v>0.13700000000000101</v>
      </c>
      <c r="H2666" s="35">
        <v>769.4</v>
      </c>
      <c r="I2666" s="37">
        <f t="shared" si="41"/>
        <v>2.0354766597441766E-2</v>
      </c>
      <c r="J2666" s="33"/>
    </row>
    <row r="2667" spans="1:10">
      <c r="A2667" s="33" t="s">
        <v>94</v>
      </c>
      <c r="B2667" s="34">
        <v>379.67500000000001</v>
      </c>
      <c r="C2667" s="35">
        <v>37799.5</v>
      </c>
      <c r="D2667" s="33" t="s">
        <v>275</v>
      </c>
      <c r="E2667" s="34">
        <v>379.82499999999999</v>
      </c>
      <c r="F2667" s="36">
        <v>0.14999999999997701</v>
      </c>
      <c r="G2667" s="34">
        <v>0.14999999999997701</v>
      </c>
      <c r="H2667" s="35">
        <v>16150.8</v>
      </c>
      <c r="I2667" s="37">
        <f t="shared" si="41"/>
        <v>0.42727549306207752</v>
      </c>
      <c r="J2667" s="33"/>
    </row>
    <row r="2668" spans="1:10">
      <c r="A2668" s="33" t="s">
        <v>94</v>
      </c>
      <c r="B2668" s="34">
        <v>379.67500000000001</v>
      </c>
      <c r="C2668" s="35">
        <v>37799.5</v>
      </c>
      <c r="D2668" s="33" t="s">
        <v>36</v>
      </c>
      <c r="E2668" s="34">
        <v>379.84</v>
      </c>
      <c r="F2668" s="36">
        <v>0.16500000000000001</v>
      </c>
      <c r="G2668" s="34">
        <v>0.16500000000000001</v>
      </c>
      <c r="H2668" s="35">
        <v>649.6</v>
      </c>
      <c r="I2668" s="37">
        <f t="shared" si="41"/>
        <v>1.718541250545642E-2</v>
      </c>
      <c r="J2668" s="33" t="s">
        <v>116</v>
      </c>
    </row>
    <row r="2669" spans="1:10">
      <c r="A2669" s="33" t="s">
        <v>94</v>
      </c>
      <c r="B2669" s="34">
        <v>379.67500000000001</v>
      </c>
      <c r="C2669" s="35">
        <v>37799.5</v>
      </c>
      <c r="D2669" s="33" t="s">
        <v>271</v>
      </c>
      <c r="E2669" s="34">
        <v>379.84300000000002</v>
      </c>
      <c r="F2669" s="36">
        <v>0.16800000000000601</v>
      </c>
      <c r="G2669" s="34">
        <v>0.16800000000000601</v>
      </c>
      <c r="H2669" s="35">
        <v>70.099999999999994</v>
      </c>
      <c r="I2669" s="37">
        <f t="shared" si="41"/>
        <v>1.8545218852101216E-3</v>
      </c>
      <c r="J2669" s="33"/>
    </row>
    <row r="2670" spans="1:10">
      <c r="A2670" s="33" t="s">
        <v>94</v>
      </c>
      <c r="B2670" s="34">
        <v>381.07400000000001</v>
      </c>
      <c r="C2670" s="35">
        <v>26567.5</v>
      </c>
      <c r="D2670" s="33" t="s">
        <v>277</v>
      </c>
      <c r="E2670" s="34">
        <v>380.923</v>
      </c>
      <c r="F2670" s="36">
        <v>0.15100000000001099</v>
      </c>
      <c r="G2670" s="34">
        <v>0.15100000000001099</v>
      </c>
      <c r="H2670" s="35">
        <v>261.39999999999998</v>
      </c>
      <c r="I2670" s="37">
        <f t="shared" si="41"/>
        <v>9.8390891126376202E-3</v>
      </c>
      <c r="J2670" s="33"/>
    </row>
    <row r="2671" spans="1:10">
      <c r="A2671" s="33" t="s">
        <v>94</v>
      </c>
      <c r="B2671" s="34">
        <v>381.07400000000001</v>
      </c>
      <c r="C2671" s="35">
        <v>26567.5</v>
      </c>
      <c r="D2671" s="33" t="s">
        <v>274</v>
      </c>
      <c r="E2671" s="34">
        <v>380.923</v>
      </c>
      <c r="F2671" s="36">
        <v>0.15100000000001099</v>
      </c>
      <c r="G2671" s="34">
        <v>0.15100000000001099</v>
      </c>
      <c r="H2671" s="35">
        <v>24.4</v>
      </c>
      <c r="I2671" s="37">
        <f t="shared" si="41"/>
        <v>9.1841535710924995E-4</v>
      </c>
      <c r="J2671" s="33"/>
    </row>
    <row r="2672" spans="1:10">
      <c r="A2672" s="33" t="s">
        <v>94</v>
      </c>
      <c r="B2672" s="34">
        <v>381.07400000000001</v>
      </c>
      <c r="C2672" s="35">
        <v>26567.5</v>
      </c>
      <c r="D2672" s="33" t="s">
        <v>239</v>
      </c>
      <c r="E2672" s="34">
        <v>380.94799999999998</v>
      </c>
      <c r="F2672" s="36">
        <v>0.126000000000033</v>
      </c>
      <c r="G2672" s="34">
        <v>0.126000000000033</v>
      </c>
      <c r="H2672" s="35">
        <v>29</v>
      </c>
      <c r="I2672" s="37">
        <f t="shared" si="41"/>
        <v>1.0915592359085349E-3</v>
      </c>
      <c r="J2672" s="33"/>
    </row>
    <row r="2673" spans="1:10">
      <c r="A2673" s="33" t="s">
        <v>94</v>
      </c>
      <c r="B2673" s="34">
        <v>381.07400000000001</v>
      </c>
      <c r="C2673" s="35">
        <v>26567.5</v>
      </c>
      <c r="D2673" s="33" t="s">
        <v>282</v>
      </c>
      <c r="E2673" s="34">
        <v>380.95</v>
      </c>
      <c r="F2673" s="36">
        <v>0.12400000000002399</v>
      </c>
      <c r="G2673" s="34">
        <v>0.12400000000002399</v>
      </c>
      <c r="H2673" s="35">
        <v>9.6999999999999993</v>
      </c>
      <c r="I2673" s="37">
        <f t="shared" si="41"/>
        <v>3.6510774442457888E-4</v>
      </c>
      <c r="J2673" s="33"/>
    </row>
    <row r="2674" spans="1:10">
      <c r="A2674" s="33" t="s">
        <v>94</v>
      </c>
      <c r="B2674" s="34">
        <v>381.07400000000001</v>
      </c>
      <c r="C2674" s="35">
        <v>26567.5</v>
      </c>
      <c r="D2674" s="33" t="s">
        <v>97</v>
      </c>
      <c r="E2674" s="34">
        <v>380.95600000000002</v>
      </c>
      <c r="F2674" s="36">
        <v>0.117999999999995</v>
      </c>
      <c r="G2674" s="34">
        <v>0.117999999999995</v>
      </c>
      <c r="H2674" s="35">
        <v>1.3</v>
      </c>
      <c r="I2674" s="37">
        <f t="shared" si="41"/>
        <v>4.8931965747623977E-5</v>
      </c>
      <c r="J2674" s="33"/>
    </row>
    <row r="2675" spans="1:10">
      <c r="A2675" s="33" t="s">
        <v>94</v>
      </c>
      <c r="B2675" s="34">
        <v>381.07400000000001</v>
      </c>
      <c r="C2675" s="35">
        <v>26567.5</v>
      </c>
      <c r="D2675" s="33" t="s">
        <v>240</v>
      </c>
      <c r="E2675" s="34">
        <v>380.959</v>
      </c>
      <c r="F2675" s="36">
        <v>0.115000000000009</v>
      </c>
      <c r="G2675" s="34">
        <v>0.115000000000009</v>
      </c>
      <c r="H2675" s="35">
        <v>141</v>
      </c>
      <c r="I2675" s="37">
        <f t="shared" si="41"/>
        <v>5.3072362849346001E-3</v>
      </c>
      <c r="J2675" s="33"/>
    </row>
    <row r="2676" spans="1:10">
      <c r="A2676" s="33" t="s">
        <v>94</v>
      </c>
      <c r="B2676" s="34">
        <v>381.07400000000001</v>
      </c>
      <c r="C2676" s="35">
        <v>26567.5</v>
      </c>
      <c r="D2676" s="33" t="s">
        <v>278</v>
      </c>
      <c r="E2676" s="34">
        <v>380.96</v>
      </c>
      <c r="F2676" s="36">
        <v>0.11400000000003301</v>
      </c>
      <c r="G2676" s="34">
        <v>0.11400000000003301</v>
      </c>
      <c r="H2676" s="35">
        <v>63.7</v>
      </c>
      <c r="I2676" s="37">
        <f t="shared" si="41"/>
        <v>2.3976663216335749E-3</v>
      </c>
      <c r="J2676" s="33"/>
    </row>
    <row r="2677" spans="1:10">
      <c r="A2677" s="33" t="s">
        <v>94</v>
      </c>
      <c r="B2677" s="34">
        <v>381.07400000000001</v>
      </c>
      <c r="C2677" s="35">
        <v>26567.5</v>
      </c>
      <c r="D2677" s="33" t="s">
        <v>270</v>
      </c>
      <c r="E2677" s="34">
        <v>380.97399999999999</v>
      </c>
      <c r="F2677" s="36">
        <v>0.100000000000023</v>
      </c>
      <c r="G2677" s="34">
        <v>0.100000000000023</v>
      </c>
      <c r="H2677" s="35">
        <v>688.6</v>
      </c>
      <c r="I2677" s="37">
        <f t="shared" si="41"/>
        <v>2.59188858567799E-2</v>
      </c>
      <c r="J2677" s="33"/>
    </row>
    <row r="2678" spans="1:10">
      <c r="A2678" s="33" t="s">
        <v>94</v>
      </c>
      <c r="B2678" s="34">
        <v>381.07400000000001</v>
      </c>
      <c r="C2678" s="35">
        <v>26567.5</v>
      </c>
      <c r="D2678" s="33" t="s">
        <v>33</v>
      </c>
      <c r="E2678" s="34">
        <v>380.98200000000003</v>
      </c>
      <c r="F2678" s="36">
        <v>9.1999999999984497E-2</v>
      </c>
      <c r="G2678" s="34">
        <v>9.1999999999984497E-2</v>
      </c>
      <c r="H2678" s="35">
        <v>285.39999999999998</v>
      </c>
      <c r="I2678" s="37">
        <f t="shared" si="41"/>
        <v>1.0742448480286063E-2</v>
      </c>
      <c r="J2678" s="33" t="s">
        <v>116</v>
      </c>
    </row>
    <row r="2679" spans="1:10">
      <c r="A2679" s="33" t="s">
        <v>94</v>
      </c>
      <c r="B2679" s="34">
        <v>381.07400000000001</v>
      </c>
      <c r="C2679" s="35">
        <v>26567.5</v>
      </c>
      <c r="D2679" s="33" t="s">
        <v>271</v>
      </c>
      <c r="E2679" s="34">
        <v>380.98399999999998</v>
      </c>
      <c r="F2679" s="36">
        <v>9.0000000000031805E-2</v>
      </c>
      <c r="G2679" s="34">
        <v>9.0000000000031805E-2</v>
      </c>
      <c r="H2679" s="35">
        <v>399.7</v>
      </c>
      <c r="I2679" s="37">
        <f t="shared" si="41"/>
        <v>1.5044697468711772E-2</v>
      </c>
      <c r="J2679" s="33"/>
    </row>
    <row r="2680" spans="1:10">
      <c r="A2680" s="33" t="s">
        <v>94</v>
      </c>
      <c r="B2680" s="34">
        <v>381.07400000000001</v>
      </c>
      <c r="C2680" s="35">
        <v>26567.5</v>
      </c>
      <c r="D2680" s="33" t="s">
        <v>277</v>
      </c>
      <c r="E2680" s="34">
        <v>381.00900000000001</v>
      </c>
      <c r="F2680" s="36">
        <v>6.4999999999997699E-2</v>
      </c>
      <c r="G2680" s="34">
        <v>6.4999999999997699E-2</v>
      </c>
      <c r="H2680" s="35">
        <v>57.5</v>
      </c>
      <c r="I2680" s="37">
        <f t="shared" si="41"/>
        <v>2.1642984849910606E-3</v>
      </c>
      <c r="J2680" s="33"/>
    </row>
    <row r="2681" spans="1:10">
      <c r="A2681" s="33" t="s">
        <v>94</v>
      </c>
      <c r="B2681" s="34">
        <v>381.07400000000001</v>
      </c>
      <c r="C2681" s="35">
        <v>26567.5</v>
      </c>
      <c r="D2681" s="33" t="s">
        <v>25</v>
      </c>
      <c r="E2681" s="34">
        <v>381.01</v>
      </c>
      <c r="F2681" s="36">
        <v>6.4000000000021401E-2</v>
      </c>
      <c r="G2681" s="34">
        <v>6.4000000000021401E-2</v>
      </c>
      <c r="H2681" s="35">
        <v>171.5</v>
      </c>
      <c r="I2681" s="37">
        <f t="shared" si="41"/>
        <v>6.4552554813211635E-3</v>
      </c>
      <c r="J2681" s="33" t="s">
        <v>116</v>
      </c>
    </row>
    <row r="2682" spans="1:10">
      <c r="A2682" s="33" t="s">
        <v>94</v>
      </c>
      <c r="B2682" s="34">
        <v>381.07400000000001</v>
      </c>
      <c r="C2682" s="35">
        <v>26567.5</v>
      </c>
      <c r="D2682" s="33" t="s">
        <v>36</v>
      </c>
      <c r="E2682" s="34">
        <v>381.02499999999998</v>
      </c>
      <c r="F2682" s="36">
        <v>4.9000000000000002E-2</v>
      </c>
      <c r="G2682" s="34">
        <v>4.9000000000000002E-2</v>
      </c>
      <c r="H2682" s="35">
        <v>110</v>
      </c>
      <c r="I2682" s="37">
        <f t="shared" si="41"/>
        <v>4.1403971017220289E-3</v>
      </c>
      <c r="J2682" s="33" t="s">
        <v>116</v>
      </c>
    </row>
    <row r="2683" spans="1:10">
      <c r="A2683" s="33" t="s">
        <v>94</v>
      </c>
      <c r="B2683" s="34">
        <v>381.07400000000001</v>
      </c>
      <c r="C2683" s="35">
        <v>26567.5</v>
      </c>
      <c r="D2683" s="33" t="s">
        <v>84</v>
      </c>
      <c r="E2683" s="34">
        <v>381.03300000000002</v>
      </c>
      <c r="F2683" s="36">
        <v>4.1000000000000002E-2</v>
      </c>
      <c r="G2683" s="34">
        <v>4.1000000000000002E-2</v>
      </c>
      <c r="H2683" s="35">
        <v>162.1</v>
      </c>
      <c r="I2683" s="37">
        <f t="shared" si="41"/>
        <v>6.1014397289921897E-3</v>
      </c>
      <c r="J2683" s="33" t="s">
        <v>116</v>
      </c>
    </row>
    <row r="2684" spans="1:10">
      <c r="A2684" s="33" t="s">
        <v>94</v>
      </c>
      <c r="B2684" s="34">
        <v>381.07400000000001</v>
      </c>
      <c r="C2684" s="35">
        <v>26567.5</v>
      </c>
      <c r="D2684" s="33" t="s">
        <v>274</v>
      </c>
      <c r="E2684" s="34">
        <v>381.03800000000001</v>
      </c>
      <c r="F2684" s="36">
        <v>3.6000000000001399E-2</v>
      </c>
      <c r="G2684" s="34">
        <v>3.6000000000001399E-2</v>
      </c>
      <c r="H2684" s="35">
        <v>10.3</v>
      </c>
      <c r="I2684" s="37">
        <f t="shared" si="41"/>
        <v>3.8769172861579E-4</v>
      </c>
      <c r="J2684" s="33"/>
    </row>
    <row r="2685" spans="1:10">
      <c r="A2685" s="33" t="s">
        <v>94</v>
      </c>
      <c r="B2685" s="34">
        <v>381.07400000000001</v>
      </c>
      <c r="C2685" s="35">
        <v>26567.5</v>
      </c>
      <c r="D2685" s="33" t="s">
        <v>270</v>
      </c>
      <c r="E2685" s="34">
        <v>381.04300000000001</v>
      </c>
      <c r="F2685" s="36">
        <v>3.1000000000005901E-2</v>
      </c>
      <c r="G2685" s="34">
        <v>3.1000000000005901E-2</v>
      </c>
      <c r="H2685" s="35">
        <v>947.2</v>
      </c>
      <c r="I2685" s="37">
        <f t="shared" si="41"/>
        <v>3.5652583043191868E-2</v>
      </c>
      <c r="J2685" s="33"/>
    </row>
    <row r="2686" spans="1:10">
      <c r="A2686" s="33" t="s">
        <v>94</v>
      </c>
      <c r="B2686" s="34">
        <v>381.07400000000001</v>
      </c>
      <c r="C2686" s="35">
        <v>26567.5</v>
      </c>
      <c r="D2686" s="33" t="s">
        <v>273</v>
      </c>
      <c r="E2686" s="34">
        <v>381.048</v>
      </c>
      <c r="F2686" s="36">
        <v>2.6000000000010501E-2</v>
      </c>
      <c r="G2686" s="34">
        <v>2.6000000000010501E-2</v>
      </c>
      <c r="H2686" s="35">
        <v>103.4</v>
      </c>
      <c r="I2686" s="37">
        <f t="shared" si="41"/>
        <v>3.8919732756187071E-3</v>
      </c>
      <c r="J2686" s="33"/>
    </row>
    <row r="2687" spans="1:10">
      <c r="A2687" s="33" t="s">
        <v>94</v>
      </c>
      <c r="B2687" s="34">
        <v>381.07400000000001</v>
      </c>
      <c r="C2687" s="35">
        <v>26567.5</v>
      </c>
      <c r="D2687" s="33" t="s">
        <v>27</v>
      </c>
      <c r="E2687" s="34">
        <v>381.048</v>
      </c>
      <c r="F2687" s="36">
        <v>2.6000000000010501E-2</v>
      </c>
      <c r="G2687" s="34">
        <v>2.6000000000010501E-2</v>
      </c>
      <c r="H2687" s="35">
        <v>1792.1</v>
      </c>
      <c r="I2687" s="37">
        <f t="shared" si="41"/>
        <v>6.7454596781782256E-2</v>
      </c>
      <c r="J2687" s="33" t="s">
        <v>116</v>
      </c>
    </row>
    <row r="2688" spans="1:10">
      <c r="A2688" s="33" t="s">
        <v>94</v>
      </c>
      <c r="B2688" s="34">
        <v>381.07400000000001</v>
      </c>
      <c r="C2688" s="35">
        <v>26567.5</v>
      </c>
      <c r="D2688" s="33" t="s">
        <v>269</v>
      </c>
      <c r="E2688" s="34">
        <v>381.06099999999998</v>
      </c>
      <c r="F2688" s="36">
        <v>1.30000000000337E-2</v>
      </c>
      <c r="G2688" s="34">
        <v>1.30000000000337E-2</v>
      </c>
      <c r="H2688" s="35">
        <v>91.8</v>
      </c>
      <c r="I2688" s="37">
        <f t="shared" si="41"/>
        <v>3.4553495812552929E-3</v>
      </c>
      <c r="J2688" s="33"/>
    </row>
    <row r="2689" spans="1:10">
      <c r="A2689" s="33" t="s">
        <v>94</v>
      </c>
      <c r="B2689" s="34">
        <v>381.07400000000001</v>
      </c>
      <c r="C2689" s="35">
        <v>26567.5</v>
      </c>
      <c r="D2689" s="33" t="s">
        <v>97</v>
      </c>
      <c r="E2689" s="34">
        <v>381.07600000000002</v>
      </c>
      <c r="F2689" s="36">
        <v>2.0000000000095501E-3</v>
      </c>
      <c r="G2689" s="34">
        <v>2.0000000000095501E-3</v>
      </c>
      <c r="H2689" s="35">
        <v>27</v>
      </c>
      <c r="I2689" s="37">
        <f t="shared" si="41"/>
        <v>1.0162792886044981E-3</v>
      </c>
      <c r="J2689" s="33"/>
    </row>
    <row r="2690" spans="1:10">
      <c r="A2690" s="33" t="s">
        <v>94</v>
      </c>
      <c r="B2690" s="34">
        <v>381.07400000000001</v>
      </c>
      <c r="C2690" s="35">
        <v>26567.5</v>
      </c>
      <c r="D2690" s="33" t="s">
        <v>274</v>
      </c>
      <c r="E2690" s="34">
        <v>381.08</v>
      </c>
      <c r="F2690" s="36">
        <v>5.99999999997181E-3</v>
      </c>
      <c r="G2690" s="34">
        <v>5.99999999997181E-3</v>
      </c>
      <c r="H2690" s="35">
        <v>13.1</v>
      </c>
      <c r="I2690" s="37">
        <f t="shared" ref="I2690:I2753" si="42">H2690/C2690</f>
        <v>4.9308365484144155E-4</v>
      </c>
      <c r="J2690" s="33"/>
    </row>
    <row r="2691" spans="1:10">
      <c r="A2691" s="33" t="s">
        <v>94</v>
      </c>
      <c r="B2691" s="34">
        <v>381.07400000000001</v>
      </c>
      <c r="C2691" s="35">
        <v>26567.5</v>
      </c>
      <c r="D2691" s="33" t="s">
        <v>25</v>
      </c>
      <c r="E2691" s="34">
        <v>381.09</v>
      </c>
      <c r="F2691" s="36">
        <v>1.59999999999627E-2</v>
      </c>
      <c r="G2691" s="34">
        <v>1.59999999999627E-2</v>
      </c>
      <c r="H2691" s="35">
        <v>251</v>
      </c>
      <c r="I2691" s="37">
        <f t="shared" si="42"/>
        <v>9.447633386656629E-3</v>
      </c>
      <c r="J2691" s="33" t="s">
        <v>116</v>
      </c>
    </row>
    <row r="2692" spans="1:10">
      <c r="A2692" s="33" t="s">
        <v>94</v>
      </c>
      <c r="B2692" s="34">
        <v>381.07400000000001</v>
      </c>
      <c r="C2692" s="35">
        <v>26567.5</v>
      </c>
      <c r="D2692" s="33" t="s">
        <v>277</v>
      </c>
      <c r="E2692" s="34">
        <v>381.09300000000002</v>
      </c>
      <c r="F2692" s="36">
        <v>1.9000000000005499E-2</v>
      </c>
      <c r="G2692" s="34">
        <v>1.9000000000005499E-2</v>
      </c>
      <c r="H2692" s="35">
        <v>779</v>
      </c>
      <c r="I2692" s="37">
        <f t="shared" si="42"/>
        <v>2.9321539474922366E-2</v>
      </c>
      <c r="J2692" s="33"/>
    </row>
    <row r="2693" spans="1:10">
      <c r="A2693" s="33" t="s">
        <v>94</v>
      </c>
      <c r="B2693" s="34">
        <v>381.07400000000001</v>
      </c>
      <c r="C2693" s="35">
        <v>26567.5</v>
      </c>
      <c r="D2693" s="33" t="s">
        <v>273</v>
      </c>
      <c r="E2693" s="34">
        <v>381.10300000000001</v>
      </c>
      <c r="F2693" s="36">
        <v>2.89999999999964E-2</v>
      </c>
      <c r="G2693" s="34">
        <v>2.89999999999964E-2</v>
      </c>
      <c r="H2693" s="35">
        <v>84.2</v>
      </c>
      <c r="I2693" s="37">
        <f t="shared" si="42"/>
        <v>3.1692857814999528E-3</v>
      </c>
      <c r="J2693" s="33"/>
    </row>
    <row r="2694" spans="1:10">
      <c r="A2694" s="33" t="s">
        <v>94</v>
      </c>
      <c r="B2694" s="34">
        <v>381.07400000000001</v>
      </c>
      <c r="C2694" s="35">
        <v>26567.5</v>
      </c>
      <c r="D2694" s="33" t="s">
        <v>54</v>
      </c>
      <c r="E2694" s="34">
        <v>381.10599999999999</v>
      </c>
      <c r="F2694" s="36">
        <v>3.19999999999823E-2</v>
      </c>
      <c r="G2694" s="34">
        <v>3.19999999999823E-2</v>
      </c>
      <c r="H2694" s="35">
        <v>28</v>
      </c>
      <c r="I2694" s="37">
        <f t="shared" si="42"/>
        <v>1.0539192622565164E-3</v>
      </c>
      <c r="J2694" s="33"/>
    </row>
    <row r="2695" spans="1:10">
      <c r="A2695" s="33" t="s">
        <v>94</v>
      </c>
      <c r="B2695" s="34">
        <v>381.07400000000001</v>
      </c>
      <c r="C2695" s="35">
        <v>26567.5</v>
      </c>
      <c r="D2695" s="33" t="s">
        <v>27</v>
      </c>
      <c r="E2695" s="34">
        <v>381.10700000000003</v>
      </c>
      <c r="F2695" s="36">
        <v>3.3000000000015503E-2</v>
      </c>
      <c r="G2695" s="34">
        <v>3.3000000000015503E-2</v>
      </c>
      <c r="H2695" s="35">
        <v>661.1</v>
      </c>
      <c r="I2695" s="37">
        <f t="shared" si="42"/>
        <v>2.4883786581349394E-2</v>
      </c>
      <c r="J2695" s="33" t="s">
        <v>116</v>
      </c>
    </row>
    <row r="2696" spans="1:10">
      <c r="A2696" s="33" t="s">
        <v>94</v>
      </c>
      <c r="B2696" s="34">
        <v>381.07400000000001</v>
      </c>
      <c r="C2696" s="35">
        <v>26567.5</v>
      </c>
      <c r="D2696" s="33" t="s">
        <v>275</v>
      </c>
      <c r="E2696" s="34">
        <v>381.13900000000001</v>
      </c>
      <c r="F2696" s="36">
        <v>6.4999999999997699E-2</v>
      </c>
      <c r="G2696" s="34">
        <v>6.4999999999997699E-2</v>
      </c>
      <c r="H2696" s="35">
        <v>28</v>
      </c>
      <c r="I2696" s="37">
        <f t="shared" si="42"/>
        <v>1.0539192622565164E-3</v>
      </c>
      <c r="J2696" s="33"/>
    </row>
    <row r="2697" spans="1:10">
      <c r="A2697" s="33" t="s">
        <v>94</v>
      </c>
      <c r="B2697" s="34">
        <v>381.07400000000001</v>
      </c>
      <c r="C2697" s="35">
        <v>26567.5</v>
      </c>
      <c r="D2697" s="33" t="s">
        <v>25</v>
      </c>
      <c r="E2697" s="34">
        <v>381.16</v>
      </c>
      <c r="F2697" s="36">
        <v>8.6000000000012705E-2</v>
      </c>
      <c r="G2697" s="34">
        <v>8.6000000000012705E-2</v>
      </c>
      <c r="H2697" s="35">
        <v>253.2</v>
      </c>
      <c r="I2697" s="37">
        <f t="shared" si="42"/>
        <v>9.5304413286910698E-3</v>
      </c>
      <c r="J2697" s="33" t="s">
        <v>116</v>
      </c>
    </row>
    <row r="2698" spans="1:10">
      <c r="A2698" s="33" t="s">
        <v>94</v>
      </c>
      <c r="B2698" s="34">
        <v>381.07400000000001</v>
      </c>
      <c r="C2698" s="35">
        <v>26567.5</v>
      </c>
      <c r="D2698" s="33" t="s">
        <v>184</v>
      </c>
      <c r="E2698" s="34">
        <v>381.16800000000001</v>
      </c>
      <c r="F2698" s="36">
        <v>9.3999999999994102E-2</v>
      </c>
      <c r="G2698" s="34">
        <v>9.3999999999994102E-2</v>
      </c>
      <c r="H2698" s="35">
        <v>21.4</v>
      </c>
      <c r="I2698" s="37">
        <f t="shared" si="42"/>
        <v>8.0549543615319465E-4</v>
      </c>
      <c r="J2698" s="33"/>
    </row>
    <row r="2699" spans="1:10">
      <c r="A2699" s="33" t="s">
        <v>94</v>
      </c>
      <c r="B2699" s="34">
        <v>381.07400000000001</v>
      </c>
      <c r="C2699" s="35">
        <v>26567.5</v>
      </c>
      <c r="D2699" s="33" t="s">
        <v>27</v>
      </c>
      <c r="E2699" s="34">
        <v>381.17700000000002</v>
      </c>
      <c r="F2699" s="36">
        <v>0.103000000000009</v>
      </c>
      <c r="G2699" s="34">
        <v>0.103000000000009</v>
      </c>
      <c r="H2699" s="35">
        <v>508</v>
      </c>
      <c r="I2699" s="37">
        <f t="shared" si="42"/>
        <v>1.9121106615225369E-2</v>
      </c>
      <c r="J2699" s="33" t="s">
        <v>116</v>
      </c>
    </row>
    <row r="2700" spans="1:10">
      <c r="A2700" s="33" t="s">
        <v>94</v>
      </c>
      <c r="B2700" s="34">
        <v>381.07400000000001</v>
      </c>
      <c r="C2700" s="35">
        <v>26567.5</v>
      </c>
      <c r="D2700" s="33" t="s">
        <v>269</v>
      </c>
      <c r="E2700" s="34">
        <v>381.178</v>
      </c>
      <c r="F2700" s="36">
        <v>0.10399999999998499</v>
      </c>
      <c r="G2700" s="34">
        <v>0.10399999999998499</v>
      </c>
      <c r="H2700" s="35">
        <v>41.6</v>
      </c>
      <c r="I2700" s="37">
        <f t="shared" si="42"/>
        <v>1.5658229039239673E-3</v>
      </c>
      <c r="J2700" s="33"/>
    </row>
    <row r="2701" spans="1:10">
      <c r="A2701" s="33" t="s">
        <v>94</v>
      </c>
      <c r="B2701" s="34">
        <v>381.07400000000001</v>
      </c>
      <c r="C2701" s="35">
        <v>26567.5</v>
      </c>
      <c r="D2701" s="33" t="s">
        <v>173</v>
      </c>
      <c r="E2701" s="34">
        <v>381.185</v>
      </c>
      <c r="F2701" s="36">
        <v>0.11099999999999</v>
      </c>
      <c r="G2701" s="34">
        <v>0.11099999999999</v>
      </c>
      <c r="H2701" s="35">
        <v>756.5</v>
      </c>
      <c r="I2701" s="37">
        <f t="shared" si="42"/>
        <v>2.8474640067751952E-2</v>
      </c>
      <c r="J2701" s="33"/>
    </row>
    <row r="2702" spans="1:10">
      <c r="A2702" s="33" t="s">
        <v>94</v>
      </c>
      <c r="B2702" s="34">
        <v>381.07400000000001</v>
      </c>
      <c r="C2702" s="35">
        <v>26567.5</v>
      </c>
      <c r="D2702" s="33" t="s">
        <v>97</v>
      </c>
      <c r="E2702" s="34">
        <v>381.18900000000002</v>
      </c>
      <c r="F2702" s="36">
        <v>0.115000000000009</v>
      </c>
      <c r="G2702" s="34">
        <v>0.115000000000009</v>
      </c>
      <c r="H2702" s="35">
        <v>23</v>
      </c>
      <c r="I2702" s="37">
        <f t="shared" si="42"/>
        <v>8.6571939399642417E-4</v>
      </c>
      <c r="J2702" s="33"/>
    </row>
    <row r="2703" spans="1:10">
      <c r="A2703" s="33" t="s">
        <v>94</v>
      </c>
      <c r="B2703" s="34">
        <v>381.07400000000001</v>
      </c>
      <c r="C2703" s="35">
        <v>26567.5</v>
      </c>
      <c r="D2703" s="33" t="s">
        <v>270</v>
      </c>
      <c r="E2703" s="34">
        <v>381.20600000000002</v>
      </c>
      <c r="F2703" s="36">
        <v>0.132000000000005</v>
      </c>
      <c r="G2703" s="34">
        <v>0.132000000000005</v>
      </c>
      <c r="H2703" s="35">
        <v>952.6</v>
      </c>
      <c r="I2703" s="37">
        <f t="shared" si="42"/>
        <v>3.5855838900912769E-2</v>
      </c>
      <c r="J2703" s="33"/>
    </row>
    <row r="2704" spans="1:10">
      <c r="A2704" s="33" t="s">
        <v>94</v>
      </c>
      <c r="B2704" s="34">
        <v>381.07400000000001</v>
      </c>
      <c r="C2704" s="35">
        <v>26567.5</v>
      </c>
      <c r="D2704" s="33" t="s">
        <v>25</v>
      </c>
      <c r="E2704" s="34">
        <v>381.22</v>
      </c>
      <c r="F2704" s="36">
        <v>0.14600000000001501</v>
      </c>
      <c r="G2704" s="34">
        <v>0.14600000000001501</v>
      </c>
      <c r="H2704" s="35">
        <v>575.9</v>
      </c>
      <c r="I2704" s="37">
        <f t="shared" si="42"/>
        <v>2.1676860826197422E-2</v>
      </c>
      <c r="J2704" s="33" t="s">
        <v>116</v>
      </c>
    </row>
    <row r="2705" spans="1:10">
      <c r="A2705" s="33" t="s">
        <v>94</v>
      </c>
      <c r="B2705" s="34">
        <v>381.07400000000001</v>
      </c>
      <c r="C2705" s="35">
        <v>26567.5</v>
      </c>
      <c r="D2705" s="33" t="s">
        <v>275</v>
      </c>
      <c r="E2705" s="34">
        <v>381.22399999999999</v>
      </c>
      <c r="F2705" s="36">
        <v>0.14999999999997701</v>
      </c>
      <c r="G2705" s="34">
        <v>0.14999999999997701</v>
      </c>
      <c r="H2705" s="35">
        <v>14.2</v>
      </c>
      <c r="I2705" s="37">
        <f t="shared" si="42"/>
        <v>5.3448762585866182E-4</v>
      </c>
      <c r="J2705" s="33"/>
    </row>
    <row r="2706" spans="1:10">
      <c r="A2706" s="33" t="s">
        <v>94</v>
      </c>
      <c r="B2706" s="34">
        <v>381.07400000000001</v>
      </c>
      <c r="C2706" s="35">
        <v>26567.5</v>
      </c>
      <c r="D2706" s="33" t="s">
        <v>54</v>
      </c>
      <c r="E2706" s="34">
        <v>381.24599999999998</v>
      </c>
      <c r="F2706" s="36">
        <v>0.17199999999996901</v>
      </c>
      <c r="G2706" s="34">
        <v>0.17199999999996901</v>
      </c>
      <c r="H2706" s="35">
        <v>2</v>
      </c>
      <c r="I2706" s="37">
        <f t="shared" si="42"/>
        <v>7.5279947304036885E-5</v>
      </c>
      <c r="J2706" s="33"/>
    </row>
    <row r="2707" spans="1:10">
      <c r="A2707" s="33" t="s">
        <v>94</v>
      </c>
      <c r="B2707" s="34">
        <v>381.07400000000001</v>
      </c>
      <c r="C2707" s="35">
        <v>26567.5</v>
      </c>
      <c r="D2707" s="33" t="s">
        <v>282</v>
      </c>
      <c r="E2707" s="34">
        <v>381.24599999999998</v>
      </c>
      <c r="F2707" s="36">
        <v>0.17199999999996901</v>
      </c>
      <c r="G2707" s="34">
        <v>0.17199999999996901</v>
      </c>
      <c r="H2707" s="35">
        <v>16.7</v>
      </c>
      <c r="I2707" s="37">
        <f t="shared" si="42"/>
        <v>6.2858755998870797E-4</v>
      </c>
      <c r="J2707" s="33"/>
    </row>
    <row r="2708" spans="1:10">
      <c r="A2708" s="33" t="s">
        <v>94</v>
      </c>
      <c r="B2708" s="34">
        <v>389.09399999999999</v>
      </c>
      <c r="C2708" s="35">
        <v>72406.5</v>
      </c>
      <c r="D2708" s="33" t="s">
        <v>288</v>
      </c>
      <c r="E2708" s="34">
        <v>388.93200000000002</v>
      </c>
      <c r="F2708" s="36">
        <v>0.16199999999997799</v>
      </c>
      <c r="G2708" s="34">
        <v>0.16199999999997799</v>
      </c>
      <c r="H2708" s="35">
        <v>21.9</v>
      </c>
      <c r="I2708" s="37">
        <f t="shared" si="42"/>
        <v>3.0245903337407552E-4</v>
      </c>
      <c r="J2708" s="33"/>
    </row>
    <row r="2709" spans="1:10">
      <c r="A2709" s="33" t="s">
        <v>94</v>
      </c>
      <c r="B2709" s="34">
        <v>389.09399999999999</v>
      </c>
      <c r="C2709" s="35">
        <v>72406.5</v>
      </c>
      <c r="D2709" s="33" t="s">
        <v>173</v>
      </c>
      <c r="E2709" s="34">
        <v>388.93299999999999</v>
      </c>
      <c r="F2709" s="36">
        <v>0.161000000000001</v>
      </c>
      <c r="G2709" s="34">
        <v>0.161000000000001</v>
      </c>
      <c r="H2709" s="35">
        <v>2460.3000000000002</v>
      </c>
      <c r="I2709" s="37">
        <f t="shared" si="42"/>
        <v>3.3978993598641011E-2</v>
      </c>
      <c r="J2709" s="33"/>
    </row>
    <row r="2710" spans="1:10">
      <c r="A2710" s="33" t="s">
        <v>94</v>
      </c>
      <c r="B2710" s="34">
        <v>389.09399999999999</v>
      </c>
      <c r="C2710" s="35">
        <v>72406.5</v>
      </c>
      <c r="D2710" s="33" t="s">
        <v>276</v>
      </c>
      <c r="E2710" s="34">
        <v>388.94799999999998</v>
      </c>
      <c r="F2710" s="36">
        <v>0.14600000000001501</v>
      </c>
      <c r="G2710" s="34">
        <v>0.14600000000001501</v>
      </c>
      <c r="H2710" s="35">
        <v>28</v>
      </c>
      <c r="I2710" s="37">
        <f t="shared" si="42"/>
        <v>3.867056134463066E-4</v>
      </c>
      <c r="J2710" s="33"/>
    </row>
    <row r="2711" spans="1:10">
      <c r="A2711" s="33" t="s">
        <v>94</v>
      </c>
      <c r="B2711" s="34">
        <v>389.09399999999999</v>
      </c>
      <c r="C2711" s="35">
        <v>72406.5</v>
      </c>
      <c r="D2711" s="33" t="s">
        <v>165</v>
      </c>
      <c r="E2711" s="34">
        <v>388.96600000000001</v>
      </c>
      <c r="F2711" s="36">
        <v>0.12799999999998601</v>
      </c>
      <c r="G2711" s="34">
        <v>0.12799999999998601</v>
      </c>
      <c r="H2711" s="35">
        <v>449</v>
      </c>
      <c r="I2711" s="37">
        <f t="shared" si="42"/>
        <v>6.2011007299068452E-3</v>
      </c>
      <c r="J2711" s="33"/>
    </row>
    <row r="2712" spans="1:10">
      <c r="A2712" s="33" t="s">
        <v>94</v>
      </c>
      <c r="B2712" s="34">
        <v>389.09399999999999</v>
      </c>
      <c r="C2712" s="35">
        <v>72406.5</v>
      </c>
      <c r="D2712" s="33" t="s">
        <v>27</v>
      </c>
      <c r="E2712" s="34">
        <v>388.99299999999999</v>
      </c>
      <c r="F2712" s="36">
        <v>0.10099999999999899</v>
      </c>
      <c r="G2712" s="34">
        <v>0.10099999999999899</v>
      </c>
      <c r="H2712" s="35">
        <v>7843.5</v>
      </c>
      <c r="I2712" s="37">
        <f t="shared" si="42"/>
        <v>0.10832590996664664</v>
      </c>
      <c r="J2712" s="33" t="s">
        <v>116</v>
      </c>
    </row>
    <row r="2713" spans="1:10">
      <c r="A2713" s="33" t="s">
        <v>94</v>
      </c>
      <c r="B2713" s="34">
        <v>389.09399999999999</v>
      </c>
      <c r="C2713" s="35">
        <v>72406.5</v>
      </c>
      <c r="D2713" s="33" t="s">
        <v>25</v>
      </c>
      <c r="E2713" s="34">
        <v>388.99799999999999</v>
      </c>
      <c r="F2713" s="36">
        <v>9.6000000000003596E-2</v>
      </c>
      <c r="G2713" s="34">
        <v>9.6000000000003596E-2</v>
      </c>
      <c r="H2713" s="35">
        <v>6419.5</v>
      </c>
      <c r="I2713" s="37">
        <f t="shared" si="42"/>
        <v>8.8659167339948761E-2</v>
      </c>
      <c r="J2713" s="33" t="s">
        <v>116</v>
      </c>
    </row>
    <row r="2714" spans="1:10">
      <c r="A2714" s="33" t="s">
        <v>94</v>
      </c>
      <c r="B2714" s="34">
        <v>389.09399999999999</v>
      </c>
      <c r="C2714" s="35">
        <v>72406.5</v>
      </c>
      <c r="D2714" s="33" t="s">
        <v>54</v>
      </c>
      <c r="E2714" s="34">
        <v>389.00299999999999</v>
      </c>
      <c r="F2714" s="36">
        <v>9.1000000000008199E-2</v>
      </c>
      <c r="G2714" s="34">
        <v>9.1000000000008199E-2</v>
      </c>
      <c r="H2714" s="35">
        <v>6.7</v>
      </c>
      <c r="I2714" s="37">
        <f t="shared" si="42"/>
        <v>9.2533128931794796E-5</v>
      </c>
      <c r="J2714" s="33"/>
    </row>
    <row r="2715" spans="1:10">
      <c r="A2715" s="33" t="s">
        <v>94</v>
      </c>
      <c r="B2715" s="34">
        <v>389.09399999999999</v>
      </c>
      <c r="C2715" s="35">
        <v>72406.5</v>
      </c>
      <c r="D2715" s="33" t="s">
        <v>270</v>
      </c>
      <c r="E2715" s="34">
        <v>389.00799999999998</v>
      </c>
      <c r="F2715" s="36">
        <v>8.6000000000012705E-2</v>
      </c>
      <c r="G2715" s="34">
        <v>8.6000000000012705E-2</v>
      </c>
      <c r="H2715" s="35">
        <v>3594.2</v>
      </c>
      <c r="I2715" s="37">
        <f t="shared" si="42"/>
        <v>4.9639189851739825E-2</v>
      </c>
      <c r="J2715" s="33"/>
    </row>
    <row r="2716" spans="1:10">
      <c r="A2716" s="33" t="s">
        <v>94</v>
      </c>
      <c r="B2716" s="34">
        <v>389.09399999999999</v>
      </c>
      <c r="C2716" s="35">
        <v>72406.5</v>
      </c>
      <c r="D2716" s="33" t="s">
        <v>278</v>
      </c>
      <c r="E2716" s="34">
        <v>389.01799999999997</v>
      </c>
      <c r="F2716" s="36">
        <v>7.60000000000218E-2</v>
      </c>
      <c r="G2716" s="34">
        <v>7.60000000000218E-2</v>
      </c>
      <c r="H2716" s="35">
        <v>457.2</v>
      </c>
      <c r="I2716" s="37">
        <f t="shared" si="42"/>
        <v>6.3143502309875492E-3</v>
      </c>
      <c r="J2716" s="33"/>
    </row>
    <row r="2717" spans="1:10">
      <c r="A2717" s="33" t="s">
        <v>94</v>
      </c>
      <c r="B2717" s="34">
        <v>389.09399999999999</v>
      </c>
      <c r="C2717" s="35">
        <v>72406.5</v>
      </c>
      <c r="D2717" s="33" t="s">
        <v>268</v>
      </c>
      <c r="E2717" s="34">
        <v>389.02100000000002</v>
      </c>
      <c r="F2717" s="36">
        <v>7.2999999999979095E-2</v>
      </c>
      <c r="G2717" s="34">
        <v>7.2999999999979095E-2</v>
      </c>
      <c r="H2717" s="35">
        <v>25.7</v>
      </c>
      <c r="I2717" s="37">
        <f t="shared" si="42"/>
        <v>3.549405094846457E-4</v>
      </c>
      <c r="J2717" s="33"/>
    </row>
    <row r="2718" spans="1:10">
      <c r="A2718" s="33" t="s">
        <v>94</v>
      </c>
      <c r="B2718" s="34">
        <v>389.09399999999999</v>
      </c>
      <c r="C2718" s="35">
        <v>72406.5</v>
      </c>
      <c r="D2718" s="33" t="s">
        <v>236</v>
      </c>
      <c r="E2718" s="34">
        <v>389.03199999999998</v>
      </c>
      <c r="F2718" s="36">
        <v>6.2000000000011803E-2</v>
      </c>
      <c r="G2718" s="34">
        <v>6.2000000000011803E-2</v>
      </c>
      <c r="H2718" s="35">
        <v>1327.5</v>
      </c>
      <c r="I2718" s="37">
        <f t="shared" si="42"/>
        <v>1.8333989351784714E-2</v>
      </c>
      <c r="J2718" s="33"/>
    </row>
    <row r="2719" spans="1:10">
      <c r="A2719" s="33" t="s">
        <v>94</v>
      </c>
      <c r="B2719" s="34">
        <v>389.09399999999999</v>
      </c>
      <c r="C2719" s="35">
        <v>72406.5</v>
      </c>
      <c r="D2719" s="33" t="s">
        <v>277</v>
      </c>
      <c r="E2719" s="34">
        <v>389.036</v>
      </c>
      <c r="F2719" s="36">
        <v>5.7999999999992703E-2</v>
      </c>
      <c r="G2719" s="34">
        <v>5.7999999999992703E-2</v>
      </c>
      <c r="H2719" s="35">
        <v>2283.9</v>
      </c>
      <c r="I2719" s="37">
        <f t="shared" si="42"/>
        <v>3.1542748233929274E-2</v>
      </c>
      <c r="J2719" s="33"/>
    </row>
    <row r="2720" spans="1:10">
      <c r="A2720" s="33" t="s">
        <v>94</v>
      </c>
      <c r="B2720" s="34">
        <v>389.09399999999999</v>
      </c>
      <c r="C2720" s="35">
        <v>72406.5</v>
      </c>
      <c r="D2720" s="33" t="s">
        <v>27</v>
      </c>
      <c r="E2720" s="34">
        <v>389.05799999999999</v>
      </c>
      <c r="F2720" s="36">
        <v>3.6000000000001399E-2</v>
      </c>
      <c r="G2720" s="34">
        <v>3.6000000000001399E-2</v>
      </c>
      <c r="H2720" s="35">
        <v>8928.7000000000007</v>
      </c>
      <c r="I2720" s="37">
        <f t="shared" si="42"/>
        <v>0.12331351467064422</v>
      </c>
      <c r="J2720" s="33" t="s">
        <v>116</v>
      </c>
    </row>
    <row r="2721" spans="1:10">
      <c r="A2721" s="33" t="s">
        <v>94</v>
      </c>
      <c r="B2721" s="34">
        <v>389.09399999999999</v>
      </c>
      <c r="C2721" s="35">
        <v>72406.5</v>
      </c>
      <c r="D2721" s="33" t="s">
        <v>133</v>
      </c>
      <c r="E2721" s="34">
        <v>389.065</v>
      </c>
      <c r="F2721" s="36">
        <v>2.89999999999964E-2</v>
      </c>
      <c r="G2721" s="34">
        <v>2.89999999999964E-2</v>
      </c>
      <c r="H2721" s="35">
        <v>173.8</v>
      </c>
      <c r="I2721" s="37">
        <f t="shared" si="42"/>
        <v>2.4003369863202892E-3</v>
      </c>
      <c r="J2721" s="33"/>
    </row>
    <row r="2722" spans="1:10">
      <c r="A2722" s="33" t="s">
        <v>94</v>
      </c>
      <c r="B2722" s="34">
        <v>389.09399999999999</v>
      </c>
      <c r="C2722" s="35">
        <v>72406.5</v>
      </c>
      <c r="D2722" s="33" t="s">
        <v>25</v>
      </c>
      <c r="E2722" s="34">
        <v>389.07400000000001</v>
      </c>
      <c r="F2722" s="36">
        <v>1.99999999999818E-2</v>
      </c>
      <c r="G2722" s="34">
        <v>1.99999999999818E-2</v>
      </c>
      <c r="H2722" s="35">
        <v>1268.2</v>
      </c>
      <c r="I2722" s="37">
        <f t="shared" si="42"/>
        <v>1.7515002106164503E-2</v>
      </c>
      <c r="J2722" s="33" t="s">
        <v>116</v>
      </c>
    </row>
    <row r="2723" spans="1:10">
      <c r="A2723" s="33" t="s">
        <v>94</v>
      </c>
      <c r="B2723" s="34">
        <v>389.09399999999999</v>
      </c>
      <c r="C2723" s="35">
        <v>72406.5</v>
      </c>
      <c r="D2723" s="33" t="s">
        <v>274</v>
      </c>
      <c r="E2723" s="34">
        <v>389.07400000000001</v>
      </c>
      <c r="F2723" s="36">
        <v>1.99999999999818E-2</v>
      </c>
      <c r="G2723" s="34">
        <v>1.99999999999818E-2</v>
      </c>
      <c r="H2723" s="35">
        <v>10.3</v>
      </c>
      <c r="I2723" s="37">
        <f t="shared" si="42"/>
        <v>1.4225242208917708E-4</v>
      </c>
      <c r="J2723" s="33"/>
    </row>
    <row r="2724" spans="1:10">
      <c r="A2724" s="33" t="s">
        <v>94</v>
      </c>
      <c r="B2724" s="34">
        <v>389.09399999999999</v>
      </c>
      <c r="C2724" s="35">
        <v>72406.5</v>
      </c>
      <c r="D2724" s="33" t="s">
        <v>36</v>
      </c>
      <c r="E2724" s="34">
        <v>389.08499999999998</v>
      </c>
      <c r="F2724" s="36">
        <v>8.9999999999999993E-3</v>
      </c>
      <c r="G2724" s="34">
        <v>8.9999999999999993E-3</v>
      </c>
      <c r="H2724" s="35">
        <v>357.3</v>
      </c>
      <c r="I2724" s="37">
        <f t="shared" si="42"/>
        <v>4.9346398458701909E-3</v>
      </c>
      <c r="J2724" s="33" t="s">
        <v>116</v>
      </c>
    </row>
    <row r="2725" spans="1:10">
      <c r="A2725" s="33" t="s">
        <v>94</v>
      </c>
      <c r="B2725" s="34">
        <v>389.09399999999999</v>
      </c>
      <c r="C2725" s="35">
        <v>72406.5</v>
      </c>
      <c r="D2725" s="33" t="s">
        <v>27</v>
      </c>
      <c r="E2725" s="34">
        <v>389.09399999999999</v>
      </c>
      <c r="F2725" s="36">
        <v>0</v>
      </c>
      <c r="G2725" s="34">
        <v>0</v>
      </c>
      <c r="H2725" s="35">
        <v>9223.1</v>
      </c>
      <c r="I2725" s="37">
        <f t="shared" si="42"/>
        <v>0.12737944797773681</v>
      </c>
      <c r="J2725" s="33" t="s">
        <v>116</v>
      </c>
    </row>
    <row r="2726" spans="1:10">
      <c r="A2726" s="33" t="s">
        <v>94</v>
      </c>
      <c r="B2726" s="34">
        <v>389.09399999999999</v>
      </c>
      <c r="C2726" s="35">
        <v>72406.5</v>
      </c>
      <c r="D2726" s="33" t="s">
        <v>25</v>
      </c>
      <c r="E2726" s="34">
        <v>389.09800000000001</v>
      </c>
      <c r="F2726" s="36">
        <v>4.0000000000191003E-3</v>
      </c>
      <c r="G2726" s="34">
        <v>4.0000000000191003E-3</v>
      </c>
      <c r="H2726" s="35">
        <v>1421.4</v>
      </c>
      <c r="I2726" s="37">
        <f t="shared" si="42"/>
        <v>1.9630834248306438E-2</v>
      </c>
      <c r="J2726" s="33" t="s">
        <v>116</v>
      </c>
    </row>
    <row r="2727" spans="1:10">
      <c r="A2727" s="33" t="s">
        <v>94</v>
      </c>
      <c r="B2727" s="34">
        <v>389.09399999999999</v>
      </c>
      <c r="C2727" s="35">
        <v>72406.5</v>
      </c>
      <c r="D2727" s="33" t="s">
        <v>271</v>
      </c>
      <c r="E2727" s="34">
        <v>389.10500000000002</v>
      </c>
      <c r="F2727" s="36">
        <v>1.10000000000241E-2</v>
      </c>
      <c r="G2727" s="34">
        <v>1.10000000000241E-2</v>
      </c>
      <c r="H2727" s="35">
        <v>477.5</v>
      </c>
      <c r="I2727" s="37">
        <f t="shared" si="42"/>
        <v>6.594711800736122E-3</v>
      </c>
      <c r="J2727" s="33"/>
    </row>
    <row r="2728" spans="1:10">
      <c r="A2728" s="33" t="s">
        <v>94</v>
      </c>
      <c r="B2728" s="34">
        <v>389.09399999999999</v>
      </c>
      <c r="C2728" s="35">
        <v>72406.5</v>
      </c>
      <c r="D2728" s="33" t="s">
        <v>270</v>
      </c>
      <c r="E2728" s="34">
        <v>389.11900000000003</v>
      </c>
      <c r="F2728" s="36">
        <v>2.5000000000034099E-2</v>
      </c>
      <c r="G2728" s="34">
        <v>2.5000000000034099E-2</v>
      </c>
      <c r="H2728" s="35">
        <v>1371.1</v>
      </c>
      <c r="I2728" s="37">
        <f t="shared" si="42"/>
        <v>1.8936145235579679E-2</v>
      </c>
      <c r="J2728" s="33"/>
    </row>
    <row r="2729" spans="1:10">
      <c r="A2729" s="33" t="s">
        <v>94</v>
      </c>
      <c r="B2729" s="34">
        <v>389.09399999999999</v>
      </c>
      <c r="C2729" s="35">
        <v>72406.5</v>
      </c>
      <c r="D2729" s="33" t="s">
        <v>278</v>
      </c>
      <c r="E2729" s="34">
        <v>389.12099999999998</v>
      </c>
      <c r="F2729" s="36">
        <v>2.6999999999986798E-2</v>
      </c>
      <c r="G2729" s="34">
        <v>2.6999999999986798E-2</v>
      </c>
      <c r="H2729" s="35">
        <v>129.19999999999999</v>
      </c>
      <c r="I2729" s="37">
        <f t="shared" si="42"/>
        <v>1.7843701877593861E-3</v>
      </c>
      <c r="J2729" s="33"/>
    </row>
    <row r="2730" spans="1:10">
      <c r="A2730" s="33" t="s">
        <v>94</v>
      </c>
      <c r="B2730" s="34">
        <v>389.09399999999999</v>
      </c>
      <c r="C2730" s="35">
        <v>72406.5</v>
      </c>
      <c r="D2730" s="33" t="s">
        <v>273</v>
      </c>
      <c r="E2730" s="34">
        <v>389.12900000000002</v>
      </c>
      <c r="F2730" s="36">
        <v>3.5000000000024997E-2</v>
      </c>
      <c r="G2730" s="34">
        <v>3.5000000000024997E-2</v>
      </c>
      <c r="H2730" s="35">
        <v>227.5</v>
      </c>
      <c r="I2730" s="37">
        <f t="shared" si="42"/>
        <v>3.1419831092512414E-3</v>
      </c>
      <c r="J2730" s="33"/>
    </row>
    <row r="2731" spans="1:10">
      <c r="A2731" s="33" t="s">
        <v>94</v>
      </c>
      <c r="B2731" s="34">
        <v>389.09399999999999</v>
      </c>
      <c r="C2731" s="35">
        <v>72406.5</v>
      </c>
      <c r="D2731" s="33" t="s">
        <v>236</v>
      </c>
      <c r="E2731" s="34">
        <v>389.13900000000001</v>
      </c>
      <c r="F2731" s="36">
        <v>4.5000000000015902E-2</v>
      </c>
      <c r="G2731" s="34">
        <v>4.5000000000015902E-2</v>
      </c>
      <c r="H2731" s="35">
        <v>892.4</v>
      </c>
      <c r="I2731" s="37">
        <f t="shared" si="42"/>
        <v>1.2324860337124429E-2</v>
      </c>
      <c r="J2731" s="33"/>
    </row>
    <row r="2732" spans="1:10">
      <c r="A2732" s="33" t="s">
        <v>94</v>
      </c>
      <c r="B2732" s="34">
        <v>389.09399999999999</v>
      </c>
      <c r="C2732" s="35">
        <v>72406.5</v>
      </c>
      <c r="D2732" s="33" t="s">
        <v>268</v>
      </c>
      <c r="E2732" s="34">
        <v>389.14299999999997</v>
      </c>
      <c r="F2732" s="36">
        <v>4.89999999999782E-2</v>
      </c>
      <c r="G2732" s="34">
        <v>4.89999999999782E-2</v>
      </c>
      <c r="H2732" s="35">
        <v>9.6</v>
      </c>
      <c r="I2732" s="37">
        <f t="shared" si="42"/>
        <v>1.325847817530194E-4</v>
      </c>
      <c r="J2732" s="33"/>
    </row>
    <row r="2733" spans="1:10">
      <c r="A2733" s="33" t="s">
        <v>94</v>
      </c>
      <c r="B2733" s="34">
        <v>389.09399999999999</v>
      </c>
      <c r="C2733" s="35">
        <v>72406.5</v>
      </c>
      <c r="D2733" s="33" t="s">
        <v>54</v>
      </c>
      <c r="E2733" s="34">
        <v>389.16699999999997</v>
      </c>
      <c r="F2733" s="36">
        <v>7.2999999999979095E-2</v>
      </c>
      <c r="G2733" s="34">
        <v>7.2999999999979095E-2</v>
      </c>
      <c r="H2733" s="35">
        <v>6.6</v>
      </c>
      <c r="I2733" s="37">
        <f t="shared" si="42"/>
        <v>9.1152037455200844E-5</v>
      </c>
      <c r="J2733" s="33"/>
    </row>
    <row r="2734" spans="1:10">
      <c r="A2734" s="33" t="s">
        <v>94</v>
      </c>
      <c r="B2734" s="34">
        <v>389.09399999999999</v>
      </c>
      <c r="C2734" s="35">
        <v>72406.5</v>
      </c>
      <c r="D2734" s="33" t="s">
        <v>173</v>
      </c>
      <c r="E2734" s="34">
        <v>389.17099999999999</v>
      </c>
      <c r="F2734" s="36">
        <v>7.6999999999998195E-2</v>
      </c>
      <c r="G2734" s="34">
        <v>7.6999999999998195E-2</v>
      </c>
      <c r="H2734" s="35">
        <v>875.1</v>
      </c>
      <c r="I2734" s="37">
        <f t="shared" si="42"/>
        <v>1.2085931511673677E-2</v>
      </c>
      <c r="J2734" s="33"/>
    </row>
    <row r="2735" spans="1:10">
      <c r="A2735" s="33" t="s">
        <v>94</v>
      </c>
      <c r="B2735" s="34">
        <v>389.09399999999999</v>
      </c>
      <c r="C2735" s="35">
        <v>72406.5</v>
      </c>
      <c r="D2735" s="33" t="s">
        <v>25</v>
      </c>
      <c r="E2735" s="34">
        <v>389.17700000000002</v>
      </c>
      <c r="F2735" s="36">
        <v>8.3000000000026802E-2</v>
      </c>
      <c r="G2735" s="34">
        <v>8.3000000000026802E-2</v>
      </c>
      <c r="H2735" s="35">
        <v>270</v>
      </c>
      <c r="I2735" s="37">
        <f t="shared" si="42"/>
        <v>3.7289469868036708E-3</v>
      </c>
      <c r="J2735" s="33" t="s">
        <v>116</v>
      </c>
    </row>
    <row r="2736" spans="1:10">
      <c r="A2736" s="33" t="s">
        <v>94</v>
      </c>
      <c r="B2736" s="34">
        <v>389.09399999999999</v>
      </c>
      <c r="C2736" s="35">
        <v>72406.5</v>
      </c>
      <c r="D2736" s="33" t="s">
        <v>288</v>
      </c>
      <c r="E2736" s="34">
        <v>389.178</v>
      </c>
      <c r="F2736" s="36">
        <v>8.4000000000003197E-2</v>
      </c>
      <c r="G2736" s="34">
        <v>8.4000000000003197E-2</v>
      </c>
      <c r="H2736" s="35">
        <v>23626.3</v>
      </c>
      <c r="I2736" s="37">
        <f t="shared" si="42"/>
        <v>0.3263008155345169</v>
      </c>
      <c r="J2736" s="33"/>
    </row>
    <row r="2737" spans="1:10">
      <c r="A2737" s="33" t="s">
        <v>94</v>
      </c>
      <c r="B2737" s="34">
        <v>389.09399999999999</v>
      </c>
      <c r="C2737" s="35">
        <v>72406.5</v>
      </c>
      <c r="D2737" s="33" t="s">
        <v>33</v>
      </c>
      <c r="E2737" s="34">
        <v>389.18599999999998</v>
      </c>
      <c r="F2737" s="36">
        <v>9.1999999999984497E-2</v>
      </c>
      <c r="G2737" s="34">
        <v>9.1999999999984497E-2</v>
      </c>
      <c r="H2737" s="35">
        <v>385.3</v>
      </c>
      <c r="I2737" s="37">
        <f t="shared" si="42"/>
        <v>5.3213454593164979E-3</v>
      </c>
      <c r="J2737" s="33" t="s">
        <v>116</v>
      </c>
    </row>
    <row r="2738" spans="1:10">
      <c r="A2738" s="33" t="s">
        <v>94</v>
      </c>
      <c r="B2738" s="34">
        <v>389.09399999999999</v>
      </c>
      <c r="C2738" s="35">
        <v>72406.5</v>
      </c>
      <c r="D2738" s="33" t="s">
        <v>239</v>
      </c>
      <c r="E2738" s="34">
        <v>389.19299999999998</v>
      </c>
      <c r="F2738" s="36">
        <v>9.8999999999989499E-2</v>
      </c>
      <c r="G2738" s="34">
        <v>9.8999999999989499E-2</v>
      </c>
      <c r="H2738" s="35">
        <v>277</v>
      </c>
      <c r="I2738" s="37">
        <f t="shared" si="42"/>
        <v>3.8256233901652476E-3</v>
      </c>
      <c r="J2738" s="33"/>
    </row>
    <row r="2739" spans="1:10">
      <c r="A2739" s="33" t="s">
        <v>94</v>
      </c>
      <c r="B2739" s="34">
        <v>389.09399999999999</v>
      </c>
      <c r="C2739" s="35">
        <v>72406.5</v>
      </c>
      <c r="D2739" s="33" t="s">
        <v>97</v>
      </c>
      <c r="E2739" s="34">
        <v>389.19299999999998</v>
      </c>
      <c r="F2739" s="36">
        <v>9.8999999999989499E-2</v>
      </c>
      <c r="G2739" s="34">
        <v>9.8999999999989499E-2</v>
      </c>
      <c r="H2739" s="35">
        <v>10.9</v>
      </c>
      <c r="I2739" s="37">
        <f t="shared" si="42"/>
        <v>1.5053897094874079E-4</v>
      </c>
      <c r="J2739" s="33"/>
    </row>
    <row r="2740" spans="1:10">
      <c r="A2740" s="33" t="s">
        <v>94</v>
      </c>
      <c r="B2740" s="34">
        <v>389.09399999999999</v>
      </c>
      <c r="C2740" s="35">
        <v>72406.5</v>
      </c>
      <c r="D2740" s="33" t="s">
        <v>236</v>
      </c>
      <c r="E2740" s="34">
        <v>389.202</v>
      </c>
      <c r="F2740" s="36">
        <v>0.108000000000004</v>
      </c>
      <c r="G2740" s="34">
        <v>0.108000000000004</v>
      </c>
      <c r="H2740" s="35">
        <v>84.4</v>
      </c>
      <c r="I2740" s="37">
        <f t="shared" si="42"/>
        <v>1.1656412062452958E-3</v>
      </c>
      <c r="J2740" s="33"/>
    </row>
    <row r="2741" spans="1:10">
      <c r="A2741" s="33" t="s">
        <v>94</v>
      </c>
      <c r="B2741" s="34">
        <v>389.09399999999999</v>
      </c>
      <c r="C2741" s="35">
        <v>72406.5</v>
      </c>
      <c r="D2741" s="33" t="s">
        <v>27</v>
      </c>
      <c r="E2741" s="34">
        <v>389.20600000000002</v>
      </c>
      <c r="F2741" s="36">
        <v>0.112000000000023</v>
      </c>
      <c r="G2741" s="34">
        <v>0.112000000000023</v>
      </c>
      <c r="H2741" s="35">
        <v>3471.8</v>
      </c>
      <c r="I2741" s="37">
        <f t="shared" si="42"/>
        <v>4.7948733884388833E-2</v>
      </c>
      <c r="J2741" s="33" t="s">
        <v>116</v>
      </c>
    </row>
    <row r="2742" spans="1:10">
      <c r="A2742" s="33" t="s">
        <v>94</v>
      </c>
      <c r="B2742" s="34">
        <v>389.09399999999999</v>
      </c>
      <c r="C2742" s="35">
        <v>72406.5</v>
      </c>
      <c r="D2742" s="33" t="s">
        <v>54</v>
      </c>
      <c r="E2742" s="34">
        <v>389.21100000000001</v>
      </c>
      <c r="F2742" s="36">
        <v>0.11700000000001901</v>
      </c>
      <c r="G2742" s="34">
        <v>0.11700000000001901</v>
      </c>
      <c r="H2742" s="35">
        <v>7.2</v>
      </c>
      <c r="I2742" s="37">
        <f t="shared" si="42"/>
        <v>9.9438586314764567E-5</v>
      </c>
      <c r="J2742" s="33"/>
    </row>
    <row r="2743" spans="1:10">
      <c r="A2743" s="33" t="s">
        <v>94</v>
      </c>
      <c r="B2743" s="34">
        <v>389.09399999999999</v>
      </c>
      <c r="C2743" s="35">
        <v>72406.5</v>
      </c>
      <c r="D2743" s="33" t="s">
        <v>268</v>
      </c>
      <c r="E2743" s="34">
        <v>389.22300000000001</v>
      </c>
      <c r="F2743" s="36">
        <v>0.12900000000001899</v>
      </c>
      <c r="G2743" s="34">
        <v>0.12900000000001899</v>
      </c>
      <c r="H2743" s="35">
        <v>116.9</v>
      </c>
      <c r="I2743" s="37">
        <f t="shared" si="42"/>
        <v>1.6144959361383301E-3</v>
      </c>
      <c r="J2743" s="33"/>
    </row>
    <row r="2744" spans="1:10">
      <c r="A2744" s="33" t="s">
        <v>94</v>
      </c>
      <c r="B2744" s="34">
        <v>389.09399999999999</v>
      </c>
      <c r="C2744" s="35">
        <v>72406.5</v>
      </c>
      <c r="D2744" s="33" t="s">
        <v>276</v>
      </c>
      <c r="E2744" s="34">
        <v>389.226</v>
      </c>
      <c r="F2744" s="36">
        <v>0.132000000000005</v>
      </c>
      <c r="G2744" s="34">
        <v>0.132000000000005</v>
      </c>
      <c r="H2744" s="35">
        <v>1.4</v>
      </c>
      <c r="I2744" s="37">
        <f t="shared" si="42"/>
        <v>1.9335280672315329E-5</v>
      </c>
      <c r="J2744" s="33"/>
    </row>
    <row r="2745" spans="1:10">
      <c r="A2745" s="33" t="s">
        <v>94</v>
      </c>
      <c r="B2745" s="34">
        <v>404.54700000000003</v>
      </c>
      <c r="C2745" s="35">
        <v>13411.5</v>
      </c>
      <c r="D2745" s="33" t="s">
        <v>84</v>
      </c>
      <c r="E2745" s="34">
        <v>404.30099999999999</v>
      </c>
      <c r="F2745" s="36">
        <v>0.246</v>
      </c>
      <c r="G2745" s="34">
        <v>0.246</v>
      </c>
      <c r="H2745" s="35">
        <v>349.4</v>
      </c>
      <c r="I2745" s="37">
        <f t="shared" si="42"/>
        <v>2.6052268575476267E-2</v>
      </c>
      <c r="J2745" s="33" t="s">
        <v>116</v>
      </c>
    </row>
    <row r="2746" spans="1:10">
      <c r="A2746" s="33" t="s">
        <v>94</v>
      </c>
      <c r="B2746" s="34">
        <v>404.54700000000003</v>
      </c>
      <c r="C2746" s="35">
        <v>13411.5</v>
      </c>
      <c r="D2746" s="33" t="s">
        <v>27</v>
      </c>
      <c r="E2746" s="34">
        <v>404.30700000000002</v>
      </c>
      <c r="F2746" s="36">
        <v>0.24000000000000901</v>
      </c>
      <c r="G2746" s="34">
        <v>0.24000000000000901</v>
      </c>
      <c r="H2746" s="35">
        <v>250.5</v>
      </c>
      <c r="I2746" s="37">
        <f t="shared" si="42"/>
        <v>1.8678000223688627E-2</v>
      </c>
      <c r="J2746" s="33" t="s">
        <v>116</v>
      </c>
    </row>
    <row r="2747" spans="1:10">
      <c r="A2747" s="33" t="s">
        <v>94</v>
      </c>
      <c r="B2747" s="34">
        <v>404.54700000000003</v>
      </c>
      <c r="C2747" s="35">
        <v>13411.5</v>
      </c>
      <c r="D2747" s="33" t="s">
        <v>271</v>
      </c>
      <c r="E2747" s="34">
        <v>404.31299999999999</v>
      </c>
      <c r="F2747" s="36">
        <v>0.23400000000003701</v>
      </c>
      <c r="G2747" s="34">
        <v>0.23400000000003701</v>
      </c>
      <c r="H2747" s="35">
        <v>154.4</v>
      </c>
      <c r="I2747" s="37">
        <f t="shared" si="42"/>
        <v>1.1512507922305484E-2</v>
      </c>
      <c r="J2747" s="33"/>
    </row>
    <row r="2748" spans="1:10">
      <c r="A2748" s="33" t="s">
        <v>94</v>
      </c>
      <c r="B2748" s="34">
        <v>404.54700000000003</v>
      </c>
      <c r="C2748" s="35">
        <v>13411.5</v>
      </c>
      <c r="D2748" s="33" t="s">
        <v>27</v>
      </c>
      <c r="E2748" s="34">
        <v>404.36</v>
      </c>
      <c r="F2748" s="36">
        <v>0.18700000000001199</v>
      </c>
      <c r="G2748" s="34">
        <v>0.18700000000001199</v>
      </c>
      <c r="H2748" s="35">
        <v>653.70000000000005</v>
      </c>
      <c r="I2748" s="37">
        <f t="shared" si="42"/>
        <v>4.874175148193715E-2</v>
      </c>
      <c r="J2748" s="33" t="s">
        <v>116</v>
      </c>
    </row>
    <row r="2749" spans="1:10">
      <c r="A2749" s="33" t="s">
        <v>94</v>
      </c>
      <c r="B2749" s="34">
        <v>404.54700000000003</v>
      </c>
      <c r="C2749" s="35">
        <v>13411.5</v>
      </c>
      <c r="D2749" s="33" t="s">
        <v>236</v>
      </c>
      <c r="E2749" s="34">
        <v>404.36</v>
      </c>
      <c r="F2749" s="36">
        <v>0.18700000000001199</v>
      </c>
      <c r="G2749" s="34">
        <v>0.18700000000001199</v>
      </c>
      <c r="H2749" s="35">
        <v>83.5</v>
      </c>
      <c r="I2749" s="37">
        <f t="shared" si="42"/>
        <v>6.2260000745628747E-3</v>
      </c>
      <c r="J2749" s="33"/>
    </row>
    <row r="2750" spans="1:10">
      <c r="A2750" s="33" t="s">
        <v>94</v>
      </c>
      <c r="B2750" s="34">
        <v>404.54700000000003</v>
      </c>
      <c r="C2750" s="35">
        <v>13411.5</v>
      </c>
      <c r="D2750" s="33" t="s">
        <v>184</v>
      </c>
      <c r="E2750" s="34">
        <v>404.38099999999997</v>
      </c>
      <c r="F2750" s="36">
        <v>0.16600000000005399</v>
      </c>
      <c r="G2750" s="34">
        <v>0.16600000000005399</v>
      </c>
      <c r="H2750" s="35">
        <v>36.5</v>
      </c>
      <c r="I2750" s="37">
        <f t="shared" si="42"/>
        <v>2.7215449427729931E-3</v>
      </c>
      <c r="J2750" s="33"/>
    </row>
    <row r="2751" spans="1:10">
      <c r="A2751" s="33" t="s">
        <v>94</v>
      </c>
      <c r="B2751" s="34">
        <v>404.54700000000003</v>
      </c>
      <c r="C2751" s="35">
        <v>13411.5</v>
      </c>
      <c r="D2751" s="33" t="s">
        <v>97</v>
      </c>
      <c r="E2751" s="34">
        <v>404.39800000000002</v>
      </c>
      <c r="F2751" s="36">
        <v>0.14900000000000099</v>
      </c>
      <c r="G2751" s="34">
        <v>0.14900000000000099</v>
      </c>
      <c r="H2751" s="35">
        <v>2.6</v>
      </c>
      <c r="I2751" s="37">
        <f t="shared" si="42"/>
        <v>1.938634753756105E-4</v>
      </c>
      <c r="J2751" s="33"/>
    </row>
    <row r="2752" spans="1:10">
      <c r="A2752" s="33" t="s">
        <v>94</v>
      </c>
      <c r="B2752" s="34">
        <v>404.54700000000003</v>
      </c>
      <c r="C2752" s="35">
        <v>13411.5</v>
      </c>
      <c r="D2752" s="33" t="s">
        <v>270</v>
      </c>
      <c r="E2752" s="34">
        <v>404.40600000000001</v>
      </c>
      <c r="F2752" s="36">
        <v>0.14100000000002</v>
      </c>
      <c r="G2752" s="34">
        <v>0.14100000000002</v>
      </c>
      <c r="H2752" s="35">
        <v>334.1</v>
      </c>
      <c r="I2752" s="37">
        <f t="shared" si="42"/>
        <v>2.4911456585765948E-2</v>
      </c>
      <c r="J2752" s="33"/>
    </row>
    <row r="2753" spans="1:10">
      <c r="A2753" s="33" t="s">
        <v>94</v>
      </c>
      <c r="B2753" s="34">
        <v>404.54700000000003</v>
      </c>
      <c r="C2753" s="35">
        <v>13411.5</v>
      </c>
      <c r="D2753" s="33" t="s">
        <v>309</v>
      </c>
      <c r="E2753" s="34">
        <v>404.41399999999999</v>
      </c>
      <c r="F2753" s="36">
        <v>0.133000000000038</v>
      </c>
      <c r="G2753" s="34">
        <v>0.133000000000038</v>
      </c>
      <c r="H2753" s="35">
        <v>27.6</v>
      </c>
      <c r="I2753" s="37">
        <f t="shared" si="42"/>
        <v>2.05793535398725E-3</v>
      </c>
      <c r="J2753" s="33"/>
    </row>
    <row r="2754" spans="1:10">
      <c r="A2754" s="33" t="s">
        <v>94</v>
      </c>
      <c r="B2754" s="34">
        <v>404.54700000000003</v>
      </c>
      <c r="C2754" s="35">
        <v>13411.5</v>
      </c>
      <c r="D2754" s="33" t="s">
        <v>27</v>
      </c>
      <c r="E2754" s="34">
        <v>404.435</v>
      </c>
      <c r="F2754" s="36">
        <v>0.112000000000023</v>
      </c>
      <c r="G2754" s="34">
        <v>0.112000000000023</v>
      </c>
      <c r="H2754" s="35">
        <v>149.5</v>
      </c>
      <c r="I2754" s="37">
        <f t="shared" ref="I2754:I2817" si="43">H2754/C2754</f>
        <v>1.1147149834097602E-2</v>
      </c>
      <c r="J2754" s="33" t="s">
        <v>116</v>
      </c>
    </row>
    <row r="2755" spans="1:10">
      <c r="A2755" s="33" t="s">
        <v>94</v>
      </c>
      <c r="B2755" s="34">
        <v>404.54700000000003</v>
      </c>
      <c r="C2755" s="35">
        <v>13411.5</v>
      </c>
      <c r="D2755" s="33" t="s">
        <v>269</v>
      </c>
      <c r="E2755" s="34">
        <v>404.43700000000001</v>
      </c>
      <c r="F2755" s="36">
        <v>0.110000000000014</v>
      </c>
      <c r="G2755" s="34">
        <v>0.110000000000014</v>
      </c>
      <c r="H2755" s="35">
        <v>6.3</v>
      </c>
      <c r="I2755" s="37">
        <f t="shared" si="43"/>
        <v>4.6974611341013306E-4</v>
      </c>
      <c r="J2755" s="33"/>
    </row>
    <row r="2756" spans="1:10">
      <c r="A2756" s="33" t="s">
        <v>94</v>
      </c>
      <c r="B2756" s="34">
        <v>404.54700000000003</v>
      </c>
      <c r="C2756" s="35">
        <v>13411.5</v>
      </c>
      <c r="D2756" s="33" t="s">
        <v>277</v>
      </c>
      <c r="E2756" s="34">
        <v>404.44099999999997</v>
      </c>
      <c r="F2756" s="36">
        <v>0.106000000000051</v>
      </c>
      <c r="G2756" s="34">
        <v>0.106000000000051</v>
      </c>
      <c r="H2756" s="35">
        <v>237.6</v>
      </c>
      <c r="I2756" s="37">
        <f t="shared" si="43"/>
        <v>1.7716139134325019E-2</v>
      </c>
      <c r="J2756" s="33"/>
    </row>
    <row r="2757" spans="1:10">
      <c r="A2757" s="33" t="s">
        <v>94</v>
      </c>
      <c r="B2757" s="34">
        <v>404.54700000000003</v>
      </c>
      <c r="C2757" s="35">
        <v>13411.5</v>
      </c>
      <c r="D2757" s="33" t="s">
        <v>287</v>
      </c>
      <c r="E2757" s="34">
        <v>404.44200000000001</v>
      </c>
      <c r="F2757" s="36">
        <v>0.105000000000018</v>
      </c>
      <c r="G2757" s="34">
        <v>0.105000000000018</v>
      </c>
      <c r="H2757" s="35">
        <v>33898</v>
      </c>
      <c r="I2757" s="37">
        <f t="shared" si="43"/>
        <v>2.5275323416470941</v>
      </c>
      <c r="J2757" s="33"/>
    </row>
    <row r="2758" spans="1:10">
      <c r="A2758" s="33" t="s">
        <v>94</v>
      </c>
      <c r="B2758" s="34">
        <v>404.54700000000003</v>
      </c>
      <c r="C2758" s="35">
        <v>13411.5</v>
      </c>
      <c r="D2758" s="33" t="s">
        <v>236</v>
      </c>
      <c r="E2758" s="34">
        <v>404.45699999999999</v>
      </c>
      <c r="F2758" s="36">
        <v>9.0000000000031805E-2</v>
      </c>
      <c r="G2758" s="34">
        <v>9.0000000000031805E-2</v>
      </c>
      <c r="H2758" s="35">
        <v>70.3</v>
      </c>
      <c r="I2758" s="37">
        <f t="shared" si="43"/>
        <v>5.2417701226559294E-3</v>
      </c>
      <c r="J2758" s="33"/>
    </row>
    <row r="2759" spans="1:10">
      <c r="A2759" s="33" t="s">
        <v>94</v>
      </c>
      <c r="B2759" s="34">
        <v>404.54700000000003</v>
      </c>
      <c r="C2759" s="35">
        <v>13411.5</v>
      </c>
      <c r="D2759" s="33" t="s">
        <v>173</v>
      </c>
      <c r="E2759" s="34">
        <v>404.48099999999999</v>
      </c>
      <c r="F2759" s="36">
        <v>6.6000000000030895E-2</v>
      </c>
      <c r="G2759" s="34">
        <v>6.6000000000030895E-2</v>
      </c>
      <c r="H2759" s="35">
        <v>2768.7</v>
      </c>
      <c r="I2759" s="37">
        <f t="shared" si="43"/>
        <v>0.2064422324124818</v>
      </c>
      <c r="J2759" s="33"/>
    </row>
    <row r="2760" spans="1:10">
      <c r="A2760" s="33" t="s">
        <v>94</v>
      </c>
      <c r="B2760" s="34">
        <v>404.54700000000003</v>
      </c>
      <c r="C2760" s="35">
        <v>13411.5</v>
      </c>
      <c r="D2760" s="33" t="s">
        <v>36</v>
      </c>
      <c r="E2760" s="34">
        <v>404.50099999999998</v>
      </c>
      <c r="F2760" s="36">
        <v>4.5999999999999999E-2</v>
      </c>
      <c r="G2760" s="34">
        <v>4.5999999999999999E-2</v>
      </c>
      <c r="H2760" s="35">
        <v>422.9</v>
      </c>
      <c r="I2760" s="37">
        <f t="shared" si="43"/>
        <v>3.1532639898594485E-2</v>
      </c>
      <c r="J2760" s="33" t="s">
        <v>116</v>
      </c>
    </row>
    <row r="2761" spans="1:10">
      <c r="A2761" s="33" t="s">
        <v>94</v>
      </c>
      <c r="B2761" s="34">
        <v>404.54700000000003</v>
      </c>
      <c r="C2761" s="35">
        <v>13411.5</v>
      </c>
      <c r="D2761" s="33" t="s">
        <v>270</v>
      </c>
      <c r="E2761" s="34">
        <v>404.505</v>
      </c>
      <c r="F2761" s="36">
        <v>4.2000000000029999E-2</v>
      </c>
      <c r="G2761" s="34">
        <v>4.2000000000029999E-2</v>
      </c>
      <c r="H2761" s="35">
        <v>1251.0999999999999</v>
      </c>
      <c r="I2761" s="37">
        <f t="shared" si="43"/>
        <v>9.3285613093240863E-2</v>
      </c>
      <c r="J2761" s="33"/>
    </row>
    <row r="2762" spans="1:10">
      <c r="A2762" s="33" t="s">
        <v>94</v>
      </c>
      <c r="B2762" s="34">
        <v>404.54700000000003</v>
      </c>
      <c r="C2762" s="35">
        <v>13411.5</v>
      </c>
      <c r="D2762" s="33" t="s">
        <v>240</v>
      </c>
      <c r="E2762" s="34">
        <v>404.51100000000002</v>
      </c>
      <c r="F2762" s="36">
        <v>3.6000000000001399E-2</v>
      </c>
      <c r="G2762" s="34">
        <v>3.6000000000001399E-2</v>
      </c>
      <c r="H2762" s="35">
        <v>34.6</v>
      </c>
      <c r="I2762" s="37">
        <f t="shared" si="43"/>
        <v>2.579875479998509E-3</v>
      </c>
      <c r="J2762" s="33"/>
    </row>
    <row r="2763" spans="1:10">
      <c r="A2763" s="33" t="s">
        <v>94</v>
      </c>
      <c r="B2763" s="34">
        <v>404.54700000000003</v>
      </c>
      <c r="C2763" s="35">
        <v>13411.5</v>
      </c>
      <c r="D2763" s="33" t="s">
        <v>25</v>
      </c>
      <c r="E2763" s="34">
        <v>404.53500000000003</v>
      </c>
      <c r="F2763" s="36">
        <v>1.20000000000005E-2</v>
      </c>
      <c r="G2763" s="34">
        <v>1.20000000000005E-2</v>
      </c>
      <c r="H2763" s="35">
        <v>682.8</v>
      </c>
      <c r="I2763" s="37">
        <f t="shared" si="43"/>
        <v>5.0911531148641088E-2</v>
      </c>
      <c r="J2763" s="33" t="s">
        <v>116</v>
      </c>
    </row>
    <row r="2764" spans="1:10">
      <c r="A2764" s="33" t="s">
        <v>94</v>
      </c>
      <c r="B2764" s="34">
        <v>404.54700000000003</v>
      </c>
      <c r="C2764" s="35">
        <v>13411.5</v>
      </c>
      <c r="D2764" s="33" t="s">
        <v>54</v>
      </c>
      <c r="E2764" s="34">
        <v>404.53800000000001</v>
      </c>
      <c r="F2764" s="36">
        <v>9.0000000000145502E-3</v>
      </c>
      <c r="G2764" s="34">
        <v>9.0000000000145502E-3</v>
      </c>
      <c r="H2764" s="35">
        <v>30.3</v>
      </c>
      <c r="I2764" s="37">
        <f t="shared" si="43"/>
        <v>2.2592551168773068E-3</v>
      </c>
      <c r="J2764" s="33"/>
    </row>
    <row r="2765" spans="1:10">
      <c r="A2765" s="33" t="s">
        <v>94</v>
      </c>
      <c r="B2765" s="34">
        <v>404.54700000000003</v>
      </c>
      <c r="C2765" s="35">
        <v>13411.5</v>
      </c>
      <c r="D2765" s="33" t="s">
        <v>97</v>
      </c>
      <c r="E2765" s="34">
        <v>404.55900000000003</v>
      </c>
      <c r="F2765" s="36">
        <v>1.20000000000005E-2</v>
      </c>
      <c r="G2765" s="34">
        <v>1.20000000000005E-2</v>
      </c>
      <c r="H2765" s="35">
        <v>25</v>
      </c>
      <c r="I2765" s="37">
        <f t="shared" si="43"/>
        <v>1.8640718786116393E-3</v>
      </c>
      <c r="J2765" s="33"/>
    </row>
    <row r="2766" spans="1:10">
      <c r="A2766" s="33" t="s">
        <v>94</v>
      </c>
      <c r="B2766" s="34">
        <v>404.54700000000003</v>
      </c>
      <c r="C2766" s="35">
        <v>13411.5</v>
      </c>
      <c r="D2766" s="33" t="s">
        <v>274</v>
      </c>
      <c r="E2766" s="34">
        <v>404.56</v>
      </c>
      <c r="F2766" s="36">
        <v>1.2999999999976799E-2</v>
      </c>
      <c r="G2766" s="34">
        <v>1.2999999999976799E-2</v>
      </c>
      <c r="H2766" s="35">
        <v>64.2</v>
      </c>
      <c r="I2766" s="37">
        <f t="shared" si="43"/>
        <v>4.7869365842746897E-3</v>
      </c>
      <c r="J2766" s="33"/>
    </row>
    <row r="2767" spans="1:10">
      <c r="A2767" s="33" t="s">
        <v>94</v>
      </c>
      <c r="B2767" s="34">
        <v>404.54700000000003</v>
      </c>
      <c r="C2767" s="35">
        <v>13411.5</v>
      </c>
      <c r="D2767" s="33" t="s">
        <v>271</v>
      </c>
      <c r="E2767" s="34">
        <v>404.56299999999999</v>
      </c>
      <c r="F2767" s="36">
        <v>1.59999999999627E-2</v>
      </c>
      <c r="G2767" s="34">
        <v>1.59999999999627E-2</v>
      </c>
      <c r="H2767" s="35">
        <v>92.3</v>
      </c>
      <c r="I2767" s="37">
        <f t="shared" si="43"/>
        <v>6.8821533758341722E-3</v>
      </c>
      <c r="J2767" s="33"/>
    </row>
    <row r="2768" spans="1:10">
      <c r="A2768" s="33" t="s">
        <v>94</v>
      </c>
      <c r="B2768" s="34">
        <v>404.54700000000003</v>
      </c>
      <c r="C2768" s="35">
        <v>13411.5</v>
      </c>
      <c r="D2768" s="33" t="s">
        <v>236</v>
      </c>
      <c r="E2768" s="34">
        <v>404.56400000000002</v>
      </c>
      <c r="F2768" s="36">
        <v>1.69999999999959E-2</v>
      </c>
      <c r="G2768" s="34">
        <v>1.69999999999959E-2</v>
      </c>
      <c r="H2768" s="35">
        <v>1880.1</v>
      </c>
      <c r="I2768" s="37">
        <f t="shared" si="43"/>
        <v>0.14018566155910972</v>
      </c>
      <c r="J2768" s="33"/>
    </row>
    <row r="2769" spans="1:10">
      <c r="A2769" s="33" t="s">
        <v>94</v>
      </c>
      <c r="B2769" s="34">
        <v>404.54700000000003</v>
      </c>
      <c r="C2769" s="35">
        <v>13411.5</v>
      </c>
      <c r="D2769" s="33" t="s">
        <v>173</v>
      </c>
      <c r="E2769" s="34">
        <v>404.57</v>
      </c>
      <c r="F2769" s="36">
        <v>2.2999999999967699E-2</v>
      </c>
      <c r="G2769" s="34">
        <v>2.2999999999967699E-2</v>
      </c>
      <c r="H2769" s="35">
        <v>311.10000000000002</v>
      </c>
      <c r="I2769" s="37">
        <f t="shared" si="43"/>
        <v>2.319651045744324E-2</v>
      </c>
      <c r="J2769" s="33"/>
    </row>
    <row r="2770" spans="1:10">
      <c r="A2770" s="33" t="s">
        <v>94</v>
      </c>
      <c r="B2770" s="34">
        <v>404.54700000000003</v>
      </c>
      <c r="C2770" s="35">
        <v>13411.5</v>
      </c>
      <c r="D2770" s="33" t="s">
        <v>268</v>
      </c>
      <c r="E2770" s="34">
        <v>404.577</v>
      </c>
      <c r="F2770" s="36">
        <v>2.9999999999972701E-2</v>
      </c>
      <c r="G2770" s="34">
        <v>2.9999999999972701E-2</v>
      </c>
      <c r="H2770" s="35">
        <v>10.4</v>
      </c>
      <c r="I2770" s="37">
        <f t="shared" si="43"/>
        <v>7.7545390150244198E-4</v>
      </c>
      <c r="J2770" s="33"/>
    </row>
    <row r="2771" spans="1:10">
      <c r="A2771" s="33" t="s">
        <v>94</v>
      </c>
      <c r="B2771" s="34">
        <v>404.54700000000003</v>
      </c>
      <c r="C2771" s="35">
        <v>13411.5</v>
      </c>
      <c r="D2771" s="33" t="s">
        <v>97</v>
      </c>
      <c r="E2771" s="34">
        <v>404.58100000000002</v>
      </c>
      <c r="F2771" s="36">
        <v>3.3999999999991801E-2</v>
      </c>
      <c r="G2771" s="34">
        <v>3.3999999999991801E-2</v>
      </c>
      <c r="H2771" s="35">
        <v>764.5</v>
      </c>
      <c r="I2771" s="37">
        <f t="shared" si="43"/>
        <v>5.7003318047943931E-2</v>
      </c>
      <c r="J2771" s="33"/>
    </row>
    <row r="2772" spans="1:10">
      <c r="A2772" s="33" t="s">
        <v>94</v>
      </c>
      <c r="B2772" s="34">
        <v>404.54700000000003</v>
      </c>
      <c r="C2772" s="35">
        <v>13411.5</v>
      </c>
      <c r="D2772" s="33" t="s">
        <v>287</v>
      </c>
      <c r="E2772" s="34">
        <v>404.59699999999998</v>
      </c>
      <c r="F2772" s="36">
        <v>4.9999999999954498E-2</v>
      </c>
      <c r="G2772" s="34">
        <v>4.9999999999954498E-2</v>
      </c>
      <c r="H2772" s="35">
        <v>3025</v>
      </c>
      <c r="I2772" s="37">
        <f t="shared" si="43"/>
        <v>0.22555269731200836</v>
      </c>
      <c r="J2772" s="33"/>
    </row>
    <row r="2773" spans="1:10">
      <c r="A2773" s="33" t="s">
        <v>94</v>
      </c>
      <c r="B2773" s="34">
        <v>404.54700000000003</v>
      </c>
      <c r="C2773" s="35">
        <v>13411.5</v>
      </c>
      <c r="D2773" s="33" t="s">
        <v>33</v>
      </c>
      <c r="E2773" s="34">
        <v>404.59699999999998</v>
      </c>
      <c r="F2773" s="36">
        <v>4.9999999999954498E-2</v>
      </c>
      <c r="G2773" s="34">
        <v>4.9999999999954498E-2</v>
      </c>
      <c r="H2773" s="35">
        <v>765.6</v>
      </c>
      <c r="I2773" s="37">
        <f t="shared" si="43"/>
        <v>5.7085337210602841E-2</v>
      </c>
      <c r="J2773" s="33" t="s">
        <v>116</v>
      </c>
    </row>
    <row r="2774" spans="1:10">
      <c r="A2774" s="33" t="s">
        <v>94</v>
      </c>
      <c r="B2774" s="34">
        <v>404.54700000000003</v>
      </c>
      <c r="C2774" s="35">
        <v>13411.5</v>
      </c>
      <c r="D2774" s="33" t="s">
        <v>270</v>
      </c>
      <c r="E2774" s="34">
        <v>404.61599999999999</v>
      </c>
      <c r="F2774" s="36">
        <v>6.8999999999959996E-2</v>
      </c>
      <c r="G2774" s="34">
        <v>6.8999999999959996E-2</v>
      </c>
      <c r="H2774" s="35">
        <v>793.4</v>
      </c>
      <c r="I2774" s="37">
        <f t="shared" si="43"/>
        <v>5.9158185139618985E-2</v>
      </c>
      <c r="J2774" s="33"/>
    </row>
    <row r="2775" spans="1:10">
      <c r="A2775" s="33" t="s">
        <v>94</v>
      </c>
      <c r="B2775" s="34">
        <v>404.54700000000003</v>
      </c>
      <c r="C2775" s="35">
        <v>13411.5</v>
      </c>
      <c r="D2775" s="33" t="s">
        <v>278</v>
      </c>
      <c r="E2775" s="34">
        <v>404.62700000000001</v>
      </c>
      <c r="F2775" s="36">
        <v>7.9999999999984098E-2</v>
      </c>
      <c r="G2775" s="34">
        <v>7.9999999999984098E-2</v>
      </c>
      <c r="H2775" s="35">
        <v>42</v>
      </c>
      <c r="I2775" s="37">
        <f t="shared" si="43"/>
        <v>3.1316407560675538E-3</v>
      </c>
      <c r="J2775" s="33"/>
    </row>
    <row r="2776" spans="1:10">
      <c r="A2776" s="33" t="s">
        <v>94</v>
      </c>
      <c r="B2776" s="34">
        <v>404.54700000000003</v>
      </c>
      <c r="C2776" s="35">
        <v>13411.5</v>
      </c>
      <c r="D2776" s="33" t="s">
        <v>25</v>
      </c>
      <c r="E2776" s="34">
        <v>404.63400000000001</v>
      </c>
      <c r="F2776" s="36">
        <v>8.69999999999891E-2</v>
      </c>
      <c r="G2776" s="34">
        <v>8.69999999999891E-2</v>
      </c>
      <c r="H2776" s="35">
        <v>1755.5</v>
      </c>
      <c r="I2776" s="37">
        <f t="shared" si="43"/>
        <v>0.13089512731610931</v>
      </c>
      <c r="J2776" s="33" t="s">
        <v>116</v>
      </c>
    </row>
    <row r="2777" spans="1:10">
      <c r="A2777" s="33" t="s">
        <v>94</v>
      </c>
      <c r="B2777" s="34">
        <v>404.54700000000003</v>
      </c>
      <c r="C2777" s="35">
        <v>13411.5</v>
      </c>
      <c r="D2777" s="33" t="s">
        <v>302</v>
      </c>
      <c r="E2777" s="34">
        <v>404.63600000000002</v>
      </c>
      <c r="F2777" s="36">
        <v>8.8999999999998594E-2</v>
      </c>
      <c r="G2777" s="34">
        <v>8.8999999999998594E-2</v>
      </c>
      <c r="H2777" s="35">
        <v>277</v>
      </c>
      <c r="I2777" s="37">
        <f t="shared" si="43"/>
        <v>2.0653916415016963E-2</v>
      </c>
      <c r="J2777" s="33"/>
    </row>
    <row r="2778" spans="1:10">
      <c r="A2778" s="33" t="s">
        <v>94</v>
      </c>
      <c r="B2778" s="34">
        <v>404.54700000000003</v>
      </c>
      <c r="C2778" s="35">
        <v>13411.5</v>
      </c>
      <c r="D2778" s="33" t="s">
        <v>184</v>
      </c>
      <c r="E2778" s="34">
        <v>404.64800000000002</v>
      </c>
      <c r="F2778" s="36">
        <v>0.10099999999999899</v>
      </c>
      <c r="G2778" s="34">
        <v>0.10099999999999899</v>
      </c>
      <c r="H2778" s="35">
        <v>40.1</v>
      </c>
      <c r="I2778" s="37">
        <f t="shared" si="43"/>
        <v>2.9899712932930696E-3</v>
      </c>
      <c r="J2778" s="33"/>
    </row>
    <row r="2779" spans="1:10">
      <c r="A2779" s="33" t="s">
        <v>94</v>
      </c>
      <c r="B2779" s="34">
        <v>404.54700000000003</v>
      </c>
      <c r="C2779" s="35">
        <v>13411.5</v>
      </c>
      <c r="D2779" s="33" t="s">
        <v>296</v>
      </c>
      <c r="E2779" s="34">
        <v>404.65600000000001</v>
      </c>
      <c r="F2779" s="36">
        <v>0.10899999999998</v>
      </c>
      <c r="G2779" s="34">
        <v>0.10899999999998</v>
      </c>
      <c r="H2779" s="35">
        <v>28.6</v>
      </c>
      <c r="I2779" s="37">
        <f t="shared" si="43"/>
        <v>2.1324982291317154E-3</v>
      </c>
      <c r="J2779" s="33"/>
    </row>
    <row r="2780" spans="1:10">
      <c r="A2780" s="33" t="s">
        <v>94</v>
      </c>
      <c r="B2780" s="34">
        <v>404.54700000000003</v>
      </c>
      <c r="C2780" s="35">
        <v>13411.5</v>
      </c>
      <c r="D2780" s="33" t="s">
        <v>173</v>
      </c>
      <c r="E2780" s="34">
        <v>404.66300000000001</v>
      </c>
      <c r="F2780" s="36">
        <v>0.115999999999985</v>
      </c>
      <c r="G2780" s="34">
        <v>0.115999999999985</v>
      </c>
      <c r="H2780" s="35">
        <v>582.79999999999995</v>
      </c>
      <c r="I2780" s="37">
        <f t="shared" si="43"/>
        <v>4.3455243634194528E-2</v>
      </c>
      <c r="J2780" s="33"/>
    </row>
    <row r="2781" spans="1:10">
      <c r="A2781" s="33" t="s">
        <v>94</v>
      </c>
      <c r="B2781" s="34">
        <v>404.54700000000003</v>
      </c>
      <c r="C2781" s="35">
        <v>13411.5</v>
      </c>
      <c r="D2781" s="33" t="s">
        <v>274</v>
      </c>
      <c r="E2781" s="34">
        <v>404.67</v>
      </c>
      <c r="F2781" s="36">
        <v>0.12299999999999101</v>
      </c>
      <c r="G2781" s="34">
        <v>0.12299999999999101</v>
      </c>
      <c r="H2781" s="35">
        <v>6.4</v>
      </c>
      <c r="I2781" s="37">
        <f t="shared" si="43"/>
        <v>4.772024009245797E-4</v>
      </c>
      <c r="J2781" s="33"/>
    </row>
    <row r="2782" spans="1:10">
      <c r="A2782" s="33" t="s">
        <v>94</v>
      </c>
      <c r="B2782" s="34">
        <v>404.54700000000003</v>
      </c>
      <c r="C2782" s="35">
        <v>13411.5</v>
      </c>
      <c r="D2782" s="33" t="s">
        <v>240</v>
      </c>
      <c r="E2782" s="34">
        <v>404.69900000000001</v>
      </c>
      <c r="F2782" s="36">
        <v>0.15199999999998701</v>
      </c>
      <c r="G2782" s="34">
        <v>0.15199999999998701</v>
      </c>
      <c r="H2782" s="35">
        <v>0.9</v>
      </c>
      <c r="I2782" s="37">
        <f t="shared" si="43"/>
        <v>6.7106587630019017E-5</v>
      </c>
      <c r="J2782" s="33"/>
    </row>
    <row r="2783" spans="1:10">
      <c r="A2783" s="33" t="s">
        <v>94</v>
      </c>
      <c r="B2783" s="34">
        <v>404.54700000000003</v>
      </c>
      <c r="C2783" s="35">
        <v>13411.5</v>
      </c>
      <c r="D2783" s="33" t="s">
        <v>277</v>
      </c>
      <c r="E2783" s="34">
        <v>404.70499999999998</v>
      </c>
      <c r="F2783" s="36">
        <v>0.15799999999995901</v>
      </c>
      <c r="G2783" s="34">
        <v>0.15799999999995901</v>
      </c>
      <c r="H2783" s="35">
        <v>72.3</v>
      </c>
      <c r="I2783" s="37">
        <f t="shared" si="43"/>
        <v>5.3908958729448602E-3</v>
      </c>
      <c r="J2783" s="33"/>
    </row>
    <row r="2784" spans="1:10">
      <c r="A2784" s="33" t="s">
        <v>94</v>
      </c>
      <c r="B2784" s="34">
        <v>404.54700000000003</v>
      </c>
      <c r="C2784" s="35">
        <v>13411.5</v>
      </c>
      <c r="D2784" s="33" t="s">
        <v>173</v>
      </c>
      <c r="E2784" s="34">
        <v>404.70800000000003</v>
      </c>
      <c r="F2784" s="36">
        <v>0.161000000000001</v>
      </c>
      <c r="G2784" s="34">
        <v>0.161000000000001</v>
      </c>
      <c r="H2784" s="35">
        <v>866.9</v>
      </c>
      <c r="I2784" s="37">
        <f t="shared" si="43"/>
        <v>6.4638556462737196E-2</v>
      </c>
      <c r="J2784" s="33"/>
    </row>
    <row r="2785" spans="1:10">
      <c r="A2785" s="33" t="s">
        <v>133</v>
      </c>
      <c r="B2785" s="34">
        <v>333.74900000000002</v>
      </c>
      <c r="C2785" s="35">
        <v>86890.7</v>
      </c>
      <c r="D2785" s="33" t="s">
        <v>116</v>
      </c>
      <c r="E2785" s="34">
        <v>333.62</v>
      </c>
      <c r="F2785" s="36">
        <v>0.129</v>
      </c>
      <c r="G2785" s="34">
        <v>0.129</v>
      </c>
      <c r="H2785" s="35">
        <v>183.1</v>
      </c>
      <c r="I2785" s="37">
        <f t="shared" si="43"/>
        <v>2.1072450791626723E-3</v>
      </c>
      <c r="J2785" s="33" t="s">
        <v>116</v>
      </c>
    </row>
    <row r="2786" spans="1:10">
      <c r="A2786" s="33" t="s">
        <v>133</v>
      </c>
      <c r="B2786" s="34">
        <v>333.74900000000002</v>
      </c>
      <c r="C2786" s="35">
        <v>86890.7</v>
      </c>
      <c r="D2786" s="33" t="s">
        <v>239</v>
      </c>
      <c r="E2786" s="34">
        <v>333.63200000000001</v>
      </c>
      <c r="F2786" s="36">
        <v>0.11700000000001901</v>
      </c>
      <c r="G2786" s="34">
        <v>0.11700000000001901</v>
      </c>
      <c r="H2786" s="35">
        <v>899.6</v>
      </c>
      <c r="I2786" s="37">
        <f t="shared" si="43"/>
        <v>1.0353236882658328E-2</v>
      </c>
      <c r="J2786" s="33"/>
    </row>
    <row r="2787" spans="1:10">
      <c r="A2787" s="33" t="s">
        <v>133</v>
      </c>
      <c r="B2787" s="34">
        <v>333.74900000000002</v>
      </c>
      <c r="C2787" s="35">
        <v>86890.7</v>
      </c>
      <c r="D2787" s="33" t="s">
        <v>25</v>
      </c>
      <c r="E2787" s="34">
        <v>333.637</v>
      </c>
      <c r="F2787" s="36">
        <v>0.112000000000023</v>
      </c>
      <c r="G2787" s="34">
        <v>0.112000000000023</v>
      </c>
      <c r="H2787" s="35">
        <v>196.3</v>
      </c>
      <c r="I2787" s="37">
        <f t="shared" si="43"/>
        <v>2.2591600712159069E-3</v>
      </c>
      <c r="J2787" s="33" t="s">
        <v>116</v>
      </c>
    </row>
    <row r="2788" spans="1:10">
      <c r="A2788" s="33" t="s">
        <v>133</v>
      </c>
      <c r="B2788" s="34">
        <v>333.74900000000002</v>
      </c>
      <c r="C2788" s="35">
        <v>86890.7</v>
      </c>
      <c r="D2788" s="33" t="s">
        <v>240</v>
      </c>
      <c r="E2788" s="34">
        <v>333.63900000000001</v>
      </c>
      <c r="F2788" s="36">
        <v>0.110000000000014</v>
      </c>
      <c r="G2788" s="34">
        <v>0.110000000000014</v>
      </c>
      <c r="H2788" s="35">
        <v>37.9</v>
      </c>
      <c r="I2788" s="37">
        <f t="shared" si="43"/>
        <v>4.3618016657709054E-4</v>
      </c>
      <c r="J2788" s="33"/>
    </row>
    <row r="2789" spans="1:10">
      <c r="A2789" s="33" t="s">
        <v>133</v>
      </c>
      <c r="B2789" s="34">
        <v>333.74900000000002</v>
      </c>
      <c r="C2789" s="35">
        <v>86890.7</v>
      </c>
      <c r="D2789" s="33" t="s">
        <v>25</v>
      </c>
      <c r="E2789" s="34">
        <v>333.654</v>
      </c>
      <c r="F2789" s="36">
        <v>9.5000000000027299E-2</v>
      </c>
      <c r="G2789" s="34">
        <v>9.5000000000027299E-2</v>
      </c>
      <c r="H2789" s="35">
        <v>116.7</v>
      </c>
      <c r="I2789" s="37">
        <f t="shared" si="43"/>
        <v>1.343066634288825E-3</v>
      </c>
      <c r="J2789" s="33" t="s">
        <v>116</v>
      </c>
    </row>
    <row r="2790" spans="1:10">
      <c r="A2790" s="33" t="s">
        <v>133</v>
      </c>
      <c r="B2790" s="34">
        <v>333.74900000000002</v>
      </c>
      <c r="C2790" s="35">
        <v>86890.7</v>
      </c>
      <c r="D2790" s="33" t="s">
        <v>275</v>
      </c>
      <c r="E2790" s="34">
        <v>333.65699999999998</v>
      </c>
      <c r="F2790" s="36">
        <v>9.2000000000041396E-2</v>
      </c>
      <c r="G2790" s="34">
        <v>9.2000000000041396E-2</v>
      </c>
      <c r="H2790" s="35">
        <v>19.7</v>
      </c>
      <c r="I2790" s="37">
        <f t="shared" si="43"/>
        <v>2.2672161692793361E-4</v>
      </c>
      <c r="J2790" s="33"/>
    </row>
    <row r="2791" spans="1:10">
      <c r="A2791" s="33" t="s">
        <v>133</v>
      </c>
      <c r="B2791" s="34">
        <v>333.74900000000002</v>
      </c>
      <c r="C2791" s="35">
        <v>86890.7</v>
      </c>
      <c r="D2791" s="33" t="s">
        <v>281</v>
      </c>
      <c r="E2791" s="34">
        <v>333.66699999999997</v>
      </c>
      <c r="F2791" s="36">
        <v>8.2000000000050505E-2</v>
      </c>
      <c r="G2791" s="34">
        <v>8.2000000000050505E-2</v>
      </c>
      <c r="H2791" s="35">
        <v>248.9</v>
      </c>
      <c r="I2791" s="37">
        <f t="shared" si="43"/>
        <v>2.864518297125009E-3</v>
      </c>
      <c r="J2791" s="33"/>
    </row>
    <row r="2792" spans="1:10">
      <c r="A2792" s="33" t="s">
        <v>133</v>
      </c>
      <c r="B2792" s="34">
        <v>333.74900000000002</v>
      </c>
      <c r="C2792" s="35">
        <v>86890.7</v>
      </c>
      <c r="D2792" s="33" t="s">
        <v>277</v>
      </c>
      <c r="E2792" s="34">
        <v>333.66800000000001</v>
      </c>
      <c r="F2792" s="36">
        <v>8.1000000000017294E-2</v>
      </c>
      <c r="G2792" s="34">
        <v>8.1000000000017294E-2</v>
      </c>
      <c r="H2792" s="35">
        <v>203.7</v>
      </c>
      <c r="I2792" s="37">
        <f t="shared" si="43"/>
        <v>2.3443245364578717E-3</v>
      </c>
      <c r="J2792" s="33"/>
    </row>
    <row r="2793" spans="1:10">
      <c r="A2793" s="33" t="s">
        <v>133</v>
      </c>
      <c r="B2793" s="34">
        <v>333.74900000000002</v>
      </c>
      <c r="C2793" s="35">
        <v>86890.7</v>
      </c>
      <c r="D2793" s="33" t="s">
        <v>201</v>
      </c>
      <c r="E2793" s="34">
        <v>333.67</v>
      </c>
      <c r="F2793" s="36">
        <v>7.9000000000007703E-2</v>
      </c>
      <c r="G2793" s="34">
        <v>7.9000000000007703E-2</v>
      </c>
      <c r="H2793" s="35">
        <v>1726.9</v>
      </c>
      <c r="I2793" s="37">
        <f t="shared" si="43"/>
        <v>1.9874393922479621E-2</v>
      </c>
      <c r="J2793" s="33"/>
    </row>
    <row r="2794" spans="1:10">
      <c r="A2794" s="33" t="s">
        <v>133</v>
      </c>
      <c r="B2794" s="34">
        <v>333.74900000000002</v>
      </c>
      <c r="C2794" s="35">
        <v>86890.7</v>
      </c>
      <c r="D2794" s="33" t="s">
        <v>84</v>
      </c>
      <c r="E2794" s="34">
        <v>333.67399999999998</v>
      </c>
      <c r="F2794" s="36">
        <v>7.4999999999999997E-2</v>
      </c>
      <c r="G2794" s="34">
        <v>7.4999999999999997E-2</v>
      </c>
      <c r="H2794" s="35">
        <v>29.2</v>
      </c>
      <c r="I2794" s="37">
        <f t="shared" si="43"/>
        <v>3.3605437636018582E-4</v>
      </c>
      <c r="J2794" s="33" t="s">
        <v>116</v>
      </c>
    </row>
    <row r="2795" spans="1:10">
      <c r="A2795" s="33" t="s">
        <v>133</v>
      </c>
      <c r="B2795" s="34">
        <v>333.74900000000002</v>
      </c>
      <c r="C2795" s="35">
        <v>86890.7</v>
      </c>
      <c r="D2795" s="33" t="s">
        <v>239</v>
      </c>
      <c r="E2795" s="34">
        <v>333.69600000000003</v>
      </c>
      <c r="F2795" s="36">
        <v>5.2999999999997299E-2</v>
      </c>
      <c r="G2795" s="34">
        <v>5.2999999999997299E-2</v>
      </c>
      <c r="H2795" s="35">
        <v>6.7</v>
      </c>
      <c r="I2795" s="37">
        <f t="shared" si="43"/>
        <v>7.7108367178535794E-5</v>
      </c>
      <c r="J2795" s="33"/>
    </row>
    <row r="2796" spans="1:10">
      <c r="A2796" s="33" t="s">
        <v>133</v>
      </c>
      <c r="B2796" s="34">
        <v>333.74900000000002</v>
      </c>
      <c r="C2796" s="35">
        <v>86890.7</v>
      </c>
      <c r="D2796" s="33" t="s">
        <v>237</v>
      </c>
      <c r="E2796" s="34">
        <v>333.69600000000003</v>
      </c>
      <c r="F2796" s="36">
        <v>5.2999999999997299E-2</v>
      </c>
      <c r="G2796" s="34">
        <v>5.2999999999997299E-2</v>
      </c>
      <c r="H2796" s="35">
        <v>56.7</v>
      </c>
      <c r="I2796" s="37">
        <f t="shared" si="43"/>
        <v>6.5254394313775822E-4</v>
      </c>
      <c r="J2796" s="33"/>
    </row>
    <row r="2797" spans="1:10">
      <c r="A2797" s="33" t="s">
        <v>133</v>
      </c>
      <c r="B2797" s="34">
        <v>333.74900000000002</v>
      </c>
      <c r="C2797" s="35">
        <v>86890.7</v>
      </c>
      <c r="D2797" s="33" t="s">
        <v>165</v>
      </c>
      <c r="E2797" s="34">
        <v>333.71600000000001</v>
      </c>
      <c r="F2797" s="36">
        <v>3.3000000000015503E-2</v>
      </c>
      <c r="G2797" s="34">
        <v>3.3000000000015503E-2</v>
      </c>
      <c r="H2797" s="35">
        <v>47</v>
      </c>
      <c r="I2797" s="37">
        <f t="shared" si="43"/>
        <v>5.4090944140166902E-4</v>
      </c>
      <c r="J2797" s="33"/>
    </row>
    <row r="2798" spans="1:10">
      <c r="A2798" s="33" t="s">
        <v>133</v>
      </c>
      <c r="B2798" s="34">
        <v>333.74900000000002</v>
      </c>
      <c r="C2798" s="35">
        <v>86890.7</v>
      </c>
      <c r="D2798" s="33" t="s">
        <v>271</v>
      </c>
      <c r="E2798" s="34">
        <v>333.71600000000001</v>
      </c>
      <c r="F2798" s="36">
        <v>3.3000000000015503E-2</v>
      </c>
      <c r="G2798" s="34">
        <v>3.3000000000015503E-2</v>
      </c>
      <c r="H2798" s="35">
        <v>208.3</v>
      </c>
      <c r="I2798" s="37">
        <f t="shared" si="43"/>
        <v>2.3972646094461204E-3</v>
      </c>
      <c r="J2798" s="33"/>
    </row>
    <row r="2799" spans="1:10">
      <c r="A2799" s="33" t="s">
        <v>133</v>
      </c>
      <c r="B2799" s="34">
        <v>333.74900000000002</v>
      </c>
      <c r="C2799" s="35">
        <v>86890.7</v>
      </c>
      <c r="D2799" s="33" t="s">
        <v>201</v>
      </c>
      <c r="E2799" s="34">
        <v>333.71699999999998</v>
      </c>
      <c r="F2799" s="36">
        <v>3.2000000000039101E-2</v>
      </c>
      <c r="G2799" s="34">
        <v>3.2000000000039101E-2</v>
      </c>
      <c r="H2799" s="35">
        <v>117.7</v>
      </c>
      <c r="I2799" s="37">
        <f t="shared" si="43"/>
        <v>1.3545753458080094E-3</v>
      </c>
      <c r="J2799" s="33"/>
    </row>
    <row r="2800" spans="1:10">
      <c r="A2800" s="33" t="s">
        <v>133</v>
      </c>
      <c r="B2800" s="34">
        <v>333.74900000000002</v>
      </c>
      <c r="C2800" s="35">
        <v>86890.7</v>
      </c>
      <c r="D2800" s="33" t="s">
        <v>54</v>
      </c>
      <c r="E2800" s="34">
        <v>333.72</v>
      </c>
      <c r="F2800" s="36">
        <v>2.89999999999964E-2</v>
      </c>
      <c r="G2800" s="34">
        <v>2.89999999999964E-2</v>
      </c>
      <c r="H2800" s="35">
        <v>12.8</v>
      </c>
      <c r="I2800" s="37">
        <f t="shared" si="43"/>
        <v>1.4731150744556093E-4</v>
      </c>
      <c r="J2800" s="33"/>
    </row>
    <row r="2801" spans="1:10">
      <c r="A2801" s="33" t="s">
        <v>133</v>
      </c>
      <c r="B2801" s="34">
        <v>333.74900000000002</v>
      </c>
      <c r="C2801" s="35">
        <v>86890.7</v>
      </c>
      <c r="D2801" s="33" t="s">
        <v>94</v>
      </c>
      <c r="E2801" s="34">
        <v>333.72300000000001</v>
      </c>
      <c r="F2801" s="36">
        <v>2.5999999999999999E-2</v>
      </c>
      <c r="G2801" s="34">
        <v>2.5999999999999999E-2</v>
      </c>
      <c r="H2801" s="35">
        <v>3997</v>
      </c>
      <c r="I2801" s="37">
        <f t="shared" si="43"/>
        <v>4.6000319942180234E-2</v>
      </c>
      <c r="J2801" s="33" t="s">
        <v>116</v>
      </c>
    </row>
    <row r="2802" spans="1:10">
      <c r="A2802" s="33" t="s">
        <v>133</v>
      </c>
      <c r="B2802" s="34">
        <v>333.74900000000002</v>
      </c>
      <c r="C2802" s="35">
        <v>86890.7</v>
      </c>
      <c r="D2802" s="33" t="s">
        <v>84</v>
      </c>
      <c r="E2802" s="34">
        <v>333.72500000000002</v>
      </c>
      <c r="F2802" s="36">
        <v>2.4E-2</v>
      </c>
      <c r="G2802" s="34">
        <v>2.4E-2</v>
      </c>
      <c r="H2802" s="35">
        <v>3545.6</v>
      </c>
      <c r="I2802" s="37">
        <f t="shared" si="43"/>
        <v>4.0805287562420377E-2</v>
      </c>
      <c r="J2802" s="33" t="s">
        <v>116</v>
      </c>
    </row>
    <row r="2803" spans="1:10">
      <c r="A2803" s="33" t="s">
        <v>133</v>
      </c>
      <c r="B2803" s="34">
        <v>333.74900000000002</v>
      </c>
      <c r="C2803" s="35">
        <v>86890.7</v>
      </c>
      <c r="D2803" s="33" t="s">
        <v>240</v>
      </c>
      <c r="E2803" s="34">
        <v>333.73899999999998</v>
      </c>
      <c r="F2803" s="36">
        <v>1.0000000000047801E-2</v>
      </c>
      <c r="G2803" s="34">
        <v>1.0000000000047801E-2</v>
      </c>
      <c r="H2803" s="35">
        <v>27.8</v>
      </c>
      <c r="I2803" s="37">
        <f t="shared" si="43"/>
        <v>3.1994218023332765E-4</v>
      </c>
      <c r="J2803" s="33"/>
    </row>
    <row r="2804" spans="1:10">
      <c r="A2804" s="33" t="s">
        <v>133</v>
      </c>
      <c r="B2804" s="34">
        <v>333.74900000000002</v>
      </c>
      <c r="C2804" s="35">
        <v>86890.7</v>
      </c>
      <c r="D2804" s="33" t="s">
        <v>97</v>
      </c>
      <c r="E2804" s="34">
        <v>333.76600000000002</v>
      </c>
      <c r="F2804" s="36">
        <v>1.69999999999959E-2</v>
      </c>
      <c r="G2804" s="34">
        <v>1.69999999999959E-2</v>
      </c>
      <c r="H2804" s="35">
        <v>46</v>
      </c>
      <c r="I2804" s="37">
        <f t="shared" si="43"/>
        <v>5.294007298824846E-4</v>
      </c>
      <c r="J2804" s="33"/>
    </row>
    <row r="2805" spans="1:10">
      <c r="A2805" s="33" t="s">
        <v>133</v>
      </c>
      <c r="B2805" s="34">
        <v>333.74900000000002</v>
      </c>
      <c r="C2805" s="35">
        <v>86890.7</v>
      </c>
      <c r="D2805" s="33" t="s">
        <v>277</v>
      </c>
      <c r="E2805" s="34">
        <v>333.77800000000002</v>
      </c>
      <c r="F2805" s="36">
        <v>2.89999999999964E-2</v>
      </c>
      <c r="G2805" s="34">
        <v>2.89999999999964E-2</v>
      </c>
      <c r="H2805" s="35">
        <v>991.3</v>
      </c>
      <c r="I2805" s="37">
        <f t="shared" si="43"/>
        <v>1.1408585728967541E-2</v>
      </c>
      <c r="J2805" s="33"/>
    </row>
    <row r="2806" spans="1:10">
      <c r="A2806" s="33" t="s">
        <v>133</v>
      </c>
      <c r="B2806" s="34">
        <v>333.74900000000002</v>
      </c>
      <c r="C2806" s="35">
        <v>86890.7</v>
      </c>
      <c r="D2806" s="33" t="s">
        <v>84</v>
      </c>
      <c r="E2806" s="34">
        <v>333.779</v>
      </c>
      <c r="F2806" s="36">
        <v>0.03</v>
      </c>
      <c r="G2806" s="34">
        <v>0.03</v>
      </c>
      <c r="H2806" s="35">
        <v>21.1</v>
      </c>
      <c r="I2806" s="37">
        <f t="shared" si="43"/>
        <v>2.4283381305479184E-4</v>
      </c>
      <c r="J2806" s="33" t="s">
        <v>116</v>
      </c>
    </row>
    <row r="2807" spans="1:10">
      <c r="A2807" s="33" t="s">
        <v>133</v>
      </c>
      <c r="B2807" s="34">
        <v>333.74900000000002</v>
      </c>
      <c r="C2807" s="35">
        <v>86890.7</v>
      </c>
      <c r="D2807" s="33" t="s">
        <v>278</v>
      </c>
      <c r="E2807" s="34">
        <v>333.78300000000002</v>
      </c>
      <c r="F2807" s="36">
        <v>3.3999999999991801E-2</v>
      </c>
      <c r="G2807" s="34">
        <v>3.3999999999991801E-2</v>
      </c>
      <c r="H2807" s="35">
        <v>391.7</v>
      </c>
      <c r="I2807" s="37">
        <f t="shared" si="43"/>
        <v>4.5079623020645478E-3</v>
      </c>
      <c r="J2807" s="33"/>
    </row>
    <row r="2808" spans="1:10">
      <c r="A2808" s="33" t="s">
        <v>133</v>
      </c>
      <c r="B2808" s="34">
        <v>333.74900000000002</v>
      </c>
      <c r="C2808" s="35">
        <v>86890.7</v>
      </c>
      <c r="D2808" s="33" t="s">
        <v>286</v>
      </c>
      <c r="E2808" s="34">
        <v>333.78399999999999</v>
      </c>
      <c r="F2808" s="36">
        <v>3.4999999999968202E-2</v>
      </c>
      <c r="G2808" s="34">
        <v>3.4999999999968202E-2</v>
      </c>
      <c r="H2808" s="35">
        <v>59.5</v>
      </c>
      <c r="I2808" s="37">
        <f t="shared" si="43"/>
        <v>6.8476833539147456E-4</v>
      </c>
      <c r="J2808" s="33"/>
    </row>
    <row r="2809" spans="1:10">
      <c r="A2809" s="33" t="s">
        <v>133</v>
      </c>
      <c r="B2809" s="34">
        <v>333.74900000000002</v>
      </c>
      <c r="C2809" s="35">
        <v>86890.7</v>
      </c>
      <c r="D2809" s="33" t="s">
        <v>237</v>
      </c>
      <c r="E2809" s="34">
        <v>333.786</v>
      </c>
      <c r="F2809" s="36">
        <v>3.6999999999977697E-2</v>
      </c>
      <c r="G2809" s="34">
        <v>3.6999999999977697E-2</v>
      </c>
      <c r="H2809" s="35">
        <v>644.20000000000005</v>
      </c>
      <c r="I2809" s="37">
        <f t="shared" si="43"/>
        <v>7.4139119606586217E-3</v>
      </c>
      <c r="J2809" s="33"/>
    </row>
    <row r="2810" spans="1:10">
      <c r="A2810" s="33" t="s">
        <v>133</v>
      </c>
      <c r="B2810" s="34">
        <v>333.74900000000002</v>
      </c>
      <c r="C2810" s="35">
        <v>86890.7</v>
      </c>
      <c r="D2810" s="33" t="s">
        <v>271</v>
      </c>
      <c r="E2810" s="34">
        <v>333.78699999999998</v>
      </c>
      <c r="F2810" s="36">
        <v>3.7999999999954098E-2</v>
      </c>
      <c r="G2810" s="34">
        <v>3.7999999999954098E-2</v>
      </c>
      <c r="H2810" s="35">
        <v>3246</v>
      </c>
      <c r="I2810" s="37">
        <f t="shared" si="43"/>
        <v>3.7357277591272713E-2</v>
      </c>
      <c r="J2810" s="33"/>
    </row>
    <row r="2811" spans="1:10">
      <c r="A2811" s="33" t="s">
        <v>133</v>
      </c>
      <c r="B2811" s="34">
        <v>333.74900000000002</v>
      </c>
      <c r="C2811" s="35">
        <v>86890.7</v>
      </c>
      <c r="D2811" s="33" t="s">
        <v>236</v>
      </c>
      <c r="E2811" s="34">
        <v>333.79599999999999</v>
      </c>
      <c r="F2811" s="36">
        <v>4.6999999999968602E-2</v>
      </c>
      <c r="G2811" s="34">
        <v>4.6999999999968602E-2</v>
      </c>
      <c r="H2811" s="35">
        <v>295.8</v>
      </c>
      <c r="I2811" s="37">
        <f t="shared" si="43"/>
        <v>3.4042768673747596E-3</v>
      </c>
      <c r="J2811" s="33"/>
    </row>
    <row r="2812" spans="1:10">
      <c r="A2812" s="33" t="s">
        <v>133</v>
      </c>
      <c r="B2812" s="34">
        <v>333.74900000000002</v>
      </c>
      <c r="C2812" s="35">
        <v>86890.7</v>
      </c>
      <c r="D2812" s="33" t="s">
        <v>201</v>
      </c>
      <c r="E2812" s="34">
        <v>333.803</v>
      </c>
      <c r="F2812" s="36">
        <v>5.3999999999973597E-2</v>
      </c>
      <c r="G2812" s="34">
        <v>5.3999999999973597E-2</v>
      </c>
      <c r="H2812" s="35">
        <v>1963.4</v>
      </c>
      <c r="I2812" s="37">
        <f t="shared" si="43"/>
        <v>2.2596204196766743E-2</v>
      </c>
      <c r="J2812" s="33"/>
    </row>
    <row r="2813" spans="1:10">
      <c r="A2813" s="33" t="s">
        <v>133</v>
      </c>
      <c r="B2813" s="34">
        <v>333.74900000000002</v>
      </c>
      <c r="C2813" s="35">
        <v>86890.7</v>
      </c>
      <c r="D2813" s="33" t="s">
        <v>279</v>
      </c>
      <c r="E2813" s="34">
        <v>333.81799999999998</v>
      </c>
      <c r="F2813" s="36">
        <v>6.8999999999959996E-2</v>
      </c>
      <c r="G2813" s="34">
        <v>6.8999999999959996E-2</v>
      </c>
      <c r="H2813" s="35">
        <v>160.5</v>
      </c>
      <c r="I2813" s="37">
        <f t="shared" si="43"/>
        <v>1.8471481988291039E-3</v>
      </c>
      <c r="J2813" s="33"/>
    </row>
    <row r="2814" spans="1:10">
      <c r="A2814" s="33" t="s">
        <v>133</v>
      </c>
      <c r="B2814" s="34">
        <v>333.74900000000002</v>
      </c>
      <c r="C2814" s="35">
        <v>86890.7</v>
      </c>
      <c r="D2814" s="33" t="s">
        <v>290</v>
      </c>
      <c r="E2814" s="34">
        <v>333.83800000000002</v>
      </c>
      <c r="F2814" s="36">
        <v>8.8999999999998594E-2</v>
      </c>
      <c r="G2814" s="34">
        <v>8.8999999999998594E-2</v>
      </c>
      <c r="H2814" s="35">
        <v>19.100000000000001</v>
      </c>
      <c r="I2814" s="37">
        <f t="shared" si="43"/>
        <v>2.1981639001642295E-4</v>
      </c>
      <c r="J2814" s="33"/>
    </row>
    <row r="2815" spans="1:10">
      <c r="A2815" s="33" t="s">
        <v>133</v>
      </c>
      <c r="B2815" s="34">
        <v>333.74900000000002</v>
      </c>
      <c r="C2815" s="35">
        <v>86890.7</v>
      </c>
      <c r="D2815" s="33" t="s">
        <v>271</v>
      </c>
      <c r="E2815" s="34">
        <v>333.84</v>
      </c>
      <c r="F2815" s="36">
        <v>9.09999999999513E-2</v>
      </c>
      <c r="G2815" s="34">
        <v>9.09999999999513E-2</v>
      </c>
      <c r="H2815" s="35">
        <v>690.2</v>
      </c>
      <c r="I2815" s="37">
        <f t="shared" si="43"/>
        <v>7.9433126905411062E-3</v>
      </c>
      <c r="J2815" s="33"/>
    </row>
    <row r="2816" spans="1:10">
      <c r="A2816" s="33" t="s">
        <v>133</v>
      </c>
      <c r="B2816" s="34">
        <v>333.74900000000002</v>
      </c>
      <c r="C2816" s="35">
        <v>86890.7</v>
      </c>
      <c r="D2816" s="33" t="s">
        <v>236</v>
      </c>
      <c r="E2816" s="34">
        <v>333.84100000000001</v>
      </c>
      <c r="F2816" s="36">
        <v>9.1999999999984497E-2</v>
      </c>
      <c r="G2816" s="34">
        <v>9.1999999999984497E-2</v>
      </c>
      <c r="H2816" s="35">
        <v>3149.6</v>
      </c>
      <c r="I2816" s="37">
        <f t="shared" si="43"/>
        <v>3.6247837800823336E-2</v>
      </c>
      <c r="J2816" s="33"/>
    </row>
    <row r="2817" spans="1:10">
      <c r="A2817" s="33" t="s">
        <v>133</v>
      </c>
      <c r="B2817" s="34">
        <v>333.74900000000002</v>
      </c>
      <c r="C2817" s="35">
        <v>86890.7</v>
      </c>
      <c r="D2817" s="33" t="s">
        <v>277</v>
      </c>
      <c r="E2817" s="34">
        <v>333.84500000000003</v>
      </c>
      <c r="F2817" s="36">
        <v>9.6000000000003596E-2</v>
      </c>
      <c r="G2817" s="34">
        <v>9.6000000000003596E-2</v>
      </c>
      <c r="H2817" s="35">
        <v>258</v>
      </c>
      <c r="I2817" s="37">
        <f t="shared" si="43"/>
        <v>2.9692475719495875E-3</v>
      </c>
      <c r="J2817" s="33"/>
    </row>
    <row r="2818" spans="1:10">
      <c r="A2818" s="33" t="s">
        <v>133</v>
      </c>
      <c r="B2818" s="34">
        <v>333.74900000000002</v>
      </c>
      <c r="C2818" s="35">
        <v>86890.7</v>
      </c>
      <c r="D2818" s="33" t="s">
        <v>193</v>
      </c>
      <c r="E2818" s="34">
        <v>333.84899999999999</v>
      </c>
      <c r="F2818" s="36">
        <v>9.9999999999965894E-2</v>
      </c>
      <c r="G2818" s="34">
        <v>9.9999999999965894E-2</v>
      </c>
      <c r="H2818" s="35">
        <v>30.3</v>
      </c>
      <c r="I2818" s="37">
        <f t="shared" ref="I2818:I2881" si="44">H2818/C2818</f>
        <v>3.4871395903128874E-4</v>
      </c>
      <c r="J2818" s="33"/>
    </row>
    <row r="2819" spans="1:10">
      <c r="A2819" s="33" t="s">
        <v>133</v>
      </c>
      <c r="B2819" s="34">
        <v>333.74900000000002</v>
      </c>
      <c r="C2819" s="35">
        <v>86890.7</v>
      </c>
      <c r="D2819" s="33" t="s">
        <v>54</v>
      </c>
      <c r="E2819" s="34">
        <v>333.85199999999998</v>
      </c>
      <c r="F2819" s="36">
        <v>0.102999999999952</v>
      </c>
      <c r="G2819" s="34">
        <v>0.102999999999952</v>
      </c>
      <c r="H2819" s="35">
        <v>29</v>
      </c>
      <c r="I2819" s="37">
        <f t="shared" si="44"/>
        <v>3.3375263405634897E-4</v>
      </c>
      <c r="J2819" s="33"/>
    </row>
    <row r="2820" spans="1:10">
      <c r="A2820" s="33" t="s">
        <v>133</v>
      </c>
      <c r="B2820" s="34">
        <v>333.74900000000002</v>
      </c>
      <c r="C2820" s="35">
        <v>86890.7</v>
      </c>
      <c r="D2820" s="33" t="s">
        <v>282</v>
      </c>
      <c r="E2820" s="34">
        <v>333.85500000000002</v>
      </c>
      <c r="F2820" s="36">
        <v>0.105999999999995</v>
      </c>
      <c r="G2820" s="34">
        <v>0.105999999999995</v>
      </c>
      <c r="H2820" s="35">
        <v>136.9</v>
      </c>
      <c r="I2820" s="37">
        <f t="shared" si="44"/>
        <v>1.5755426069763508E-3</v>
      </c>
      <c r="J2820" s="33"/>
    </row>
    <row r="2821" spans="1:10">
      <c r="A2821" s="33" t="s">
        <v>133</v>
      </c>
      <c r="B2821" s="34">
        <v>333.74900000000002</v>
      </c>
      <c r="C2821" s="35">
        <v>86890.7</v>
      </c>
      <c r="D2821" s="33" t="s">
        <v>97</v>
      </c>
      <c r="E2821" s="34">
        <v>333.86200000000002</v>
      </c>
      <c r="F2821" s="36">
        <v>0.113</v>
      </c>
      <c r="G2821" s="34">
        <v>0.113</v>
      </c>
      <c r="H2821" s="35">
        <v>23</v>
      </c>
      <c r="I2821" s="37">
        <f t="shared" si="44"/>
        <v>2.647003649412423E-4</v>
      </c>
      <c r="J2821" s="33"/>
    </row>
    <row r="2822" spans="1:10">
      <c r="A2822" s="33" t="s">
        <v>133</v>
      </c>
      <c r="B2822" s="34">
        <v>333.74900000000002</v>
      </c>
      <c r="C2822" s="35">
        <v>86890.7</v>
      </c>
      <c r="D2822" s="33" t="s">
        <v>280</v>
      </c>
      <c r="E2822" s="34">
        <v>333.875</v>
      </c>
      <c r="F2822" s="36">
        <v>0.12599999999997599</v>
      </c>
      <c r="G2822" s="34">
        <v>0.12599999999997599</v>
      </c>
      <c r="H2822" s="35">
        <v>904.27</v>
      </c>
      <c r="I2822" s="37">
        <f t="shared" si="44"/>
        <v>1.0406982565452919E-2</v>
      </c>
      <c r="J2822" s="33"/>
    </row>
    <row r="2823" spans="1:10">
      <c r="A2823" s="33" t="s">
        <v>133</v>
      </c>
      <c r="B2823" s="34">
        <v>375.90800000000002</v>
      </c>
      <c r="C2823" s="35">
        <v>43506.6</v>
      </c>
      <c r="D2823" s="33" t="s">
        <v>239</v>
      </c>
      <c r="E2823" s="34">
        <v>375.76600000000002</v>
      </c>
      <c r="F2823" s="36">
        <v>0.14199999999999599</v>
      </c>
      <c r="G2823" s="34">
        <v>0.14199999999999599</v>
      </c>
      <c r="H2823" s="35">
        <v>67.8</v>
      </c>
      <c r="I2823" s="37">
        <f t="shared" si="44"/>
        <v>1.5583842451490119E-3</v>
      </c>
      <c r="J2823" s="33"/>
    </row>
    <row r="2824" spans="1:10">
      <c r="A2824" s="33" t="s">
        <v>133</v>
      </c>
      <c r="B2824" s="34">
        <v>375.90800000000002</v>
      </c>
      <c r="C2824" s="35">
        <v>43506.6</v>
      </c>
      <c r="D2824" s="33" t="s">
        <v>271</v>
      </c>
      <c r="E2824" s="34">
        <v>375.76900000000001</v>
      </c>
      <c r="F2824" s="36">
        <v>0.13900000000001</v>
      </c>
      <c r="G2824" s="34">
        <v>0.13900000000001</v>
      </c>
      <c r="H2824" s="35">
        <v>48</v>
      </c>
      <c r="I2824" s="37">
        <f t="shared" si="44"/>
        <v>1.1032808815214243E-3</v>
      </c>
      <c r="J2824" s="33"/>
    </row>
    <row r="2825" spans="1:10">
      <c r="A2825" s="33" t="s">
        <v>133</v>
      </c>
      <c r="B2825" s="34">
        <v>375.90800000000002</v>
      </c>
      <c r="C2825" s="35">
        <v>43506.6</v>
      </c>
      <c r="D2825" s="33" t="s">
        <v>237</v>
      </c>
      <c r="E2825" s="34">
        <v>375.76900000000001</v>
      </c>
      <c r="F2825" s="36">
        <v>0.13900000000001</v>
      </c>
      <c r="G2825" s="34">
        <v>0.13900000000001</v>
      </c>
      <c r="H2825" s="35">
        <v>2434.6999999999998</v>
      </c>
      <c r="I2825" s="37">
        <f t="shared" si="44"/>
        <v>5.5961624213337745E-2</v>
      </c>
      <c r="J2825" s="33"/>
    </row>
    <row r="2826" spans="1:10">
      <c r="A2826" s="33" t="s">
        <v>133</v>
      </c>
      <c r="B2826" s="34">
        <v>375.90800000000002</v>
      </c>
      <c r="C2826" s="35">
        <v>43506.6</v>
      </c>
      <c r="D2826" s="33" t="s">
        <v>236</v>
      </c>
      <c r="E2826" s="34">
        <v>375.77699999999999</v>
      </c>
      <c r="F2826" s="36">
        <v>0.13100000000002901</v>
      </c>
      <c r="G2826" s="34">
        <v>0.13100000000002901</v>
      </c>
      <c r="H2826" s="35">
        <v>554</v>
      </c>
      <c r="I2826" s="37">
        <f t="shared" si="44"/>
        <v>1.2733700174226439E-2</v>
      </c>
      <c r="J2826" s="33"/>
    </row>
    <row r="2827" spans="1:10">
      <c r="A2827" s="33" t="s">
        <v>133</v>
      </c>
      <c r="B2827" s="34">
        <v>375.90800000000002</v>
      </c>
      <c r="C2827" s="35">
        <v>43506.6</v>
      </c>
      <c r="D2827" s="33" t="s">
        <v>27</v>
      </c>
      <c r="E2827" s="34">
        <v>375.78199999999998</v>
      </c>
      <c r="F2827" s="36">
        <v>0.126000000000033</v>
      </c>
      <c r="G2827" s="34">
        <v>0.126000000000033</v>
      </c>
      <c r="H2827" s="35">
        <v>1413.9</v>
      </c>
      <c r="I2827" s="37">
        <f t="shared" si="44"/>
        <v>3.2498517466315456E-2</v>
      </c>
      <c r="J2827" s="33" t="s">
        <v>116</v>
      </c>
    </row>
    <row r="2828" spans="1:10">
      <c r="A2828" s="33" t="s">
        <v>133</v>
      </c>
      <c r="B2828" s="34">
        <v>375.90800000000002</v>
      </c>
      <c r="C2828" s="35">
        <v>43506.6</v>
      </c>
      <c r="D2828" s="33" t="s">
        <v>25</v>
      </c>
      <c r="E2828" s="34">
        <v>375.78500000000003</v>
      </c>
      <c r="F2828" s="36">
        <v>0.12299999999999101</v>
      </c>
      <c r="G2828" s="34">
        <v>0.12299999999999101</v>
      </c>
      <c r="H2828" s="35">
        <v>535.79999999999995</v>
      </c>
      <c r="I2828" s="37">
        <f t="shared" si="44"/>
        <v>1.2315372839982899E-2</v>
      </c>
      <c r="J2828" s="33" t="s">
        <v>116</v>
      </c>
    </row>
    <row r="2829" spans="1:10">
      <c r="A2829" s="33" t="s">
        <v>133</v>
      </c>
      <c r="B2829" s="34">
        <v>375.90800000000002</v>
      </c>
      <c r="C2829" s="35">
        <v>43506.6</v>
      </c>
      <c r="D2829" s="33" t="s">
        <v>201</v>
      </c>
      <c r="E2829" s="34">
        <v>375.79</v>
      </c>
      <c r="F2829" s="36">
        <v>0.117999999999995</v>
      </c>
      <c r="G2829" s="34">
        <v>0.117999999999995</v>
      </c>
      <c r="H2829" s="35">
        <v>1895.8</v>
      </c>
      <c r="I2829" s="37">
        <f t="shared" si="44"/>
        <v>4.3574997816423253E-2</v>
      </c>
      <c r="J2829" s="33"/>
    </row>
    <row r="2830" spans="1:10">
      <c r="A2830" s="33" t="s">
        <v>133</v>
      </c>
      <c r="B2830" s="34">
        <v>375.90800000000002</v>
      </c>
      <c r="C2830" s="35">
        <v>43506.6</v>
      </c>
      <c r="D2830" s="33" t="s">
        <v>274</v>
      </c>
      <c r="E2830" s="34">
        <v>375.79199999999997</v>
      </c>
      <c r="F2830" s="36">
        <v>0.116000000000042</v>
      </c>
      <c r="G2830" s="34">
        <v>0.116000000000042</v>
      </c>
      <c r="H2830" s="35">
        <v>52.2</v>
      </c>
      <c r="I2830" s="37">
        <f t="shared" si="44"/>
        <v>1.1998179586545491E-3</v>
      </c>
      <c r="J2830" s="33"/>
    </row>
    <row r="2831" spans="1:10">
      <c r="A2831" s="33" t="s">
        <v>133</v>
      </c>
      <c r="B2831" s="34">
        <v>375.90800000000002</v>
      </c>
      <c r="C2831" s="35">
        <v>43506.6</v>
      </c>
      <c r="D2831" s="33" t="s">
        <v>239</v>
      </c>
      <c r="E2831" s="34">
        <v>375.80500000000001</v>
      </c>
      <c r="F2831" s="36">
        <v>0.103000000000009</v>
      </c>
      <c r="G2831" s="34">
        <v>0.103000000000009</v>
      </c>
      <c r="H2831" s="35">
        <v>19.399999999999999</v>
      </c>
      <c r="I2831" s="37">
        <f t="shared" si="44"/>
        <v>4.4590935628157567E-4</v>
      </c>
      <c r="J2831" s="33"/>
    </row>
    <row r="2832" spans="1:10">
      <c r="A2832" s="33" t="s">
        <v>133</v>
      </c>
      <c r="B2832" s="34">
        <v>375.90800000000002</v>
      </c>
      <c r="C2832" s="35">
        <v>43506.6</v>
      </c>
      <c r="D2832" s="33" t="s">
        <v>97</v>
      </c>
      <c r="E2832" s="34">
        <v>375.82299999999998</v>
      </c>
      <c r="F2832" s="36">
        <v>8.5000000000036394E-2</v>
      </c>
      <c r="G2832" s="34">
        <v>8.5000000000036394E-2</v>
      </c>
      <c r="H2832" s="35">
        <v>1353.6</v>
      </c>
      <c r="I2832" s="37">
        <f t="shared" si="44"/>
        <v>3.1112520858904164E-2</v>
      </c>
      <c r="J2832" s="33"/>
    </row>
    <row r="2833" spans="1:10">
      <c r="A2833" s="33" t="s">
        <v>133</v>
      </c>
      <c r="B2833" s="34">
        <v>375.90800000000002</v>
      </c>
      <c r="C2833" s="35">
        <v>43506.6</v>
      </c>
      <c r="D2833" s="33" t="s">
        <v>278</v>
      </c>
      <c r="E2833" s="34">
        <v>375.82900000000001</v>
      </c>
      <c r="F2833" s="36">
        <v>7.9000000000007703E-2</v>
      </c>
      <c r="G2833" s="34">
        <v>7.9000000000007703E-2</v>
      </c>
      <c r="H2833" s="35">
        <v>91.6</v>
      </c>
      <c r="I2833" s="37">
        <f t="shared" si="44"/>
        <v>2.1054276822367181E-3</v>
      </c>
      <c r="J2833" s="33"/>
    </row>
    <row r="2834" spans="1:10">
      <c r="A2834" s="33" t="s">
        <v>133</v>
      </c>
      <c r="B2834" s="34">
        <v>375.90800000000002</v>
      </c>
      <c r="C2834" s="35">
        <v>43506.6</v>
      </c>
      <c r="D2834" s="33" t="s">
        <v>270</v>
      </c>
      <c r="E2834" s="34">
        <v>375.846</v>
      </c>
      <c r="F2834" s="36">
        <v>6.2000000000011803E-2</v>
      </c>
      <c r="G2834" s="34">
        <v>6.2000000000011803E-2</v>
      </c>
      <c r="H2834" s="35">
        <v>1360</v>
      </c>
      <c r="I2834" s="37">
        <f t="shared" si="44"/>
        <v>3.1259624976440359E-2</v>
      </c>
      <c r="J2834" s="33"/>
    </row>
    <row r="2835" spans="1:10">
      <c r="A2835" s="33" t="s">
        <v>133</v>
      </c>
      <c r="B2835" s="34">
        <v>375.90800000000002</v>
      </c>
      <c r="C2835" s="35">
        <v>43506.6</v>
      </c>
      <c r="D2835" s="33" t="s">
        <v>278</v>
      </c>
      <c r="E2835" s="34">
        <v>375.851</v>
      </c>
      <c r="F2835" s="36">
        <v>5.7000000000016399E-2</v>
      </c>
      <c r="G2835" s="34">
        <v>5.7000000000016399E-2</v>
      </c>
      <c r="H2835" s="35">
        <v>66.7</v>
      </c>
      <c r="I2835" s="37">
        <f t="shared" si="44"/>
        <v>1.5331007249474793E-3</v>
      </c>
      <c r="J2835" s="33"/>
    </row>
    <row r="2836" spans="1:10">
      <c r="A2836" s="33" t="s">
        <v>133</v>
      </c>
      <c r="B2836" s="34">
        <v>375.90800000000002</v>
      </c>
      <c r="C2836" s="35">
        <v>43506.6</v>
      </c>
      <c r="D2836" s="33" t="s">
        <v>275</v>
      </c>
      <c r="E2836" s="34">
        <v>375.85199999999998</v>
      </c>
      <c r="F2836" s="36">
        <v>5.6000000000039997E-2</v>
      </c>
      <c r="G2836" s="34">
        <v>5.6000000000039997E-2</v>
      </c>
      <c r="H2836" s="35">
        <v>20.8</v>
      </c>
      <c r="I2836" s="37">
        <f t="shared" si="44"/>
        <v>4.7808838199261722E-4</v>
      </c>
      <c r="J2836" s="33"/>
    </row>
    <row r="2837" spans="1:10">
      <c r="A2837" s="33" t="s">
        <v>133</v>
      </c>
      <c r="B2837" s="34">
        <v>375.90800000000002</v>
      </c>
      <c r="C2837" s="35">
        <v>43506.6</v>
      </c>
      <c r="D2837" s="33" t="s">
        <v>27</v>
      </c>
      <c r="E2837" s="34">
        <v>375.89499999999998</v>
      </c>
      <c r="F2837" s="36">
        <v>1.30000000000337E-2</v>
      </c>
      <c r="G2837" s="34">
        <v>1.30000000000337E-2</v>
      </c>
      <c r="H2837" s="35">
        <v>3300</v>
      </c>
      <c r="I2837" s="37">
        <f t="shared" si="44"/>
        <v>7.5850560604597925E-2</v>
      </c>
      <c r="J2837" s="33" t="s">
        <v>116</v>
      </c>
    </row>
    <row r="2838" spans="1:10">
      <c r="A2838" s="33" t="s">
        <v>133</v>
      </c>
      <c r="B2838" s="34">
        <v>375.90800000000002</v>
      </c>
      <c r="C2838" s="35">
        <v>43506.6</v>
      </c>
      <c r="D2838" s="33" t="s">
        <v>270</v>
      </c>
      <c r="E2838" s="34">
        <v>375.89699999999999</v>
      </c>
      <c r="F2838" s="36">
        <v>1.10000000000241E-2</v>
      </c>
      <c r="G2838" s="34">
        <v>1.10000000000241E-2</v>
      </c>
      <c r="H2838" s="35">
        <v>2946.8</v>
      </c>
      <c r="I2838" s="37">
        <f t="shared" si="44"/>
        <v>6.773225211806945E-2</v>
      </c>
      <c r="J2838" s="33"/>
    </row>
    <row r="2839" spans="1:10">
      <c r="A2839" s="33" t="s">
        <v>133</v>
      </c>
      <c r="B2839" s="34">
        <v>375.90800000000002</v>
      </c>
      <c r="C2839" s="35">
        <v>43506.6</v>
      </c>
      <c r="D2839" s="33" t="s">
        <v>33</v>
      </c>
      <c r="E2839" s="34">
        <v>375.899</v>
      </c>
      <c r="F2839" s="36">
        <v>9.0000000000145502E-3</v>
      </c>
      <c r="G2839" s="34">
        <v>9.0000000000145502E-3</v>
      </c>
      <c r="H2839" s="35">
        <v>248.7</v>
      </c>
      <c r="I2839" s="37">
        <f t="shared" si="44"/>
        <v>5.7163740673828794E-3</v>
      </c>
      <c r="J2839" s="33" t="s">
        <v>116</v>
      </c>
    </row>
    <row r="2840" spans="1:10">
      <c r="A2840" s="33" t="s">
        <v>133</v>
      </c>
      <c r="B2840" s="34">
        <v>375.90800000000002</v>
      </c>
      <c r="C2840" s="35">
        <v>43506.6</v>
      </c>
      <c r="D2840" s="33" t="s">
        <v>36</v>
      </c>
      <c r="E2840" s="34">
        <v>375.90100000000001</v>
      </c>
      <c r="F2840" s="36">
        <v>7.0000000000000001E-3</v>
      </c>
      <c r="G2840" s="34">
        <v>7.0000000000000001E-3</v>
      </c>
      <c r="H2840" s="35">
        <v>2272.1999999999998</v>
      </c>
      <c r="I2840" s="37">
        <f t="shared" si="44"/>
        <v>5.222655872902042E-2</v>
      </c>
      <c r="J2840" s="33" t="s">
        <v>116</v>
      </c>
    </row>
    <row r="2841" spans="1:10">
      <c r="A2841" s="33" t="s">
        <v>133</v>
      </c>
      <c r="B2841" s="34">
        <v>375.90800000000002</v>
      </c>
      <c r="C2841" s="35">
        <v>43506.6</v>
      </c>
      <c r="D2841" s="33" t="s">
        <v>25</v>
      </c>
      <c r="E2841" s="34">
        <v>375.91500000000002</v>
      </c>
      <c r="F2841" s="36">
        <v>7.0000000000049996E-3</v>
      </c>
      <c r="G2841" s="34">
        <v>7.0000000000049996E-3</v>
      </c>
      <c r="H2841" s="35">
        <v>146.69999999999999</v>
      </c>
      <c r="I2841" s="37">
        <f t="shared" si="44"/>
        <v>3.3719021941498529E-3</v>
      </c>
      <c r="J2841" s="33" t="s">
        <v>116</v>
      </c>
    </row>
    <row r="2842" spans="1:10">
      <c r="A2842" s="33" t="s">
        <v>133</v>
      </c>
      <c r="B2842" s="34">
        <v>375.90800000000002</v>
      </c>
      <c r="C2842" s="35">
        <v>43506.6</v>
      </c>
      <c r="D2842" s="33" t="s">
        <v>277</v>
      </c>
      <c r="E2842" s="34">
        <v>375.923</v>
      </c>
      <c r="F2842" s="36">
        <v>1.4999999999986399E-2</v>
      </c>
      <c r="G2842" s="34">
        <v>1.4999999999986399E-2</v>
      </c>
      <c r="H2842" s="35">
        <v>286.89999999999998</v>
      </c>
      <c r="I2842" s="37">
        <f t="shared" si="44"/>
        <v>6.5944017689270129E-3</v>
      </c>
      <c r="J2842" s="33"/>
    </row>
    <row r="2843" spans="1:10">
      <c r="A2843" s="33" t="s">
        <v>133</v>
      </c>
      <c r="B2843" s="34">
        <v>375.90800000000002</v>
      </c>
      <c r="C2843" s="35">
        <v>43506.6</v>
      </c>
      <c r="D2843" s="33" t="s">
        <v>271</v>
      </c>
      <c r="E2843" s="34">
        <v>375.92599999999999</v>
      </c>
      <c r="F2843" s="36">
        <v>1.7999999999972299E-2</v>
      </c>
      <c r="G2843" s="34">
        <v>1.7999999999972299E-2</v>
      </c>
      <c r="H2843" s="35">
        <v>198.3</v>
      </c>
      <c r="I2843" s="37">
        <f t="shared" si="44"/>
        <v>4.5579291417853843E-3</v>
      </c>
      <c r="J2843" s="33"/>
    </row>
    <row r="2844" spans="1:10">
      <c r="A2844" s="33" t="s">
        <v>133</v>
      </c>
      <c r="B2844" s="34">
        <v>375.90800000000002</v>
      </c>
      <c r="C2844" s="35">
        <v>43506.6</v>
      </c>
      <c r="D2844" s="33" t="s">
        <v>269</v>
      </c>
      <c r="E2844" s="34">
        <v>375.92700000000002</v>
      </c>
      <c r="F2844" s="36">
        <v>1.9000000000005499E-2</v>
      </c>
      <c r="G2844" s="34">
        <v>1.9000000000005499E-2</v>
      </c>
      <c r="H2844" s="35">
        <v>0.8</v>
      </c>
      <c r="I2844" s="37">
        <f t="shared" si="44"/>
        <v>1.8388014692023742E-5</v>
      </c>
      <c r="J2844" s="33"/>
    </row>
    <row r="2845" spans="1:10">
      <c r="A2845" s="33" t="s">
        <v>133</v>
      </c>
      <c r="B2845" s="34">
        <v>375.90800000000002</v>
      </c>
      <c r="C2845" s="35">
        <v>43506.6</v>
      </c>
      <c r="D2845" s="33" t="s">
        <v>237</v>
      </c>
      <c r="E2845" s="34">
        <v>375.93</v>
      </c>
      <c r="F2845" s="36">
        <v>2.1999999999991401E-2</v>
      </c>
      <c r="G2845" s="34">
        <v>2.1999999999991401E-2</v>
      </c>
      <c r="H2845" s="35">
        <v>59263.9</v>
      </c>
      <c r="I2845" s="37">
        <f t="shared" si="44"/>
        <v>1.3621818298832822</v>
      </c>
      <c r="J2845" s="33"/>
    </row>
    <row r="2846" spans="1:10">
      <c r="A2846" s="33" t="s">
        <v>133</v>
      </c>
      <c r="B2846" s="34">
        <v>375.90800000000002</v>
      </c>
      <c r="C2846" s="35">
        <v>43506.6</v>
      </c>
      <c r="D2846" s="33" t="s">
        <v>36</v>
      </c>
      <c r="E2846" s="34">
        <v>375.93200000000002</v>
      </c>
      <c r="F2846" s="36">
        <v>2.4E-2</v>
      </c>
      <c r="G2846" s="34">
        <v>2.4E-2</v>
      </c>
      <c r="H2846" s="35">
        <v>3336.1</v>
      </c>
      <c r="I2846" s="37">
        <f t="shared" si="44"/>
        <v>7.66803197675755E-2</v>
      </c>
      <c r="J2846" s="33" t="s">
        <v>116</v>
      </c>
    </row>
    <row r="2847" spans="1:10">
      <c r="A2847" s="33" t="s">
        <v>133</v>
      </c>
      <c r="B2847" s="34">
        <v>375.90800000000002</v>
      </c>
      <c r="C2847" s="35">
        <v>43506.6</v>
      </c>
      <c r="D2847" s="33" t="s">
        <v>201</v>
      </c>
      <c r="E2847" s="34">
        <v>375.935</v>
      </c>
      <c r="F2847" s="36">
        <v>2.6999999999986798E-2</v>
      </c>
      <c r="G2847" s="34">
        <v>2.6999999999986798E-2</v>
      </c>
      <c r="H2847" s="35">
        <v>743.9</v>
      </c>
      <c r="I2847" s="37">
        <f t="shared" si="44"/>
        <v>1.7098555161745573E-2</v>
      </c>
      <c r="J2847" s="33"/>
    </row>
    <row r="2848" spans="1:10">
      <c r="A2848" s="33" t="s">
        <v>133</v>
      </c>
      <c r="B2848" s="34">
        <v>375.90800000000002</v>
      </c>
      <c r="C2848" s="35">
        <v>43506.6</v>
      </c>
      <c r="D2848" s="33" t="s">
        <v>165</v>
      </c>
      <c r="E2848" s="34">
        <v>375.94299999999998</v>
      </c>
      <c r="F2848" s="36">
        <v>3.4999999999968202E-2</v>
      </c>
      <c r="G2848" s="34">
        <v>3.4999999999968202E-2</v>
      </c>
      <c r="H2848" s="35">
        <v>0.6</v>
      </c>
      <c r="I2848" s="37">
        <f t="shared" si="44"/>
        <v>1.3791011019017805E-5</v>
      </c>
      <c r="J2848" s="33"/>
    </row>
    <row r="2849" spans="1:10">
      <c r="A2849" s="33" t="s">
        <v>133</v>
      </c>
      <c r="B2849" s="34">
        <v>375.90800000000002</v>
      </c>
      <c r="C2849" s="35">
        <v>43506.6</v>
      </c>
      <c r="D2849" s="33" t="s">
        <v>273</v>
      </c>
      <c r="E2849" s="34">
        <v>375.95499999999998</v>
      </c>
      <c r="F2849" s="36">
        <v>4.6999999999968602E-2</v>
      </c>
      <c r="G2849" s="34">
        <v>4.6999999999968602E-2</v>
      </c>
      <c r="H2849" s="35">
        <v>335.6</v>
      </c>
      <c r="I2849" s="37">
        <f t="shared" si="44"/>
        <v>7.7137721633039596E-3</v>
      </c>
      <c r="J2849" s="33"/>
    </row>
    <row r="2850" spans="1:10">
      <c r="A2850" s="33" t="s">
        <v>133</v>
      </c>
      <c r="B2850" s="34">
        <v>375.90800000000002</v>
      </c>
      <c r="C2850" s="35">
        <v>43506.6</v>
      </c>
      <c r="D2850" s="33" t="s">
        <v>173</v>
      </c>
      <c r="E2850" s="34">
        <v>375.96</v>
      </c>
      <c r="F2850" s="36">
        <v>5.1999999999964103E-2</v>
      </c>
      <c r="G2850" s="34">
        <v>5.1999999999964103E-2</v>
      </c>
      <c r="H2850" s="35">
        <v>914.8</v>
      </c>
      <c r="I2850" s="37">
        <f t="shared" si="44"/>
        <v>2.1026694800329145E-2</v>
      </c>
      <c r="J2850" s="33"/>
    </row>
    <row r="2851" spans="1:10">
      <c r="A2851" s="33" t="s">
        <v>133</v>
      </c>
      <c r="B2851" s="34">
        <v>375.90800000000002</v>
      </c>
      <c r="C2851" s="35">
        <v>43506.6</v>
      </c>
      <c r="D2851" s="33" t="s">
        <v>275</v>
      </c>
      <c r="E2851" s="34">
        <v>375.96100000000001</v>
      </c>
      <c r="F2851" s="36">
        <v>5.2999999999997299E-2</v>
      </c>
      <c r="G2851" s="34">
        <v>5.2999999999997299E-2</v>
      </c>
      <c r="H2851" s="35">
        <v>5.8</v>
      </c>
      <c r="I2851" s="37">
        <f t="shared" si="44"/>
        <v>1.3331310651717212E-4</v>
      </c>
      <c r="J2851" s="33"/>
    </row>
    <row r="2852" spans="1:10">
      <c r="A2852" s="33" t="s">
        <v>133</v>
      </c>
      <c r="B2852" s="34">
        <v>375.90800000000002</v>
      </c>
      <c r="C2852" s="35">
        <v>43506.6</v>
      </c>
      <c r="D2852" s="33" t="s">
        <v>54</v>
      </c>
      <c r="E2852" s="34">
        <v>375.96800000000002</v>
      </c>
      <c r="F2852" s="36">
        <v>6.0000000000002301E-2</v>
      </c>
      <c r="G2852" s="34">
        <v>6.0000000000002301E-2</v>
      </c>
      <c r="H2852" s="35">
        <v>45</v>
      </c>
      <c r="I2852" s="37">
        <f t="shared" si="44"/>
        <v>1.0343258264263354E-3</v>
      </c>
      <c r="J2852" s="33"/>
    </row>
    <row r="2853" spans="1:10">
      <c r="A2853" s="33" t="s">
        <v>133</v>
      </c>
      <c r="B2853" s="34">
        <v>375.90800000000002</v>
      </c>
      <c r="C2853" s="35">
        <v>43506.6</v>
      </c>
      <c r="D2853" s="33" t="s">
        <v>193</v>
      </c>
      <c r="E2853" s="34">
        <v>375.97399999999999</v>
      </c>
      <c r="F2853" s="36">
        <v>6.5999999999974093E-2</v>
      </c>
      <c r="G2853" s="34">
        <v>6.5999999999974093E-2</v>
      </c>
      <c r="H2853" s="35">
        <v>10.3</v>
      </c>
      <c r="I2853" s="37">
        <f t="shared" si="44"/>
        <v>2.3674568915980565E-4</v>
      </c>
      <c r="J2853" s="33"/>
    </row>
    <row r="2854" spans="1:10">
      <c r="A2854" s="33" t="s">
        <v>133</v>
      </c>
      <c r="B2854" s="34">
        <v>375.90800000000002</v>
      </c>
      <c r="C2854" s="35">
        <v>43506.6</v>
      </c>
      <c r="D2854" s="33" t="s">
        <v>27</v>
      </c>
      <c r="E2854" s="34">
        <v>375.97899999999998</v>
      </c>
      <c r="F2854" s="36">
        <v>7.0999999999969504E-2</v>
      </c>
      <c r="G2854" s="34">
        <v>7.0999999999969504E-2</v>
      </c>
      <c r="H2854" s="35">
        <v>1340.3</v>
      </c>
      <c r="I2854" s="37">
        <f t="shared" si="44"/>
        <v>3.0806820114649271E-2</v>
      </c>
      <c r="J2854" s="33" t="s">
        <v>116</v>
      </c>
    </row>
    <row r="2855" spans="1:10">
      <c r="A2855" s="33" t="s">
        <v>133</v>
      </c>
      <c r="B2855" s="34">
        <v>375.90800000000002</v>
      </c>
      <c r="C2855" s="35">
        <v>43506.6</v>
      </c>
      <c r="D2855" s="33" t="s">
        <v>277</v>
      </c>
      <c r="E2855" s="34">
        <v>375.988</v>
      </c>
      <c r="F2855" s="36">
        <v>7.9999999999984098E-2</v>
      </c>
      <c r="G2855" s="34">
        <v>7.9999999999984098E-2</v>
      </c>
      <c r="H2855" s="35">
        <v>173.7</v>
      </c>
      <c r="I2855" s="37">
        <f t="shared" si="44"/>
        <v>3.9924976900056544E-3</v>
      </c>
      <c r="J2855" s="33"/>
    </row>
    <row r="2856" spans="1:10">
      <c r="A2856" s="33" t="s">
        <v>133</v>
      </c>
      <c r="B2856" s="34">
        <v>375.90800000000002</v>
      </c>
      <c r="C2856" s="35">
        <v>43506.6</v>
      </c>
      <c r="D2856" s="33" t="s">
        <v>268</v>
      </c>
      <c r="E2856" s="34">
        <v>376.00099999999998</v>
      </c>
      <c r="F2856" s="36">
        <v>9.2999999999960906E-2</v>
      </c>
      <c r="G2856" s="34">
        <v>9.2999999999960906E-2</v>
      </c>
      <c r="H2856" s="35">
        <v>676.9</v>
      </c>
      <c r="I2856" s="37">
        <f t="shared" si="44"/>
        <v>1.5558558931288586E-2</v>
      </c>
      <c r="J2856" s="33"/>
    </row>
    <row r="2857" spans="1:10">
      <c r="A2857" s="33" t="s">
        <v>133</v>
      </c>
      <c r="B2857" s="34">
        <v>375.90800000000002</v>
      </c>
      <c r="C2857" s="35">
        <v>43506.6</v>
      </c>
      <c r="D2857" s="33" t="s">
        <v>275</v>
      </c>
      <c r="E2857" s="34">
        <v>376.00200000000001</v>
      </c>
      <c r="F2857" s="36">
        <v>9.3999999999994102E-2</v>
      </c>
      <c r="G2857" s="34">
        <v>9.3999999999994102E-2</v>
      </c>
      <c r="H2857" s="35">
        <v>22</v>
      </c>
      <c r="I2857" s="37">
        <f t="shared" si="44"/>
        <v>5.0567040403065285E-4</v>
      </c>
      <c r="J2857" s="33"/>
    </row>
    <row r="2858" spans="1:10">
      <c r="A2858" s="33" t="s">
        <v>133</v>
      </c>
      <c r="B2858" s="34">
        <v>375.90800000000002</v>
      </c>
      <c r="C2858" s="35">
        <v>43506.6</v>
      </c>
      <c r="D2858" s="33" t="s">
        <v>97</v>
      </c>
      <c r="E2858" s="34">
        <v>376.005</v>
      </c>
      <c r="F2858" s="36">
        <v>9.6999999999980005E-2</v>
      </c>
      <c r="G2858" s="34">
        <v>9.6999999999980005E-2</v>
      </c>
      <c r="H2858" s="35">
        <v>22.8</v>
      </c>
      <c r="I2858" s="37">
        <f t="shared" si="44"/>
        <v>5.2405841872267664E-4</v>
      </c>
      <c r="J2858" s="33"/>
    </row>
    <row r="2859" spans="1:10">
      <c r="A2859" s="33" t="s">
        <v>133</v>
      </c>
      <c r="B2859" s="34">
        <v>375.90800000000002</v>
      </c>
      <c r="C2859" s="35">
        <v>43506.6</v>
      </c>
      <c r="D2859" s="33" t="s">
        <v>270</v>
      </c>
      <c r="E2859" s="34">
        <v>376.005</v>
      </c>
      <c r="F2859" s="36">
        <v>9.6999999999980005E-2</v>
      </c>
      <c r="G2859" s="34">
        <v>9.6999999999980005E-2</v>
      </c>
      <c r="H2859" s="35">
        <v>1640</v>
      </c>
      <c r="I2859" s="37">
        <f t="shared" si="44"/>
        <v>3.7695430118648669E-2</v>
      </c>
      <c r="J2859" s="33"/>
    </row>
    <row r="2860" spans="1:10">
      <c r="A2860" s="33" t="s">
        <v>133</v>
      </c>
      <c r="B2860" s="34">
        <v>375.90800000000002</v>
      </c>
      <c r="C2860" s="35">
        <v>43506.6</v>
      </c>
      <c r="D2860" s="33" t="s">
        <v>173</v>
      </c>
      <c r="E2860" s="34">
        <v>376.00799999999998</v>
      </c>
      <c r="F2860" s="36">
        <v>9.9999999999965894E-2</v>
      </c>
      <c r="G2860" s="34">
        <v>9.9999999999965894E-2</v>
      </c>
      <c r="H2860" s="35">
        <v>683</v>
      </c>
      <c r="I2860" s="37">
        <f t="shared" si="44"/>
        <v>1.5698767543315267E-2</v>
      </c>
      <c r="J2860" s="33"/>
    </row>
    <row r="2861" spans="1:10">
      <c r="A2861" s="33" t="s">
        <v>133</v>
      </c>
      <c r="B2861" s="34">
        <v>375.90800000000002</v>
      </c>
      <c r="C2861" s="35">
        <v>43506.6</v>
      </c>
      <c r="D2861" s="33" t="s">
        <v>274</v>
      </c>
      <c r="E2861" s="34">
        <v>376.012</v>
      </c>
      <c r="F2861" s="36">
        <v>0.10399999999998499</v>
      </c>
      <c r="G2861" s="34">
        <v>0.10399999999998499</v>
      </c>
      <c r="H2861" s="35">
        <v>75.599999999999994</v>
      </c>
      <c r="I2861" s="37">
        <f t="shared" si="44"/>
        <v>1.7376673883962431E-3</v>
      </c>
      <c r="J2861" s="33"/>
    </row>
    <row r="2862" spans="1:10">
      <c r="A2862" s="33" t="s">
        <v>133</v>
      </c>
      <c r="B2862" s="34">
        <v>379.08199999999999</v>
      </c>
      <c r="C2862" s="35">
        <v>94893.1</v>
      </c>
      <c r="D2862" s="33" t="s">
        <v>237</v>
      </c>
      <c r="E2862" s="34">
        <v>378.92599999999999</v>
      </c>
      <c r="F2862" s="36">
        <v>0.15600000000000599</v>
      </c>
      <c r="G2862" s="34">
        <v>0.15600000000000599</v>
      </c>
      <c r="H2862" s="35">
        <v>54.4</v>
      </c>
      <c r="I2862" s="37">
        <f t="shared" si="44"/>
        <v>5.732766660589652E-4</v>
      </c>
      <c r="J2862" s="33"/>
    </row>
    <row r="2863" spans="1:10">
      <c r="A2863" s="33" t="s">
        <v>133</v>
      </c>
      <c r="B2863" s="34">
        <v>379.08199999999999</v>
      </c>
      <c r="C2863" s="35">
        <v>94893.1</v>
      </c>
      <c r="D2863" s="33" t="s">
        <v>54</v>
      </c>
      <c r="E2863" s="34">
        <v>378.93299999999999</v>
      </c>
      <c r="F2863" s="36">
        <v>0.14900000000000099</v>
      </c>
      <c r="G2863" s="34">
        <v>0.14900000000000099</v>
      </c>
      <c r="H2863" s="35">
        <v>2</v>
      </c>
      <c r="I2863" s="37">
        <f t="shared" si="44"/>
        <v>2.1076348016873724E-5</v>
      </c>
      <c r="J2863" s="33"/>
    </row>
    <row r="2864" spans="1:10">
      <c r="A2864" s="33" t="s">
        <v>133</v>
      </c>
      <c r="B2864" s="34">
        <v>379.08199999999999</v>
      </c>
      <c r="C2864" s="35">
        <v>94893.1</v>
      </c>
      <c r="D2864" s="33" t="s">
        <v>97</v>
      </c>
      <c r="E2864" s="34">
        <v>378.95800000000003</v>
      </c>
      <c r="F2864" s="36">
        <v>0.123999999999967</v>
      </c>
      <c r="G2864" s="34">
        <v>0.123999999999967</v>
      </c>
      <c r="H2864" s="35">
        <v>0.7</v>
      </c>
      <c r="I2864" s="37">
        <f t="shared" si="44"/>
        <v>7.3767218059058029E-6</v>
      </c>
      <c r="J2864" s="33"/>
    </row>
    <row r="2865" spans="1:10">
      <c r="A2865" s="33" t="s">
        <v>133</v>
      </c>
      <c r="B2865" s="34">
        <v>379.08199999999999</v>
      </c>
      <c r="C2865" s="35">
        <v>94893.1</v>
      </c>
      <c r="D2865" s="33" t="s">
        <v>25</v>
      </c>
      <c r="E2865" s="34">
        <v>378.98399999999998</v>
      </c>
      <c r="F2865" s="36">
        <v>9.8000000000013202E-2</v>
      </c>
      <c r="G2865" s="34">
        <v>9.8000000000013202E-2</v>
      </c>
      <c r="H2865" s="35">
        <v>81.099999999999994</v>
      </c>
      <c r="I2865" s="37">
        <f t="shared" si="44"/>
        <v>8.5464591208422945E-4</v>
      </c>
      <c r="J2865" s="33" t="s">
        <v>116</v>
      </c>
    </row>
    <row r="2866" spans="1:10">
      <c r="A2866" s="33" t="s">
        <v>133</v>
      </c>
      <c r="B2866" s="34">
        <v>379.08199999999999</v>
      </c>
      <c r="C2866" s="35">
        <v>94893.1</v>
      </c>
      <c r="D2866" s="33" t="s">
        <v>277</v>
      </c>
      <c r="E2866" s="34">
        <v>378.98899999999998</v>
      </c>
      <c r="F2866" s="36">
        <v>9.3000000000017694E-2</v>
      </c>
      <c r="G2866" s="34">
        <v>9.3000000000017694E-2</v>
      </c>
      <c r="H2866" s="35">
        <v>138.6</v>
      </c>
      <c r="I2866" s="37">
        <f t="shared" si="44"/>
        <v>1.460590917569349E-3</v>
      </c>
      <c r="J2866" s="33"/>
    </row>
    <row r="2867" spans="1:10">
      <c r="A2867" s="33" t="s">
        <v>133</v>
      </c>
      <c r="B2867" s="34">
        <v>379.08199999999999</v>
      </c>
      <c r="C2867" s="35">
        <v>94893.1</v>
      </c>
      <c r="D2867" s="33" t="s">
        <v>271</v>
      </c>
      <c r="E2867" s="34">
        <v>378.995</v>
      </c>
      <c r="F2867" s="36">
        <v>8.69999999999891E-2</v>
      </c>
      <c r="G2867" s="34">
        <v>8.69999999999891E-2</v>
      </c>
      <c r="H2867" s="35">
        <v>336.6</v>
      </c>
      <c r="I2867" s="37">
        <f t="shared" si="44"/>
        <v>3.5471493712398478E-3</v>
      </c>
      <c r="J2867" s="33"/>
    </row>
    <row r="2868" spans="1:10">
      <c r="A2868" s="33" t="s">
        <v>133</v>
      </c>
      <c r="B2868" s="34">
        <v>379.08199999999999</v>
      </c>
      <c r="C2868" s="35">
        <v>94893.1</v>
      </c>
      <c r="D2868" s="33" t="s">
        <v>97</v>
      </c>
      <c r="E2868" s="34">
        <v>379.00900000000001</v>
      </c>
      <c r="F2868" s="36">
        <v>7.2999999999979095E-2</v>
      </c>
      <c r="G2868" s="34">
        <v>7.2999999999979095E-2</v>
      </c>
      <c r="H2868" s="35">
        <v>39.700000000000003</v>
      </c>
      <c r="I2868" s="37">
        <f t="shared" si="44"/>
        <v>4.1836550813494343E-4</v>
      </c>
      <c r="J2868" s="33"/>
    </row>
    <row r="2869" spans="1:10">
      <c r="A2869" s="33" t="s">
        <v>133</v>
      </c>
      <c r="B2869" s="34">
        <v>379.08199999999999</v>
      </c>
      <c r="C2869" s="35">
        <v>94893.1</v>
      </c>
      <c r="D2869" s="33" t="s">
        <v>284</v>
      </c>
      <c r="E2869" s="34">
        <v>379.01100000000002</v>
      </c>
      <c r="F2869" s="36">
        <v>7.0999999999969504E-2</v>
      </c>
      <c r="G2869" s="34">
        <v>7.0999999999969504E-2</v>
      </c>
      <c r="H2869" s="35">
        <v>7.2</v>
      </c>
      <c r="I2869" s="37">
        <f t="shared" si="44"/>
        <v>7.5874852860745404E-5</v>
      </c>
      <c r="J2869" s="33"/>
    </row>
    <row r="2870" spans="1:10">
      <c r="A2870" s="33" t="s">
        <v>133</v>
      </c>
      <c r="B2870" s="34">
        <v>379.08199999999999</v>
      </c>
      <c r="C2870" s="35">
        <v>94893.1</v>
      </c>
      <c r="D2870" s="33" t="s">
        <v>273</v>
      </c>
      <c r="E2870" s="34">
        <v>379.01299999999998</v>
      </c>
      <c r="F2870" s="36">
        <v>6.9000000000016798E-2</v>
      </c>
      <c r="G2870" s="34">
        <v>6.9000000000016798E-2</v>
      </c>
      <c r="H2870" s="35">
        <v>476.7</v>
      </c>
      <c r="I2870" s="37">
        <f t="shared" si="44"/>
        <v>5.0235475498218518E-3</v>
      </c>
      <c r="J2870" s="33"/>
    </row>
    <row r="2871" spans="1:10">
      <c r="A2871" s="33" t="s">
        <v>133</v>
      </c>
      <c r="B2871" s="34">
        <v>379.08199999999999</v>
      </c>
      <c r="C2871" s="35">
        <v>94893.1</v>
      </c>
      <c r="D2871" s="33" t="s">
        <v>240</v>
      </c>
      <c r="E2871" s="34">
        <v>379.02100000000002</v>
      </c>
      <c r="F2871" s="36">
        <v>6.0999999999978599E-2</v>
      </c>
      <c r="G2871" s="34">
        <v>6.0999999999978599E-2</v>
      </c>
      <c r="H2871" s="35">
        <v>122</v>
      </c>
      <c r="I2871" s="37">
        <f t="shared" si="44"/>
        <v>1.285657229029297E-3</v>
      </c>
      <c r="J2871" s="33"/>
    </row>
    <row r="2872" spans="1:10">
      <c r="A2872" s="33" t="s">
        <v>133</v>
      </c>
      <c r="B2872" s="34">
        <v>379.08199999999999</v>
      </c>
      <c r="C2872" s="35">
        <v>94893.1</v>
      </c>
      <c r="D2872" s="33" t="s">
        <v>277</v>
      </c>
      <c r="E2872" s="34">
        <v>379.02100000000002</v>
      </c>
      <c r="F2872" s="36">
        <v>6.0999999999978599E-2</v>
      </c>
      <c r="G2872" s="34">
        <v>6.0999999999978599E-2</v>
      </c>
      <c r="H2872" s="35">
        <v>275.89999999999998</v>
      </c>
      <c r="I2872" s="37">
        <f t="shared" si="44"/>
        <v>2.90748220892773E-3</v>
      </c>
      <c r="J2872" s="33"/>
    </row>
    <row r="2873" spans="1:10">
      <c r="A2873" s="33" t="s">
        <v>133</v>
      </c>
      <c r="B2873" s="34">
        <v>379.08199999999999</v>
      </c>
      <c r="C2873" s="35">
        <v>94893.1</v>
      </c>
      <c r="D2873" s="33" t="s">
        <v>25</v>
      </c>
      <c r="E2873" s="34">
        <v>379.03399999999999</v>
      </c>
      <c r="F2873" s="36">
        <v>4.8000000000001798E-2</v>
      </c>
      <c r="G2873" s="34">
        <v>4.8000000000001798E-2</v>
      </c>
      <c r="H2873" s="35">
        <v>255.2</v>
      </c>
      <c r="I2873" s="37">
        <f t="shared" si="44"/>
        <v>2.6893420069530869E-3</v>
      </c>
      <c r="J2873" s="33" t="s">
        <v>116</v>
      </c>
    </row>
    <row r="2874" spans="1:10">
      <c r="A2874" s="33" t="s">
        <v>133</v>
      </c>
      <c r="B2874" s="34">
        <v>379.08199999999999</v>
      </c>
      <c r="C2874" s="35">
        <v>94893.1</v>
      </c>
      <c r="D2874" s="33" t="s">
        <v>282</v>
      </c>
      <c r="E2874" s="34">
        <v>379.04300000000001</v>
      </c>
      <c r="F2874" s="36">
        <v>3.8999999999987302E-2</v>
      </c>
      <c r="G2874" s="34">
        <v>3.8999999999987302E-2</v>
      </c>
      <c r="H2874" s="35">
        <v>29</v>
      </c>
      <c r="I2874" s="37">
        <f t="shared" si="44"/>
        <v>3.0560704624466896E-4</v>
      </c>
      <c r="J2874" s="33"/>
    </row>
    <row r="2875" spans="1:10">
      <c r="A2875" s="33" t="s">
        <v>133</v>
      </c>
      <c r="B2875" s="34">
        <v>379.08199999999999</v>
      </c>
      <c r="C2875" s="35">
        <v>94893.1</v>
      </c>
      <c r="D2875" s="33" t="s">
        <v>239</v>
      </c>
      <c r="E2875" s="34">
        <v>379.04399999999998</v>
      </c>
      <c r="F2875" s="36">
        <v>3.80000000000109E-2</v>
      </c>
      <c r="G2875" s="34">
        <v>3.80000000000109E-2</v>
      </c>
      <c r="H2875" s="35">
        <v>24.3</v>
      </c>
      <c r="I2875" s="37">
        <f t="shared" si="44"/>
        <v>2.5607762840501575E-4</v>
      </c>
      <c r="J2875" s="33"/>
    </row>
    <row r="2876" spans="1:10">
      <c r="A2876" s="33" t="s">
        <v>133</v>
      </c>
      <c r="B2876" s="34">
        <v>379.08199999999999</v>
      </c>
      <c r="C2876" s="35">
        <v>94893.1</v>
      </c>
      <c r="D2876" s="33" t="s">
        <v>278</v>
      </c>
      <c r="E2876" s="34">
        <v>379.04599999999999</v>
      </c>
      <c r="F2876" s="36">
        <v>3.6000000000001399E-2</v>
      </c>
      <c r="G2876" s="34">
        <v>3.6000000000001399E-2</v>
      </c>
      <c r="H2876" s="35">
        <v>270.3</v>
      </c>
      <c r="I2876" s="37">
        <f t="shared" si="44"/>
        <v>2.848468434480484E-3</v>
      </c>
      <c r="J2876" s="33"/>
    </row>
    <row r="2877" spans="1:10">
      <c r="A2877" s="33" t="s">
        <v>133</v>
      </c>
      <c r="B2877" s="34">
        <v>379.08199999999999</v>
      </c>
      <c r="C2877" s="35">
        <v>94893.1</v>
      </c>
      <c r="D2877" s="33" t="s">
        <v>268</v>
      </c>
      <c r="E2877" s="34">
        <v>379.05200000000002</v>
      </c>
      <c r="F2877" s="36">
        <v>2.9999999999972701E-2</v>
      </c>
      <c r="G2877" s="34">
        <v>2.9999999999972701E-2</v>
      </c>
      <c r="H2877" s="35">
        <v>1879</v>
      </c>
      <c r="I2877" s="37">
        <f t="shared" si="44"/>
        <v>1.9801228961852862E-2</v>
      </c>
      <c r="J2877" s="33"/>
    </row>
    <row r="2878" spans="1:10">
      <c r="A2878" s="33" t="s">
        <v>133</v>
      </c>
      <c r="B2878" s="34">
        <v>379.08199999999999</v>
      </c>
      <c r="C2878" s="35">
        <v>94893.1</v>
      </c>
      <c r="D2878" s="33" t="s">
        <v>36</v>
      </c>
      <c r="E2878" s="34">
        <v>379.065</v>
      </c>
      <c r="F2878" s="36">
        <v>1.7000000000000001E-2</v>
      </c>
      <c r="G2878" s="34">
        <v>1.7000000000000001E-2</v>
      </c>
      <c r="H2878" s="35">
        <v>929.6</v>
      </c>
      <c r="I2878" s="37">
        <f t="shared" si="44"/>
        <v>9.7962865582429063E-3</v>
      </c>
      <c r="J2878" s="33" t="s">
        <v>116</v>
      </c>
    </row>
    <row r="2879" spans="1:10">
      <c r="A2879" s="33" t="s">
        <v>133</v>
      </c>
      <c r="B2879" s="34">
        <v>379.08199999999999</v>
      </c>
      <c r="C2879" s="35">
        <v>94893.1</v>
      </c>
      <c r="D2879" s="33" t="s">
        <v>284</v>
      </c>
      <c r="E2879" s="34">
        <v>379.072</v>
      </c>
      <c r="F2879" s="36">
        <v>9.9999999999909103E-3</v>
      </c>
      <c r="G2879" s="34">
        <v>9.9999999999909103E-3</v>
      </c>
      <c r="H2879" s="35">
        <v>17</v>
      </c>
      <c r="I2879" s="37">
        <f t="shared" si="44"/>
        <v>1.7914895814342665E-4</v>
      </c>
      <c r="J2879" s="33"/>
    </row>
    <row r="2880" spans="1:10">
      <c r="A2880" s="33" t="s">
        <v>133</v>
      </c>
      <c r="B2880" s="34">
        <v>379.08199999999999</v>
      </c>
      <c r="C2880" s="35">
        <v>94893.1</v>
      </c>
      <c r="D2880" s="33" t="s">
        <v>271</v>
      </c>
      <c r="E2880" s="34">
        <v>379.07900000000001</v>
      </c>
      <c r="F2880" s="36">
        <v>2.9999999999858998E-3</v>
      </c>
      <c r="G2880" s="34">
        <v>2.9999999999858998E-3</v>
      </c>
      <c r="H2880" s="35">
        <v>38.299999999999997</v>
      </c>
      <c r="I2880" s="37">
        <f t="shared" si="44"/>
        <v>4.0361206452313176E-4</v>
      </c>
      <c r="J2880" s="33"/>
    </row>
    <row r="2881" spans="1:10">
      <c r="A2881" s="33" t="s">
        <v>133</v>
      </c>
      <c r="B2881" s="34">
        <v>379.08199999999999</v>
      </c>
      <c r="C2881" s="35">
        <v>94893.1</v>
      </c>
      <c r="D2881" s="33" t="s">
        <v>25</v>
      </c>
      <c r="E2881" s="34">
        <v>379.08800000000002</v>
      </c>
      <c r="F2881" s="36">
        <v>6.00000000002865E-3</v>
      </c>
      <c r="G2881" s="34">
        <v>6.00000000002865E-3</v>
      </c>
      <c r="H2881" s="35">
        <v>320.3</v>
      </c>
      <c r="I2881" s="37">
        <f t="shared" si="44"/>
        <v>3.3753771349023269E-3</v>
      </c>
      <c r="J2881" s="33" t="s">
        <v>116</v>
      </c>
    </row>
    <row r="2882" spans="1:10">
      <c r="A2882" s="33" t="s">
        <v>133</v>
      </c>
      <c r="B2882" s="34">
        <v>379.08199999999999</v>
      </c>
      <c r="C2882" s="35">
        <v>94893.1</v>
      </c>
      <c r="D2882" s="33" t="s">
        <v>36</v>
      </c>
      <c r="E2882" s="34">
        <v>379.11700000000002</v>
      </c>
      <c r="F2882" s="36">
        <v>3.5000000000000003E-2</v>
      </c>
      <c r="G2882" s="34">
        <v>3.5000000000000003E-2</v>
      </c>
      <c r="H2882" s="35">
        <v>4905.3</v>
      </c>
      <c r="I2882" s="37">
        <f t="shared" ref="I2882:I2945" si="45">H2882/C2882</f>
        <v>5.1692904963585341E-2</v>
      </c>
      <c r="J2882" s="33" t="s">
        <v>116</v>
      </c>
    </row>
    <row r="2883" spans="1:10">
      <c r="A2883" s="33" t="s">
        <v>133</v>
      </c>
      <c r="B2883" s="34">
        <v>379.08199999999999</v>
      </c>
      <c r="C2883" s="35">
        <v>94893.1</v>
      </c>
      <c r="D2883" s="33" t="s">
        <v>273</v>
      </c>
      <c r="E2883" s="34">
        <v>379.12</v>
      </c>
      <c r="F2883" s="36">
        <v>3.80000000000109E-2</v>
      </c>
      <c r="G2883" s="34">
        <v>3.80000000000109E-2</v>
      </c>
      <c r="H2883" s="35">
        <v>1201.4000000000001</v>
      </c>
      <c r="I2883" s="37">
        <f t="shared" si="45"/>
        <v>1.2660562253736046E-2</v>
      </c>
      <c r="J2883" s="33"/>
    </row>
    <row r="2884" spans="1:10">
      <c r="A2884" s="33" t="s">
        <v>133</v>
      </c>
      <c r="B2884" s="34">
        <v>379.08199999999999</v>
      </c>
      <c r="C2884" s="35">
        <v>94893.1</v>
      </c>
      <c r="D2884" s="33" t="s">
        <v>271</v>
      </c>
      <c r="E2884" s="34">
        <v>379.13</v>
      </c>
      <c r="F2884" s="36">
        <v>4.8000000000001798E-2</v>
      </c>
      <c r="G2884" s="34">
        <v>4.8000000000001798E-2</v>
      </c>
      <c r="H2884" s="35">
        <v>52.7</v>
      </c>
      <c r="I2884" s="37">
        <f t="shared" si="45"/>
        <v>5.5536177024462262E-4</v>
      </c>
      <c r="J2884" s="33"/>
    </row>
    <row r="2885" spans="1:10">
      <c r="A2885" s="33" t="s">
        <v>133</v>
      </c>
      <c r="B2885" s="34">
        <v>379.08199999999999</v>
      </c>
      <c r="C2885" s="35">
        <v>94893.1</v>
      </c>
      <c r="D2885" s="33" t="s">
        <v>239</v>
      </c>
      <c r="E2885" s="34">
        <v>379.137</v>
      </c>
      <c r="F2885" s="36">
        <v>5.50000000000068E-2</v>
      </c>
      <c r="G2885" s="34">
        <v>5.50000000000068E-2</v>
      </c>
      <c r="H2885" s="35">
        <v>37.1</v>
      </c>
      <c r="I2885" s="37">
        <f t="shared" si="45"/>
        <v>3.909662557130076E-4</v>
      </c>
      <c r="J2885" s="33"/>
    </row>
    <row r="2886" spans="1:10">
      <c r="A2886" s="33" t="s">
        <v>133</v>
      </c>
      <c r="B2886" s="34">
        <v>379.08199999999999</v>
      </c>
      <c r="C2886" s="35">
        <v>94893.1</v>
      </c>
      <c r="D2886" s="33" t="s">
        <v>236</v>
      </c>
      <c r="E2886" s="34">
        <v>379.14</v>
      </c>
      <c r="F2886" s="36">
        <v>5.7999999999992703E-2</v>
      </c>
      <c r="G2886" s="34">
        <v>5.7999999999992703E-2</v>
      </c>
      <c r="H2886" s="35">
        <v>347.6</v>
      </c>
      <c r="I2886" s="37">
        <f t="shared" si="45"/>
        <v>3.6630692853326535E-3</v>
      </c>
      <c r="J2886" s="33"/>
    </row>
    <row r="2887" spans="1:10">
      <c r="A2887" s="33" t="s">
        <v>133</v>
      </c>
      <c r="B2887" s="34">
        <v>379.08199999999999</v>
      </c>
      <c r="C2887" s="35">
        <v>94893.1</v>
      </c>
      <c r="D2887" s="33" t="s">
        <v>280</v>
      </c>
      <c r="E2887" s="34">
        <v>379.15100000000001</v>
      </c>
      <c r="F2887" s="36">
        <v>6.9000000000016798E-2</v>
      </c>
      <c r="G2887" s="34">
        <v>6.9000000000016798E-2</v>
      </c>
      <c r="H2887" s="35">
        <v>300.10000000000002</v>
      </c>
      <c r="I2887" s="37">
        <f t="shared" si="45"/>
        <v>3.1625060199319023E-3</v>
      </c>
      <c r="J2887" s="33"/>
    </row>
    <row r="2888" spans="1:10">
      <c r="A2888" s="33" t="s">
        <v>133</v>
      </c>
      <c r="B2888" s="34">
        <v>379.08199999999999</v>
      </c>
      <c r="C2888" s="35">
        <v>94893.1</v>
      </c>
      <c r="D2888" s="33" t="s">
        <v>25</v>
      </c>
      <c r="E2888" s="34">
        <v>379.16800000000001</v>
      </c>
      <c r="F2888" s="36">
        <v>8.6000000000012705E-2</v>
      </c>
      <c r="G2888" s="34">
        <v>8.6000000000012705E-2</v>
      </c>
      <c r="H2888" s="35">
        <v>533.79999999999995</v>
      </c>
      <c r="I2888" s="37">
        <f t="shared" si="45"/>
        <v>5.6252772857035959E-3</v>
      </c>
      <c r="J2888" s="33" t="s">
        <v>116</v>
      </c>
    </row>
    <row r="2889" spans="1:10">
      <c r="A2889" s="33" t="s">
        <v>133</v>
      </c>
      <c r="B2889" s="34">
        <v>379.08199999999999</v>
      </c>
      <c r="C2889" s="35">
        <v>94893.1</v>
      </c>
      <c r="D2889" s="33" t="s">
        <v>36</v>
      </c>
      <c r="E2889" s="34">
        <v>379.17200000000003</v>
      </c>
      <c r="F2889" s="36">
        <v>0.09</v>
      </c>
      <c r="G2889" s="34">
        <v>0.09</v>
      </c>
      <c r="H2889" s="35">
        <v>496</v>
      </c>
      <c r="I2889" s="37">
        <f t="shared" si="45"/>
        <v>5.2269343081846834E-3</v>
      </c>
      <c r="J2889" s="33" t="s">
        <v>116</v>
      </c>
    </row>
    <row r="2890" spans="1:10">
      <c r="A2890" s="33" t="s">
        <v>133</v>
      </c>
      <c r="B2890" s="34">
        <v>379.08199999999999</v>
      </c>
      <c r="C2890" s="35">
        <v>94893.1</v>
      </c>
      <c r="D2890" s="33" t="s">
        <v>97</v>
      </c>
      <c r="E2890" s="34">
        <v>379.17399999999998</v>
      </c>
      <c r="F2890" s="36">
        <v>9.1999999999984497E-2</v>
      </c>
      <c r="G2890" s="34">
        <v>9.1999999999984497E-2</v>
      </c>
      <c r="H2890" s="35">
        <v>11</v>
      </c>
      <c r="I2890" s="37">
        <f t="shared" si="45"/>
        <v>1.1591991409280548E-4</v>
      </c>
      <c r="J2890" s="33"/>
    </row>
    <row r="2891" spans="1:10">
      <c r="A2891" s="33" t="s">
        <v>133</v>
      </c>
      <c r="B2891" s="34">
        <v>379.08199999999999</v>
      </c>
      <c r="C2891" s="35">
        <v>94893.1</v>
      </c>
      <c r="D2891" s="33" t="s">
        <v>63</v>
      </c>
      <c r="E2891" s="34">
        <v>379.17399999999998</v>
      </c>
      <c r="F2891" s="36">
        <v>9.1999999999984497E-2</v>
      </c>
      <c r="G2891" s="34">
        <v>9.1999999999984497E-2</v>
      </c>
      <c r="H2891" s="35">
        <v>31</v>
      </c>
      <c r="I2891" s="37">
        <f t="shared" si="45"/>
        <v>3.2668339426154271E-4</v>
      </c>
      <c r="J2891" s="33" t="s">
        <v>116</v>
      </c>
    </row>
    <row r="2892" spans="1:10">
      <c r="A2892" s="33" t="s">
        <v>133</v>
      </c>
      <c r="B2892" s="34">
        <v>379.08199999999999</v>
      </c>
      <c r="C2892" s="35">
        <v>94893.1</v>
      </c>
      <c r="D2892" s="33" t="s">
        <v>84</v>
      </c>
      <c r="E2892" s="34">
        <v>379.18299999999999</v>
      </c>
      <c r="F2892" s="36">
        <v>0.10100000000000001</v>
      </c>
      <c r="G2892" s="34">
        <v>0.10100000000000001</v>
      </c>
      <c r="H2892" s="35">
        <v>45107</v>
      </c>
      <c r="I2892" s="37">
        <f t="shared" si="45"/>
        <v>0.47534541499856153</v>
      </c>
      <c r="J2892" s="33" t="s">
        <v>116</v>
      </c>
    </row>
    <row r="2893" spans="1:10">
      <c r="A2893" s="33" t="s">
        <v>133</v>
      </c>
      <c r="B2893" s="34">
        <v>379.08199999999999</v>
      </c>
      <c r="C2893" s="35">
        <v>94893.1</v>
      </c>
      <c r="D2893" s="33" t="s">
        <v>33</v>
      </c>
      <c r="E2893" s="34">
        <v>379.18700000000001</v>
      </c>
      <c r="F2893" s="36">
        <v>0.105000000000018</v>
      </c>
      <c r="G2893" s="34">
        <v>0.105000000000018</v>
      </c>
      <c r="H2893" s="35">
        <v>2059.6999999999998</v>
      </c>
      <c r="I2893" s="37">
        <f t="shared" si="45"/>
        <v>2.1705477005177401E-2</v>
      </c>
      <c r="J2893" s="33" t="s">
        <v>116</v>
      </c>
    </row>
    <row r="2894" spans="1:10">
      <c r="A2894" s="33" t="s">
        <v>133</v>
      </c>
      <c r="B2894" s="34">
        <v>379.08199999999999</v>
      </c>
      <c r="C2894" s="35">
        <v>94893.1</v>
      </c>
      <c r="D2894" s="33" t="s">
        <v>270</v>
      </c>
      <c r="E2894" s="34">
        <v>379.202</v>
      </c>
      <c r="F2894" s="36">
        <v>0.12000000000000501</v>
      </c>
      <c r="G2894" s="34">
        <v>0.12000000000000501</v>
      </c>
      <c r="H2894" s="35">
        <v>1282.5999999999999</v>
      </c>
      <c r="I2894" s="37">
        <f t="shared" si="45"/>
        <v>1.3516261983221117E-2</v>
      </c>
      <c r="J2894" s="33"/>
    </row>
    <row r="2895" spans="1:10">
      <c r="A2895" s="33" t="s">
        <v>133</v>
      </c>
      <c r="B2895" s="34">
        <v>379.08199999999999</v>
      </c>
      <c r="C2895" s="35">
        <v>94893.1</v>
      </c>
      <c r="D2895" s="33" t="s">
        <v>193</v>
      </c>
      <c r="E2895" s="34">
        <v>379.202</v>
      </c>
      <c r="F2895" s="36">
        <v>0.12000000000000501</v>
      </c>
      <c r="G2895" s="34">
        <v>0.12000000000000501</v>
      </c>
      <c r="H2895" s="35">
        <v>30.6</v>
      </c>
      <c r="I2895" s="37">
        <f t="shared" si="45"/>
        <v>3.2246812465816797E-4</v>
      </c>
      <c r="J2895" s="33"/>
    </row>
    <row r="2896" spans="1:10">
      <c r="A2896" s="33" t="s">
        <v>133</v>
      </c>
      <c r="B2896" s="34">
        <v>379.08199999999999</v>
      </c>
      <c r="C2896" s="35">
        <v>94893.1</v>
      </c>
      <c r="D2896" s="33" t="s">
        <v>288</v>
      </c>
      <c r="E2896" s="34">
        <v>379.21300000000002</v>
      </c>
      <c r="F2896" s="36">
        <v>0.13100000000002901</v>
      </c>
      <c r="G2896" s="34">
        <v>0.13100000000002901</v>
      </c>
      <c r="H2896" s="35">
        <v>21</v>
      </c>
      <c r="I2896" s="37">
        <f t="shared" si="45"/>
        <v>2.213016541771741E-4</v>
      </c>
      <c r="J2896" s="33"/>
    </row>
    <row r="2897" spans="1:10">
      <c r="A2897" s="33" t="s">
        <v>133</v>
      </c>
      <c r="B2897" s="34">
        <v>379.08199999999999</v>
      </c>
      <c r="C2897" s="35">
        <v>94893.1</v>
      </c>
      <c r="D2897" s="33" t="s">
        <v>239</v>
      </c>
      <c r="E2897" s="34">
        <v>379.214</v>
      </c>
      <c r="F2897" s="36">
        <v>0.132000000000005</v>
      </c>
      <c r="G2897" s="34">
        <v>0.132000000000005</v>
      </c>
      <c r="H2897" s="35">
        <v>37.799999999999997</v>
      </c>
      <c r="I2897" s="37">
        <f t="shared" si="45"/>
        <v>3.9834297751891335E-4</v>
      </c>
      <c r="J2897" s="33"/>
    </row>
    <row r="2898" spans="1:10">
      <c r="A2898" s="33" t="s">
        <v>133</v>
      </c>
      <c r="B2898" s="34">
        <v>379.08199999999999</v>
      </c>
      <c r="C2898" s="35">
        <v>94893.1</v>
      </c>
      <c r="D2898" s="33" t="s">
        <v>282</v>
      </c>
      <c r="E2898" s="34">
        <v>379.21800000000002</v>
      </c>
      <c r="F2898" s="36">
        <v>0.13600000000002399</v>
      </c>
      <c r="G2898" s="34">
        <v>0.13600000000002399</v>
      </c>
      <c r="H2898" s="35">
        <v>34.9</v>
      </c>
      <c r="I2898" s="37">
        <f t="shared" si="45"/>
        <v>3.6778227289444644E-4</v>
      </c>
      <c r="J2898" s="33"/>
    </row>
    <row r="2899" spans="1:10">
      <c r="A2899" s="33" t="s">
        <v>133</v>
      </c>
      <c r="B2899" s="34">
        <v>379.08199999999999</v>
      </c>
      <c r="C2899" s="35">
        <v>94893.1</v>
      </c>
      <c r="D2899" s="33" t="s">
        <v>201</v>
      </c>
      <c r="E2899" s="34">
        <v>379.22</v>
      </c>
      <c r="F2899" s="36">
        <v>0.13800000000003401</v>
      </c>
      <c r="G2899" s="34">
        <v>0.13800000000003401</v>
      </c>
      <c r="H2899" s="35">
        <v>1298.2</v>
      </c>
      <c r="I2899" s="37">
        <f t="shared" si="45"/>
        <v>1.3680657497752734E-2</v>
      </c>
      <c r="J2899" s="33"/>
    </row>
    <row r="2900" spans="1:10">
      <c r="A2900" s="33" t="s">
        <v>133</v>
      </c>
      <c r="B2900" s="34">
        <v>379.47699999999998</v>
      </c>
      <c r="C2900" s="35">
        <v>109629.6</v>
      </c>
      <c r="D2900" s="33" t="s">
        <v>277</v>
      </c>
      <c r="E2900" s="34">
        <v>379.35700000000003</v>
      </c>
      <c r="F2900" s="36">
        <v>0.119999999999948</v>
      </c>
      <c r="G2900" s="34">
        <v>0.119999999999948</v>
      </c>
      <c r="H2900" s="35">
        <v>310.8</v>
      </c>
      <c r="I2900" s="37">
        <f t="shared" si="45"/>
        <v>2.8350007662164231E-3</v>
      </c>
      <c r="J2900" s="33"/>
    </row>
    <row r="2901" spans="1:10">
      <c r="A2901" s="33" t="s">
        <v>133</v>
      </c>
      <c r="B2901" s="34">
        <v>379.47699999999998</v>
      </c>
      <c r="C2901" s="35">
        <v>109629.6</v>
      </c>
      <c r="D2901" s="33" t="s">
        <v>165</v>
      </c>
      <c r="E2901" s="34">
        <v>379.36</v>
      </c>
      <c r="F2901" s="36">
        <v>0.116999999999962</v>
      </c>
      <c r="G2901" s="34">
        <v>0.116999999999962</v>
      </c>
      <c r="H2901" s="35">
        <v>12.2</v>
      </c>
      <c r="I2901" s="37">
        <f t="shared" si="45"/>
        <v>1.1128381386049022E-4</v>
      </c>
      <c r="J2901" s="33"/>
    </row>
    <row r="2902" spans="1:10">
      <c r="A2902" s="33" t="s">
        <v>133</v>
      </c>
      <c r="B2902" s="34">
        <v>379.47699999999998</v>
      </c>
      <c r="C2902" s="35">
        <v>109629.6</v>
      </c>
      <c r="D2902" s="33" t="s">
        <v>275</v>
      </c>
      <c r="E2902" s="34">
        <v>379.36200000000002</v>
      </c>
      <c r="F2902" s="36">
        <v>0.114999999999952</v>
      </c>
      <c r="G2902" s="34">
        <v>0.114999999999952</v>
      </c>
      <c r="H2902" s="35">
        <v>14.2</v>
      </c>
      <c r="I2902" s="37">
        <f t="shared" si="45"/>
        <v>1.2952706203434107E-4</v>
      </c>
      <c r="J2902" s="33"/>
    </row>
    <row r="2903" spans="1:10">
      <c r="A2903" s="33" t="s">
        <v>133</v>
      </c>
      <c r="B2903" s="34">
        <v>379.47699999999998</v>
      </c>
      <c r="C2903" s="35">
        <v>109629.6</v>
      </c>
      <c r="D2903" s="33" t="s">
        <v>278</v>
      </c>
      <c r="E2903" s="34">
        <v>379.37099999999998</v>
      </c>
      <c r="F2903" s="36">
        <v>0.105999999999995</v>
      </c>
      <c r="G2903" s="34">
        <v>0.105999999999995</v>
      </c>
      <c r="H2903" s="35">
        <v>31.8</v>
      </c>
      <c r="I2903" s="37">
        <f t="shared" si="45"/>
        <v>2.9006764596422864E-4</v>
      </c>
      <c r="J2903" s="33"/>
    </row>
    <row r="2904" spans="1:10">
      <c r="A2904" s="33" t="s">
        <v>133</v>
      </c>
      <c r="B2904" s="34">
        <v>379.47699999999998</v>
      </c>
      <c r="C2904" s="35">
        <v>109629.6</v>
      </c>
      <c r="D2904" s="33" t="s">
        <v>290</v>
      </c>
      <c r="E2904" s="34">
        <v>379.37900000000002</v>
      </c>
      <c r="F2904" s="36">
        <v>9.7999999999956303E-2</v>
      </c>
      <c r="G2904" s="34">
        <v>9.7999999999956303E-2</v>
      </c>
      <c r="H2904" s="35">
        <v>16.600000000000001</v>
      </c>
      <c r="I2904" s="37">
        <f t="shared" si="45"/>
        <v>1.5141895984296212E-4</v>
      </c>
      <c r="J2904" s="33"/>
    </row>
    <row r="2905" spans="1:10">
      <c r="A2905" s="33" t="s">
        <v>133</v>
      </c>
      <c r="B2905" s="34">
        <v>379.47699999999998</v>
      </c>
      <c r="C2905" s="35">
        <v>109629.6</v>
      </c>
      <c r="D2905" s="33" t="s">
        <v>239</v>
      </c>
      <c r="E2905" s="34">
        <v>379.387</v>
      </c>
      <c r="F2905" s="36">
        <v>8.9999999999975003E-2</v>
      </c>
      <c r="G2905" s="34">
        <v>8.9999999999975003E-2</v>
      </c>
      <c r="H2905" s="35">
        <v>35.700000000000003</v>
      </c>
      <c r="I2905" s="37">
        <f t="shared" si="45"/>
        <v>3.2564197990323781E-4</v>
      </c>
      <c r="J2905" s="33"/>
    </row>
    <row r="2906" spans="1:10">
      <c r="A2906" s="33" t="s">
        <v>133</v>
      </c>
      <c r="B2906" s="34">
        <v>379.47699999999998</v>
      </c>
      <c r="C2906" s="35">
        <v>109629.6</v>
      </c>
      <c r="D2906" s="33" t="s">
        <v>284</v>
      </c>
      <c r="E2906" s="34">
        <v>379.39100000000002</v>
      </c>
      <c r="F2906" s="36">
        <v>8.5999999999955903E-2</v>
      </c>
      <c r="G2906" s="34">
        <v>8.5999999999955903E-2</v>
      </c>
      <c r="H2906" s="35">
        <v>9.6999999999999993</v>
      </c>
      <c r="I2906" s="37">
        <f t="shared" si="45"/>
        <v>8.8479753643176651E-5</v>
      </c>
      <c r="J2906" s="33"/>
    </row>
    <row r="2907" spans="1:10">
      <c r="A2907" s="33" t="s">
        <v>133</v>
      </c>
      <c r="B2907" s="34">
        <v>379.47699999999998</v>
      </c>
      <c r="C2907" s="35">
        <v>109629.6</v>
      </c>
      <c r="D2907" s="33" t="s">
        <v>277</v>
      </c>
      <c r="E2907" s="34">
        <v>379.39699999999999</v>
      </c>
      <c r="F2907" s="36">
        <v>7.9999999999984098E-2</v>
      </c>
      <c r="G2907" s="34">
        <v>7.9999999999984098E-2</v>
      </c>
      <c r="H2907" s="35">
        <v>224.1</v>
      </c>
      <c r="I2907" s="37">
        <f t="shared" si="45"/>
        <v>2.0441559578799886E-3</v>
      </c>
      <c r="J2907" s="33"/>
    </row>
    <row r="2908" spans="1:10">
      <c r="A2908" s="33" t="s">
        <v>133</v>
      </c>
      <c r="B2908" s="34">
        <v>379.47699999999998</v>
      </c>
      <c r="C2908" s="35">
        <v>109629.6</v>
      </c>
      <c r="D2908" s="33" t="s">
        <v>270</v>
      </c>
      <c r="E2908" s="34">
        <v>379.39800000000002</v>
      </c>
      <c r="F2908" s="36">
        <v>7.8999999999950901E-2</v>
      </c>
      <c r="G2908" s="34">
        <v>7.8999999999950901E-2</v>
      </c>
      <c r="H2908" s="35">
        <v>6496.9</v>
      </c>
      <c r="I2908" s="37">
        <f t="shared" si="45"/>
        <v>5.926227953034581E-2</v>
      </c>
      <c r="J2908" s="33"/>
    </row>
    <row r="2909" spans="1:10">
      <c r="A2909" s="33" t="s">
        <v>133</v>
      </c>
      <c r="B2909" s="34">
        <v>379.47699999999998</v>
      </c>
      <c r="C2909" s="35">
        <v>109629.6</v>
      </c>
      <c r="D2909" s="33" t="s">
        <v>290</v>
      </c>
      <c r="E2909" s="34">
        <v>379.40499999999997</v>
      </c>
      <c r="F2909" s="36">
        <v>7.2000000000002701E-2</v>
      </c>
      <c r="G2909" s="34">
        <v>7.2000000000002701E-2</v>
      </c>
      <c r="H2909" s="35">
        <v>10.6</v>
      </c>
      <c r="I2909" s="37">
        <f t="shared" si="45"/>
        <v>9.6689215321409542E-5</v>
      </c>
      <c r="J2909" s="33"/>
    </row>
    <row r="2910" spans="1:10">
      <c r="A2910" s="33" t="s">
        <v>133</v>
      </c>
      <c r="B2910" s="34">
        <v>379.47699999999998</v>
      </c>
      <c r="C2910" s="35">
        <v>109629.6</v>
      </c>
      <c r="D2910" s="33" t="s">
        <v>271</v>
      </c>
      <c r="E2910" s="34">
        <v>379.41500000000002</v>
      </c>
      <c r="F2910" s="36">
        <v>6.1999999999955001E-2</v>
      </c>
      <c r="G2910" s="34">
        <v>6.1999999999955001E-2</v>
      </c>
      <c r="H2910" s="35">
        <v>816</v>
      </c>
      <c r="I2910" s="37">
        <f t="shared" si="45"/>
        <v>7.4432452549311494E-3</v>
      </c>
      <c r="J2910" s="33"/>
    </row>
    <row r="2911" spans="1:10">
      <c r="A2911" s="33" t="s">
        <v>133</v>
      </c>
      <c r="B2911" s="34">
        <v>379.47699999999998</v>
      </c>
      <c r="C2911" s="35">
        <v>109629.6</v>
      </c>
      <c r="D2911" s="33" t="s">
        <v>54</v>
      </c>
      <c r="E2911" s="34">
        <v>379.41699999999997</v>
      </c>
      <c r="F2911" s="36">
        <v>6.0000000000002301E-2</v>
      </c>
      <c r="G2911" s="34">
        <v>6.0000000000002301E-2</v>
      </c>
      <c r="H2911" s="35">
        <v>1.8</v>
      </c>
      <c r="I2911" s="37">
        <f t="shared" si="45"/>
        <v>1.6418923356465772E-5</v>
      </c>
      <c r="J2911" s="33"/>
    </row>
    <row r="2912" spans="1:10">
      <c r="A2912" s="33" t="s">
        <v>133</v>
      </c>
      <c r="B2912" s="34">
        <v>379.47699999999998</v>
      </c>
      <c r="C2912" s="35">
        <v>109629.6</v>
      </c>
      <c r="D2912" s="33" t="s">
        <v>25</v>
      </c>
      <c r="E2912" s="34">
        <v>379.42099999999999</v>
      </c>
      <c r="F2912" s="36">
        <v>5.5999999999983202E-2</v>
      </c>
      <c r="G2912" s="34">
        <v>5.5999999999983202E-2</v>
      </c>
      <c r="H2912" s="35">
        <v>178.2</v>
      </c>
      <c r="I2912" s="37">
        <f t="shared" si="45"/>
        <v>1.6254734122901112E-3</v>
      </c>
      <c r="J2912" s="33" t="s">
        <v>116</v>
      </c>
    </row>
    <row r="2913" spans="1:10">
      <c r="A2913" s="33" t="s">
        <v>133</v>
      </c>
      <c r="B2913" s="34">
        <v>379.47699999999998</v>
      </c>
      <c r="C2913" s="35">
        <v>109629.6</v>
      </c>
      <c r="D2913" s="33" t="s">
        <v>97</v>
      </c>
      <c r="E2913" s="34">
        <v>379.43299999999999</v>
      </c>
      <c r="F2913" s="36">
        <v>4.3999999999982699E-2</v>
      </c>
      <c r="G2913" s="34">
        <v>4.3999999999982699E-2</v>
      </c>
      <c r="H2913" s="35">
        <v>15.5</v>
      </c>
      <c r="I2913" s="37">
        <f t="shared" si="45"/>
        <v>1.4138517334734413E-4</v>
      </c>
      <c r="J2913" s="33"/>
    </row>
    <row r="2914" spans="1:10">
      <c r="A2914" s="33" t="s">
        <v>133</v>
      </c>
      <c r="B2914" s="34">
        <v>379.47699999999998</v>
      </c>
      <c r="C2914" s="35">
        <v>109629.6</v>
      </c>
      <c r="D2914" s="33" t="s">
        <v>274</v>
      </c>
      <c r="E2914" s="34">
        <v>379.43400000000003</v>
      </c>
      <c r="F2914" s="36">
        <v>4.2999999999949502E-2</v>
      </c>
      <c r="G2914" s="34">
        <v>4.2999999999949502E-2</v>
      </c>
      <c r="H2914" s="35">
        <v>8.6</v>
      </c>
      <c r="I2914" s="37">
        <f t="shared" si="45"/>
        <v>7.8445967147558679E-5</v>
      </c>
      <c r="J2914" s="33"/>
    </row>
    <row r="2915" spans="1:10">
      <c r="A2915" s="33" t="s">
        <v>133</v>
      </c>
      <c r="B2915" s="34">
        <v>379.47699999999998</v>
      </c>
      <c r="C2915" s="35">
        <v>109629.6</v>
      </c>
      <c r="D2915" s="33" t="s">
        <v>278</v>
      </c>
      <c r="E2915" s="34">
        <v>379.43599999999998</v>
      </c>
      <c r="F2915" s="36">
        <v>4.0999999999996803E-2</v>
      </c>
      <c r="G2915" s="34">
        <v>4.0999999999996803E-2</v>
      </c>
      <c r="H2915" s="35">
        <v>154.19999999999999</v>
      </c>
      <c r="I2915" s="37">
        <f t="shared" si="45"/>
        <v>1.4065544342039009E-3</v>
      </c>
      <c r="J2915" s="33"/>
    </row>
    <row r="2916" spans="1:10">
      <c r="A2916" s="33" t="s">
        <v>133</v>
      </c>
      <c r="B2916" s="34">
        <v>379.47699999999998</v>
      </c>
      <c r="C2916" s="35">
        <v>109629.6</v>
      </c>
      <c r="D2916" s="33" t="s">
        <v>273</v>
      </c>
      <c r="E2916" s="34">
        <v>379.447</v>
      </c>
      <c r="F2916" s="36">
        <v>2.9999999999972701E-2</v>
      </c>
      <c r="G2916" s="34">
        <v>2.9999999999972701E-2</v>
      </c>
      <c r="H2916" s="35">
        <v>23.9</v>
      </c>
      <c r="I2916" s="37">
        <f t="shared" si="45"/>
        <v>2.1800681567751772E-4</v>
      </c>
      <c r="J2916" s="33"/>
    </row>
    <row r="2917" spans="1:10">
      <c r="A2917" s="33" t="s">
        <v>133</v>
      </c>
      <c r="B2917" s="34">
        <v>379.47699999999998</v>
      </c>
      <c r="C2917" s="35">
        <v>109629.6</v>
      </c>
      <c r="D2917" s="33" t="s">
        <v>239</v>
      </c>
      <c r="E2917" s="34">
        <v>379.46</v>
      </c>
      <c r="F2917" s="36">
        <v>1.69999999999959E-2</v>
      </c>
      <c r="G2917" s="34">
        <v>1.69999999999959E-2</v>
      </c>
      <c r="H2917" s="35">
        <v>21.8</v>
      </c>
      <c r="I2917" s="37">
        <f t="shared" si="45"/>
        <v>1.9885140509497435E-4</v>
      </c>
      <c r="J2917" s="33"/>
    </row>
    <row r="2918" spans="1:10">
      <c r="A2918" s="33" t="s">
        <v>133</v>
      </c>
      <c r="B2918" s="34">
        <v>379.47699999999998</v>
      </c>
      <c r="C2918" s="35">
        <v>109629.6</v>
      </c>
      <c r="D2918" s="33" t="s">
        <v>284</v>
      </c>
      <c r="E2918" s="34">
        <v>379.46800000000002</v>
      </c>
      <c r="F2918" s="36">
        <v>8.9999999999577102E-3</v>
      </c>
      <c r="G2918" s="34">
        <v>8.9999999999577102E-3</v>
      </c>
      <c r="H2918" s="35">
        <v>0.8</v>
      </c>
      <c r="I2918" s="37">
        <f t="shared" si="45"/>
        <v>7.2972992695403428E-6</v>
      </c>
      <c r="J2918" s="33"/>
    </row>
    <row r="2919" spans="1:10">
      <c r="A2919" s="33" t="s">
        <v>133</v>
      </c>
      <c r="B2919" s="34">
        <v>379.47699999999998</v>
      </c>
      <c r="C2919" s="35">
        <v>109629.6</v>
      </c>
      <c r="D2919" s="33" t="s">
        <v>25</v>
      </c>
      <c r="E2919" s="34">
        <v>379.46899999999999</v>
      </c>
      <c r="F2919" s="36">
        <v>7.9999999999813606E-3</v>
      </c>
      <c r="G2919" s="34">
        <v>7.9999999999813606E-3</v>
      </c>
      <c r="H2919" s="35">
        <v>666.3</v>
      </c>
      <c r="I2919" s="37">
        <f t="shared" si="45"/>
        <v>6.0777381291184122E-3</v>
      </c>
      <c r="J2919" s="33" t="s">
        <v>116</v>
      </c>
    </row>
    <row r="2920" spans="1:10">
      <c r="A2920" s="33" t="s">
        <v>133</v>
      </c>
      <c r="B2920" s="34">
        <v>379.47699999999998</v>
      </c>
      <c r="C2920" s="35">
        <v>109629.6</v>
      </c>
      <c r="D2920" s="33" t="s">
        <v>173</v>
      </c>
      <c r="E2920" s="34">
        <v>379.49299999999999</v>
      </c>
      <c r="F2920" s="36">
        <v>1.6000000000019599E-2</v>
      </c>
      <c r="G2920" s="34">
        <v>1.6000000000019599E-2</v>
      </c>
      <c r="H2920" s="35">
        <v>1014.6</v>
      </c>
      <c r="I2920" s="37">
        <f t="shared" si="45"/>
        <v>9.2547997985945405E-3</v>
      </c>
      <c r="J2920" s="33"/>
    </row>
    <row r="2921" spans="1:10">
      <c r="A2921" s="33" t="s">
        <v>133</v>
      </c>
      <c r="B2921" s="34">
        <v>379.47699999999998</v>
      </c>
      <c r="C2921" s="35">
        <v>109629.6</v>
      </c>
      <c r="D2921" s="33" t="s">
        <v>278</v>
      </c>
      <c r="E2921" s="34">
        <v>379.495</v>
      </c>
      <c r="F2921" s="36">
        <v>1.80000000000291E-2</v>
      </c>
      <c r="G2921" s="34">
        <v>1.80000000000291E-2</v>
      </c>
      <c r="H2921" s="35">
        <v>668.9</v>
      </c>
      <c r="I2921" s="37">
        <f t="shared" si="45"/>
        <v>6.1014543517444193E-3</v>
      </c>
      <c r="J2921" s="33"/>
    </row>
    <row r="2922" spans="1:10">
      <c r="A2922" s="33" t="s">
        <v>133</v>
      </c>
      <c r="B2922" s="34">
        <v>379.47699999999998</v>
      </c>
      <c r="C2922" s="35">
        <v>109629.6</v>
      </c>
      <c r="D2922" s="33" t="s">
        <v>268</v>
      </c>
      <c r="E2922" s="34">
        <v>379.49700000000001</v>
      </c>
      <c r="F2922" s="36">
        <v>2.0000000000038699E-2</v>
      </c>
      <c r="G2922" s="34">
        <v>2.0000000000038699E-2</v>
      </c>
      <c r="H2922" s="35">
        <v>49.3</v>
      </c>
      <c r="I2922" s="37">
        <f t="shared" si="45"/>
        <v>4.4969606748542358E-4</v>
      </c>
      <c r="J2922" s="33"/>
    </row>
    <row r="2923" spans="1:10">
      <c r="A2923" s="33" t="s">
        <v>133</v>
      </c>
      <c r="B2923" s="34">
        <v>379.47699999999998</v>
      </c>
      <c r="C2923" s="35">
        <v>109629.6</v>
      </c>
      <c r="D2923" s="33" t="s">
        <v>97</v>
      </c>
      <c r="E2923" s="34">
        <v>379.5</v>
      </c>
      <c r="F2923" s="36">
        <v>2.3000000000024601E-2</v>
      </c>
      <c r="G2923" s="34">
        <v>2.3000000000024601E-2</v>
      </c>
      <c r="H2923" s="35">
        <v>314.89999999999998</v>
      </c>
      <c r="I2923" s="37">
        <f t="shared" si="45"/>
        <v>2.8723994249728172E-3</v>
      </c>
      <c r="J2923" s="33"/>
    </row>
    <row r="2924" spans="1:10">
      <c r="A2924" s="33" t="s">
        <v>133</v>
      </c>
      <c r="B2924" s="34">
        <v>379.47699999999998</v>
      </c>
      <c r="C2924" s="35">
        <v>109629.6</v>
      </c>
      <c r="D2924" s="33" t="s">
        <v>289</v>
      </c>
      <c r="E2924" s="34">
        <v>379.50599999999997</v>
      </c>
      <c r="F2924" s="36">
        <v>2.89999999999964E-2</v>
      </c>
      <c r="G2924" s="34">
        <v>2.89999999999964E-2</v>
      </c>
      <c r="H2924" s="35">
        <v>10.7</v>
      </c>
      <c r="I2924" s="37">
        <f t="shared" si="45"/>
        <v>9.7601377730102083E-5</v>
      </c>
      <c r="J2924" s="33"/>
    </row>
    <row r="2925" spans="1:10">
      <c r="A2925" s="33" t="s">
        <v>133</v>
      </c>
      <c r="B2925" s="34">
        <v>379.47699999999998</v>
      </c>
      <c r="C2925" s="35">
        <v>109629.6</v>
      </c>
      <c r="D2925" s="33" t="s">
        <v>277</v>
      </c>
      <c r="E2925" s="34">
        <v>379.51100000000002</v>
      </c>
      <c r="F2925" s="36">
        <v>3.40000000000487E-2</v>
      </c>
      <c r="G2925" s="34">
        <v>3.40000000000487E-2</v>
      </c>
      <c r="H2925" s="35">
        <v>230.8</v>
      </c>
      <c r="I2925" s="37">
        <f t="shared" si="45"/>
        <v>2.105270839262389E-3</v>
      </c>
      <c r="J2925" s="33"/>
    </row>
    <row r="2926" spans="1:10">
      <c r="A2926" s="33" t="s">
        <v>133</v>
      </c>
      <c r="B2926" s="34">
        <v>379.47699999999998</v>
      </c>
      <c r="C2926" s="35">
        <v>109629.6</v>
      </c>
      <c r="D2926" s="33" t="s">
        <v>268</v>
      </c>
      <c r="E2926" s="34">
        <v>379.51799999999997</v>
      </c>
      <c r="F2926" s="36">
        <v>4.0999999999996803E-2</v>
      </c>
      <c r="G2926" s="34">
        <v>4.0999999999996803E-2</v>
      </c>
      <c r="H2926" s="35">
        <v>22.6</v>
      </c>
      <c r="I2926" s="37">
        <f t="shared" si="45"/>
        <v>2.061487043645147E-4</v>
      </c>
      <c r="J2926" s="33"/>
    </row>
    <row r="2927" spans="1:10">
      <c r="A2927" s="33" t="s">
        <v>133</v>
      </c>
      <c r="B2927" s="34">
        <v>379.47699999999998</v>
      </c>
      <c r="C2927" s="35">
        <v>109629.6</v>
      </c>
      <c r="D2927" s="33" t="s">
        <v>25</v>
      </c>
      <c r="E2927" s="34">
        <v>379.52499999999998</v>
      </c>
      <c r="F2927" s="36">
        <v>4.8000000000001798E-2</v>
      </c>
      <c r="G2927" s="34">
        <v>4.8000000000001798E-2</v>
      </c>
      <c r="H2927" s="35">
        <v>782</v>
      </c>
      <c r="I2927" s="37">
        <f t="shared" si="45"/>
        <v>7.1331100359756849E-3</v>
      </c>
      <c r="J2927" s="33" t="s">
        <v>116</v>
      </c>
    </row>
    <row r="2928" spans="1:10">
      <c r="A2928" s="33" t="s">
        <v>133</v>
      </c>
      <c r="B2928" s="34">
        <v>379.47699999999998</v>
      </c>
      <c r="C2928" s="35">
        <v>109629.6</v>
      </c>
      <c r="D2928" s="33" t="s">
        <v>271</v>
      </c>
      <c r="E2928" s="34">
        <v>379.53899999999999</v>
      </c>
      <c r="F2928" s="36">
        <v>6.2000000000011803E-2</v>
      </c>
      <c r="G2928" s="34">
        <v>6.2000000000011803E-2</v>
      </c>
      <c r="H2928" s="35">
        <v>166.6</v>
      </c>
      <c r="I2928" s="37">
        <f t="shared" si="45"/>
        <v>1.5196625728817763E-3</v>
      </c>
      <c r="J2928" s="33"/>
    </row>
    <row r="2929" spans="1:10">
      <c r="A2929" s="33" t="s">
        <v>133</v>
      </c>
      <c r="B2929" s="34">
        <v>379.47699999999998</v>
      </c>
      <c r="C2929" s="35">
        <v>109629.6</v>
      </c>
      <c r="D2929" s="33" t="s">
        <v>27</v>
      </c>
      <c r="E2929" s="34">
        <v>379.54500000000002</v>
      </c>
      <c r="F2929" s="36">
        <v>6.80000000000405E-2</v>
      </c>
      <c r="G2929" s="34">
        <v>6.80000000000405E-2</v>
      </c>
      <c r="H2929" s="35">
        <v>1933.8</v>
      </c>
      <c r="I2929" s="37">
        <f t="shared" si="45"/>
        <v>1.7639396659296393E-2</v>
      </c>
      <c r="J2929" s="33" t="s">
        <v>116</v>
      </c>
    </row>
    <row r="2930" spans="1:10">
      <c r="A2930" s="33" t="s">
        <v>133</v>
      </c>
      <c r="B2930" s="34">
        <v>379.47699999999998</v>
      </c>
      <c r="C2930" s="35">
        <v>109629.6</v>
      </c>
      <c r="D2930" s="33" t="s">
        <v>277</v>
      </c>
      <c r="E2930" s="34">
        <v>379.56099999999998</v>
      </c>
      <c r="F2930" s="36">
        <v>8.4000000000003197E-2</v>
      </c>
      <c r="G2930" s="34">
        <v>8.4000000000003197E-2</v>
      </c>
      <c r="H2930" s="35">
        <v>132.5</v>
      </c>
      <c r="I2930" s="37">
        <f t="shared" si="45"/>
        <v>1.2086151915176192E-3</v>
      </c>
      <c r="J2930" s="33"/>
    </row>
    <row r="2931" spans="1:10">
      <c r="A2931" s="33" t="s">
        <v>133</v>
      </c>
      <c r="B2931" s="34">
        <v>379.47699999999998</v>
      </c>
      <c r="C2931" s="35">
        <v>109629.6</v>
      </c>
      <c r="D2931" s="33" t="s">
        <v>284</v>
      </c>
      <c r="E2931" s="34">
        <v>379.56799999999998</v>
      </c>
      <c r="F2931" s="36">
        <v>9.1000000000008199E-2</v>
      </c>
      <c r="G2931" s="34">
        <v>9.1000000000008199E-2</v>
      </c>
      <c r="H2931" s="35">
        <v>0.6</v>
      </c>
      <c r="I2931" s="37">
        <f t="shared" si="45"/>
        <v>5.4729744521552569E-6</v>
      </c>
      <c r="J2931" s="33"/>
    </row>
    <row r="2932" spans="1:10">
      <c r="A2932" s="33" t="s">
        <v>133</v>
      </c>
      <c r="B2932" s="34">
        <v>379.47699999999998</v>
      </c>
      <c r="C2932" s="35">
        <v>109629.6</v>
      </c>
      <c r="D2932" s="33" t="s">
        <v>271</v>
      </c>
      <c r="E2932" s="34">
        <v>379.56799999999998</v>
      </c>
      <c r="F2932" s="36">
        <v>9.1000000000008199E-2</v>
      </c>
      <c r="G2932" s="34">
        <v>9.1000000000008199E-2</v>
      </c>
      <c r="H2932" s="35">
        <v>417</v>
      </c>
      <c r="I2932" s="37">
        <f t="shared" si="45"/>
        <v>3.8037172442479034E-3</v>
      </c>
      <c r="J2932" s="33"/>
    </row>
    <row r="2933" spans="1:10">
      <c r="A2933" s="33" t="s">
        <v>133</v>
      </c>
      <c r="B2933" s="34">
        <v>379.47699999999998</v>
      </c>
      <c r="C2933" s="35">
        <v>109629.6</v>
      </c>
      <c r="D2933" s="33" t="s">
        <v>54</v>
      </c>
      <c r="E2933" s="34">
        <v>379.58499999999998</v>
      </c>
      <c r="F2933" s="36">
        <v>0.108000000000004</v>
      </c>
      <c r="G2933" s="34">
        <v>0.108000000000004</v>
      </c>
      <c r="H2933" s="35">
        <v>2.6</v>
      </c>
      <c r="I2933" s="37">
        <f t="shared" si="45"/>
        <v>2.3716222626006115E-5</v>
      </c>
      <c r="J2933" s="33"/>
    </row>
    <row r="2934" spans="1:10">
      <c r="A2934" s="33" t="s">
        <v>133</v>
      </c>
      <c r="B2934" s="34">
        <v>379.47699999999998</v>
      </c>
      <c r="C2934" s="35">
        <v>109629.6</v>
      </c>
      <c r="D2934" s="33" t="s">
        <v>237</v>
      </c>
      <c r="E2934" s="34">
        <v>379.58600000000001</v>
      </c>
      <c r="F2934" s="36">
        <v>0.109000000000037</v>
      </c>
      <c r="G2934" s="34">
        <v>0.109000000000037</v>
      </c>
      <c r="H2934" s="35">
        <v>37.799999999999997</v>
      </c>
      <c r="I2934" s="37">
        <f t="shared" si="45"/>
        <v>3.4479739048578117E-4</v>
      </c>
      <c r="J2934" s="33"/>
    </row>
    <row r="2935" spans="1:10">
      <c r="A2935" s="33" t="s">
        <v>133</v>
      </c>
      <c r="B2935" s="34">
        <v>379.47699999999998</v>
      </c>
      <c r="C2935" s="35">
        <v>109629.6</v>
      </c>
      <c r="D2935" s="33" t="s">
        <v>282</v>
      </c>
      <c r="E2935" s="34">
        <v>379.58800000000002</v>
      </c>
      <c r="F2935" s="36">
        <v>0.11100000000004701</v>
      </c>
      <c r="G2935" s="34">
        <v>0.11100000000004701</v>
      </c>
      <c r="H2935" s="35">
        <v>3.3</v>
      </c>
      <c r="I2935" s="37">
        <f t="shared" si="45"/>
        <v>3.0101359486853912E-5</v>
      </c>
      <c r="J2935" s="33"/>
    </row>
    <row r="2936" spans="1:10">
      <c r="A2936" s="33" t="s">
        <v>133</v>
      </c>
      <c r="B2936" s="34">
        <v>379.47699999999998</v>
      </c>
      <c r="C2936" s="35">
        <v>109629.6</v>
      </c>
      <c r="D2936" s="33" t="s">
        <v>36</v>
      </c>
      <c r="E2936" s="34">
        <v>379.59399999999999</v>
      </c>
      <c r="F2936" s="36">
        <v>0.11700000000000001</v>
      </c>
      <c r="G2936" s="34">
        <v>0.11700000000000001</v>
      </c>
      <c r="H2936" s="35">
        <v>1036.8</v>
      </c>
      <c r="I2936" s="37">
        <f t="shared" si="45"/>
        <v>9.4572998533242834E-3</v>
      </c>
      <c r="J2936" s="33" t="s">
        <v>116</v>
      </c>
    </row>
    <row r="2937" spans="1:10">
      <c r="A2937" s="33" t="s">
        <v>133</v>
      </c>
      <c r="B2937" s="34">
        <v>379.47699999999998</v>
      </c>
      <c r="C2937" s="35">
        <v>109629.6</v>
      </c>
      <c r="D2937" s="33" t="s">
        <v>276</v>
      </c>
      <c r="E2937" s="34">
        <v>379.601</v>
      </c>
      <c r="F2937" s="36">
        <v>0.12400000000002399</v>
      </c>
      <c r="G2937" s="34">
        <v>0.12400000000002399</v>
      </c>
      <c r="H2937" s="35">
        <v>13.37</v>
      </c>
      <c r="I2937" s="37">
        <f t="shared" si="45"/>
        <v>1.2195611404219298E-4</v>
      </c>
      <c r="J2937" s="33"/>
    </row>
    <row r="2938" spans="1:10">
      <c r="A2938" s="33" t="s">
        <v>133</v>
      </c>
      <c r="B2938" s="34">
        <v>387.16399999999999</v>
      </c>
      <c r="C2938" s="35">
        <v>76758.8</v>
      </c>
      <c r="D2938" s="33" t="s">
        <v>279</v>
      </c>
      <c r="E2938" s="34">
        <v>386.99299999999999</v>
      </c>
      <c r="F2938" s="36">
        <v>0.17099999999999199</v>
      </c>
      <c r="G2938" s="34">
        <v>0.17099999999999199</v>
      </c>
      <c r="H2938" s="35">
        <v>16.3</v>
      </c>
      <c r="I2938" s="37">
        <f t="shared" si="45"/>
        <v>2.1235350213916841E-4</v>
      </c>
      <c r="J2938" s="33"/>
    </row>
    <row r="2939" spans="1:10">
      <c r="A2939" s="33" t="s">
        <v>133</v>
      </c>
      <c r="B2939" s="34">
        <v>387.16399999999999</v>
      </c>
      <c r="C2939" s="35">
        <v>76758.8</v>
      </c>
      <c r="D2939" s="33" t="s">
        <v>271</v>
      </c>
      <c r="E2939" s="34">
        <v>386.99700000000001</v>
      </c>
      <c r="F2939" s="36">
        <v>0.166999999999973</v>
      </c>
      <c r="G2939" s="34">
        <v>0.166999999999973</v>
      </c>
      <c r="H2939" s="35">
        <v>274.60000000000002</v>
      </c>
      <c r="I2939" s="37">
        <f t="shared" si="45"/>
        <v>3.577439980823046E-3</v>
      </c>
      <c r="J2939" s="33"/>
    </row>
    <row r="2940" spans="1:10">
      <c r="A2940" s="33" t="s">
        <v>133</v>
      </c>
      <c r="B2940" s="34">
        <v>387.16399999999999</v>
      </c>
      <c r="C2940" s="35">
        <v>76758.8</v>
      </c>
      <c r="D2940" s="33" t="s">
        <v>282</v>
      </c>
      <c r="E2940" s="34">
        <v>387.00200000000001</v>
      </c>
      <c r="F2940" s="36">
        <v>0.16199999999997799</v>
      </c>
      <c r="G2940" s="34">
        <v>0.16199999999997799</v>
      </c>
      <c r="H2940" s="35">
        <v>224.9</v>
      </c>
      <c r="I2940" s="37">
        <f t="shared" si="45"/>
        <v>2.9299572166318387E-3</v>
      </c>
      <c r="J2940" s="33"/>
    </row>
    <row r="2941" spans="1:10">
      <c r="A2941" s="33" t="s">
        <v>133</v>
      </c>
      <c r="B2941" s="34">
        <v>387.16399999999999</v>
      </c>
      <c r="C2941" s="35">
        <v>76758.8</v>
      </c>
      <c r="D2941" s="33" t="s">
        <v>277</v>
      </c>
      <c r="E2941" s="34">
        <v>387.00200000000001</v>
      </c>
      <c r="F2941" s="36">
        <v>0.16199999999997799</v>
      </c>
      <c r="G2941" s="34">
        <v>0.16199999999997799</v>
      </c>
      <c r="H2941" s="35">
        <v>283.8</v>
      </c>
      <c r="I2941" s="37">
        <f t="shared" si="45"/>
        <v>3.6972959452206133E-3</v>
      </c>
      <c r="J2941" s="33"/>
    </row>
    <row r="2942" spans="1:10">
      <c r="A2942" s="33" t="s">
        <v>133</v>
      </c>
      <c r="B2942" s="34">
        <v>387.16399999999999</v>
      </c>
      <c r="C2942" s="35">
        <v>76758.8</v>
      </c>
      <c r="D2942" s="33" t="s">
        <v>239</v>
      </c>
      <c r="E2942" s="34">
        <v>387.01600000000002</v>
      </c>
      <c r="F2942" s="36">
        <v>0.14799999999996799</v>
      </c>
      <c r="G2942" s="34">
        <v>0.14799999999996799</v>
      </c>
      <c r="H2942" s="35">
        <v>35.700000000000003</v>
      </c>
      <c r="I2942" s="37">
        <f t="shared" si="45"/>
        <v>4.6509325315143024E-4</v>
      </c>
      <c r="J2942" s="33"/>
    </row>
    <row r="2943" spans="1:10">
      <c r="A2943" s="33" t="s">
        <v>133</v>
      </c>
      <c r="B2943" s="34">
        <v>387.16399999999999</v>
      </c>
      <c r="C2943" s="35">
        <v>76758.8</v>
      </c>
      <c r="D2943" s="33" t="s">
        <v>54</v>
      </c>
      <c r="E2943" s="34">
        <v>387.053</v>
      </c>
      <c r="F2943" s="36">
        <v>0.11099999999999</v>
      </c>
      <c r="G2943" s="34">
        <v>0.11099999999999</v>
      </c>
      <c r="H2943" s="35">
        <v>15.4</v>
      </c>
      <c r="I2943" s="37">
        <f t="shared" si="45"/>
        <v>2.006284621437542E-4</v>
      </c>
      <c r="J2943" s="33"/>
    </row>
    <row r="2944" spans="1:10">
      <c r="A2944" s="33" t="s">
        <v>133</v>
      </c>
      <c r="B2944" s="34">
        <v>387.16399999999999</v>
      </c>
      <c r="C2944" s="35">
        <v>76758.8</v>
      </c>
      <c r="D2944" s="33" t="s">
        <v>278</v>
      </c>
      <c r="E2944" s="34">
        <v>387.05700000000002</v>
      </c>
      <c r="F2944" s="36">
        <v>0.10699999999997099</v>
      </c>
      <c r="G2944" s="34">
        <v>0.10699999999997099</v>
      </c>
      <c r="H2944" s="35">
        <v>26</v>
      </c>
      <c r="I2944" s="37">
        <f t="shared" si="45"/>
        <v>3.3872337764529928E-4</v>
      </c>
      <c r="J2944" s="33"/>
    </row>
    <row r="2945" spans="1:10">
      <c r="A2945" s="33" t="s">
        <v>133</v>
      </c>
      <c r="B2945" s="34">
        <v>387.16399999999999</v>
      </c>
      <c r="C2945" s="35">
        <v>76758.8</v>
      </c>
      <c r="D2945" s="33" t="s">
        <v>193</v>
      </c>
      <c r="E2945" s="34">
        <v>387.06400000000002</v>
      </c>
      <c r="F2945" s="36">
        <v>9.9999999999965894E-2</v>
      </c>
      <c r="G2945" s="34">
        <v>9.9999999999965894E-2</v>
      </c>
      <c r="H2945" s="35">
        <v>166.1</v>
      </c>
      <c r="I2945" s="37">
        <f t="shared" si="45"/>
        <v>2.1639212702647772E-3</v>
      </c>
      <c r="J2945" s="33"/>
    </row>
    <row r="2946" spans="1:10">
      <c r="A2946" s="33" t="s">
        <v>133</v>
      </c>
      <c r="B2946" s="34">
        <v>387.16399999999999</v>
      </c>
      <c r="C2946" s="35">
        <v>76758.8</v>
      </c>
      <c r="D2946" s="33" t="s">
        <v>173</v>
      </c>
      <c r="E2946" s="34">
        <v>387.072</v>
      </c>
      <c r="F2946" s="36">
        <v>9.1999999999984497E-2</v>
      </c>
      <c r="G2946" s="34">
        <v>9.1999999999984497E-2</v>
      </c>
      <c r="H2946" s="35">
        <v>2476.4</v>
      </c>
      <c r="I2946" s="37">
        <f t="shared" ref="I2946:I3009" si="46">H2946/C2946</f>
        <v>3.2262098938493043E-2</v>
      </c>
      <c r="J2946" s="33"/>
    </row>
    <row r="2947" spans="1:10">
      <c r="A2947" s="33" t="s">
        <v>133</v>
      </c>
      <c r="B2947" s="34">
        <v>387.16399999999999</v>
      </c>
      <c r="C2947" s="35">
        <v>76758.8</v>
      </c>
      <c r="D2947" s="33" t="s">
        <v>240</v>
      </c>
      <c r="E2947" s="34">
        <v>387.07900000000001</v>
      </c>
      <c r="F2947" s="36">
        <v>8.4999999999979495E-2</v>
      </c>
      <c r="G2947" s="34">
        <v>8.4999999999979495E-2</v>
      </c>
      <c r="H2947" s="35">
        <v>1.3</v>
      </c>
      <c r="I2947" s="37">
        <f t="shared" si="46"/>
        <v>1.6936168882264966E-5</v>
      </c>
      <c r="J2947" s="33"/>
    </row>
    <row r="2948" spans="1:10">
      <c r="A2948" s="33" t="s">
        <v>133</v>
      </c>
      <c r="B2948" s="34">
        <v>387.16399999999999</v>
      </c>
      <c r="C2948" s="35">
        <v>76758.8</v>
      </c>
      <c r="D2948" s="33" t="s">
        <v>25</v>
      </c>
      <c r="E2948" s="34">
        <v>387.08699999999999</v>
      </c>
      <c r="F2948" s="36">
        <v>7.6999999999998195E-2</v>
      </c>
      <c r="G2948" s="34">
        <v>7.6999999999998195E-2</v>
      </c>
      <c r="H2948" s="35">
        <v>722</v>
      </c>
      <c r="I2948" s="37">
        <f t="shared" si="46"/>
        <v>9.4060876407656181E-3</v>
      </c>
      <c r="J2948" s="33" t="s">
        <v>116</v>
      </c>
    </row>
    <row r="2949" spans="1:10">
      <c r="A2949" s="33" t="s">
        <v>133</v>
      </c>
      <c r="B2949" s="34">
        <v>387.16399999999999</v>
      </c>
      <c r="C2949" s="35">
        <v>76758.8</v>
      </c>
      <c r="D2949" s="33" t="s">
        <v>277</v>
      </c>
      <c r="E2949" s="34">
        <v>387.10300000000001</v>
      </c>
      <c r="F2949" s="36">
        <v>6.0999999999978599E-2</v>
      </c>
      <c r="G2949" s="34">
        <v>6.0999999999978599E-2</v>
      </c>
      <c r="H2949" s="35">
        <v>1239.8</v>
      </c>
      <c r="I2949" s="37">
        <f t="shared" si="46"/>
        <v>1.6151893984793924E-2</v>
      </c>
      <c r="J2949" s="33"/>
    </row>
    <row r="2950" spans="1:10">
      <c r="A2950" s="33" t="s">
        <v>133</v>
      </c>
      <c r="B2950" s="34">
        <v>387.16399999999999</v>
      </c>
      <c r="C2950" s="35">
        <v>76758.8</v>
      </c>
      <c r="D2950" s="33" t="s">
        <v>271</v>
      </c>
      <c r="E2950" s="34">
        <v>387.10700000000003</v>
      </c>
      <c r="F2950" s="36">
        <v>5.69999999999595E-2</v>
      </c>
      <c r="G2950" s="34">
        <v>5.69999999999595E-2</v>
      </c>
      <c r="H2950" s="35">
        <v>77.599999999999994</v>
      </c>
      <c r="I2950" s="37">
        <f t="shared" si="46"/>
        <v>1.010959004049047E-3</v>
      </c>
      <c r="J2950" s="33"/>
    </row>
    <row r="2951" spans="1:10">
      <c r="A2951" s="33" t="s">
        <v>133</v>
      </c>
      <c r="B2951" s="34">
        <v>387.16399999999999</v>
      </c>
      <c r="C2951" s="35">
        <v>76758.8</v>
      </c>
      <c r="D2951" s="33" t="s">
        <v>278</v>
      </c>
      <c r="E2951" s="34">
        <v>387.10700000000003</v>
      </c>
      <c r="F2951" s="36">
        <v>5.69999999999595E-2</v>
      </c>
      <c r="G2951" s="34">
        <v>5.69999999999595E-2</v>
      </c>
      <c r="H2951" s="35">
        <v>128.9</v>
      </c>
      <c r="I2951" s="37">
        <f t="shared" si="46"/>
        <v>1.6792862837876569E-3</v>
      </c>
      <c r="J2951" s="33"/>
    </row>
    <row r="2952" spans="1:10">
      <c r="A2952" s="33" t="s">
        <v>133</v>
      </c>
      <c r="B2952" s="34">
        <v>387.16399999999999</v>
      </c>
      <c r="C2952" s="35">
        <v>76758.8</v>
      </c>
      <c r="D2952" s="33" t="s">
        <v>273</v>
      </c>
      <c r="E2952" s="34">
        <v>387.11900000000003</v>
      </c>
      <c r="F2952" s="36">
        <v>4.49999999999591E-2</v>
      </c>
      <c r="G2952" s="34">
        <v>4.49999999999591E-2</v>
      </c>
      <c r="H2952" s="35">
        <v>16.399999999999999</v>
      </c>
      <c r="I2952" s="37">
        <f t="shared" si="46"/>
        <v>2.1365628436088106E-4</v>
      </c>
      <c r="J2952" s="33"/>
    </row>
    <row r="2953" spans="1:10">
      <c r="A2953" s="33" t="s">
        <v>133</v>
      </c>
      <c r="B2953" s="34">
        <v>387.16399999999999</v>
      </c>
      <c r="C2953" s="35">
        <v>76758.8</v>
      </c>
      <c r="D2953" s="33" t="s">
        <v>275</v>
      </c>
      <c r="E2953" s="34">
        <v>387.14499999999998</v>
      </c>
      <c r="F2953" s="36">
        <v>1.9000000000005499E-2</v>
      </c>
      <c r="G2953" s="34">
        <v>1.9000000000005499E-2</v>
      </c>
      <c r="H2953" s="35">
        <v>41.4</v>
      </c>
      <c r="I2953" s="37">
        <f t="shared" si="46"/>
        <v>5.3935183978905349E-4</v>
      </c>
      <c r="J2953" s="33"/>
    </row>
    <row r="2954" spans="1:10">
      <c r="A2954" s="33" t="s">
        <v>133</v>
      </c>
      <c r="B2954" s="34">
        <v>387.16399999999999</v>
      </c>
      <c r="C2954" s="35">
        <v>76758.8</v>
      </c>
      <c r="D2954" s="33" t="s">
        <v>271</v>
      </c>
      <c r="E2954" s="34">
        <v>387.14600000000002</v>
      </c>
      <c r="F2954" s="36">
        <v>1.7999999999972299E-2</v>
      </c>
      <c r="G2954" s="34">
        <v>1.7999999999972299E-2</v>
      </c>
      <c r="H2954" s="35">
        <v>192.1</v>
      </c>
      <c r="I2954" s="37">
        <f t="shared" si="46"/>
        <v>2.5026446479100768E-3</v>
      </c>
      <c r="J2954" s="33"/>
    </row>
    <row r="2955" spans="1:10">
      <c r="A2955" s="33" t="s">
        <v>133</v>
      </c>
      <c r="B2955" s="34">
        <v>387.16399999999999</v>
      </c>
      <c r="C2955" s="35">
        <v>76758.8</v>
      </c>
      <c r="D2955" s="33" t="s">
        <v>165</v>
      </c>
      <c r="E2955" s="34">
        <v>387.15899999999999</v>
      </c>
      <c r="F2955" s="36">
        <v>4.9999999999954499E-3</v>
      </c>
      <c r="G2955" s="34">
        <v>4.9999999999954499E-3</v>
      </c>
      <c r="H2955" s="35">
        <v>23</v>
      </c>
      <c r="I2955" s="37">
        <f t="shared" si="46"/>
        <v>2.9963991099391858E-4</v>
      </c>
      <c r="J2955" s="33"/>
    </row>
    <row r="2956" spans="1:10">
      <c r="A2956" s="33" t="s">
        <v>133</v>
      </c>
      <c r="B2956" s="34">
        <v>387.16399999999999</v>
      </c>
      <c r="C2956" s="35">
        <v>76758.8</v>
      </c>
      <c r="D2956" s="33" t="s">
        <v>33</v>
      </c>
      <c r="E2956" s="34">
        <v>387.16300000000001</v>
      </c>
      <c r="F2956" s="36">
        <v>9.9999999997635292E-4</v>
      </c>
      <c r="G2956" s="34">
        <v>9.9999999997635292E-4</v>
      </c>
      <c r="H2956" s="35">
        <v>1098.9000000000001</v>
      </c>
      <c r="I2956" s="37">
        <f t="shared" si="46"/>
        <v>1.4316273834400747E-2</v>
      </c>
      <c r="J2956" s="33" t="s">
        <v>116</v>
      </c>
    </row>
    <row r="2957" spans="1:10">
      <c r="A2957" s="33" t="s">
        <v>133</v>
      </c>
      <c r="B2957" s="34">
        <v>387.16399999999999</v>
      </c>
      <c r="C2957" s="35">
        <v>76758.8</v>
      </c>
      <c r="D2957" s="33" t="s">
        <v>240</v>
      </c>
      <c r="E2957" s="34">
        <v>387.16800000000001</v>
      </c>
      <c r="F2957" s="36">
        <v>4.0000000000191003E-3</v>
      </c>
      <c r="G2957" s="34">
        <v>4.0000000000191003E-3</v>
      </c>
      <c r="H2957" s="35">
        <v>1.2</v>
      </c>
      <c r="I2957" s="37">
        <f t="shared" si="46"/>
        <v>1.5633386660552274E-5</v>
      </c>
      <c r="J2957" s="33"/>
    </row>
    <row r="2958" spans="1:10">
      <c r="A2958" s="33" t="s">
        <v>133</v>
      </c>
      <c r="B2958" s="34">
        <v>387.16399999999999</v>
      </c>
      <c r="C2958" s="35">
        <v>76758.8</v>
      </c>
      <c r="D2958" s="33" t="s">
        <v>97</v>
      </c>
      <c r="E2958" s="34">
        <v>387.17500000000001</v>
      </c>
      <c r="F2958" s="36">
        <v>1.10000000000241E-2</v>
      </c>
      <c r="G2958" s="34">
        <v>1.10000000000241E-2</v>
      </c>
      <c r="H2958" s="35">
        <v>14.7</v>
      </c>
      <c r="I2958" s="37">
        <f t="shared" si="46"/>
        <v>1.9150898659176535E-4</v>
      </c>
      <c r="J2958" s="33"/>
    </row>
    <row r="2959" spans="1:10">
      <c r="A2959" s="33" t="s">
        <v>133</v>
      </c>
      <c r="B2959" s="34">
        <v>387.16399999999999</v>
      </c>
      <c r="C2959" s="35">
        <v>76758.8</v>
      </c>
      <c r="D2959" s="33" t="s">
        <v>270</v>
      </c>
      <c r="E2959" s="34">
        <v>387.178</v>
      </c>
      <c r="F2959" s="36">
        <v>1.4000000000009999E-2</v>
      </c>
      <c r="G2959" s="34">
        <v>1.4000000000009999E-2</v>
      </c>
      <c r="H2959" s="35">
        <v>5884.7</v>
      </c>
      <c r="I2959" s="37">
        <f t="shared" si="46"/>
        <v>7.6664825401126638E-2</v>
      </c>
      <c r="J2959" s="33"/>
    </row>
    <row r="2960" spans="1:10">
      <c r="A2960" s="33" t="s">
        <v>133</v>
      </c>
      <c r="B2960" s="34">
        <v>387.16399999999999</v>
      </c>
      <c r="C2960" s="35">
        <v>76758.8</v>
      </c>
      <c r="D2960" s="33" t="s">
        <v>25</v>
      </c>
      <c r="E2960" s="34">
        <v>387.18</v>
      </c>
      <c r="F2960" s="36">
        <v>1.6000000000019599E-2</v>
      </c>
      <c r="G2960" s="34">
        <v>1.6000000000019599E-2</v>
      </c>
      <c r="H2960" s="35">
        <v>413.8</v>
      </c>
      <c r="I2960" s="37">
        <f t="shared" si="46"/>
        <v>5.3909128334471094E-3</v>
      </c>
      <c r="J2960" s="33" t="s">
        <v>116</v>
      </c>
    </row>
    <row r="2961" spans="1:10">
      <c r="A2961" s="33" t="s">
        <v>133</v>
      </c>
      <c r="B2961" s="34">
        <v>387.16399999999999</v>
      </c>
      <c r="C2961" s="35">
        <v>76758.8</v>
      </c>
      <c r="D2961" s="33" t="s">
        <v>275</v>
      </c>
      <c r="E2961" s="34">
        <v>387.18900000000002</v>
      </c>
      <c r="F2961" s="36">
        <v>2.5000000000034099E-2</v>
      </c>
      <c r="G2961" s="34">
        <v>2.5000000000034099E-2</v>
      </c>
      <c r="H2961" s="35">
        <v>55.3</v>
      </c>
      <c r="I2961" s="37">
        <f t="shared" si="46"/>
        <v>7.2043856860711734E-4</v>
      </c>
      <c r="J2961" s="33"/>
    </row>
    <row r="2962" spans="1:10">
      <c r="A2962" s="33" t="s">
        <v>133</v>
      </c>
      <c r="B2962" s="34">
        <v>387.16399999999999</v>
      </c>
      <c r="C2962" s="35">
        <v>76758.8</v>
      </c>
      <c r="D2962" s="33" t="s">
        <v>33</v>
      </c>
      <c r="E2962" s="34">
        <v>387.21100000000001</v>
      </c>
      <c r="F2962" s="36">
        <v>4.7000000000025501E-2</v>
      </c>
      <c r="G2962" s="34">
        <v>4.7000000000025501E-2</v>
      </c>
      <c r="H2962" s="35">
        <v>35902.300000000003</v>
      </c>
      <c r="I2962" s="37">
        <f t="shared" si="46"/>
        <v>0.46772878158595499</v>
      </c>
      <c r="J2962" s="33" t="s">
        <v>116</v>
      </c>
    </row>
    <row r="2963" spans="1:10">
      <c r="A2963" s="33" t="s">
        <v>133</v>
      </c>
      <c r="B2963" s="34">
        <v>387.16399999999999</v>
      </c>
      <c r="C2963" s="35">
        <v>76758.8</v>
      </c>
      <c r="D2963" s="33" t="s">
        <v>282</v>
      </c>
      <c r="E2963" s="34">
        <v>387.23899999999998</v>
      </c>
      <c r="F2963" s="36">
        <v>7.4999999999988604E-2</v>
      </c>
      <c r="G2963" s="34">
        <v>7.4999999999988604E-2</v>
      </c>
      <c r="H2963" s="35">
        <v>23.2</v>
      </c>
      <c r="I2963" s="37">
        <f t="shared" si="46"/>
        <v>3.0224547543734398E-4</v>
      </c>
      <c r="J2963" s="33"/>
    </row>
    <row r="2964" spans="1:10">
      <c r="A2964" s="33" t="s">
        <v>133</v>
      </c>
      <c r="B2964" s="34">
        <v>387.16399999999999</v>
      </c>
      <c r="C2964" s="35">
        <v>76758.8</v>
      </c>
      <c r="D2964" s="33" t="s">
        <v>97</v>
      </c>
      <c r="E2964" s="34">
        <v>387.25</v>
      </c>
      <c r="F2964" s="36">
        <v>8.6000000000012705E-2</v>
      </c>
      <c r="G2964" s="34">
        <v>8.6000000000012705E-2</v>
      </c>
      <c r="H2964" s="35">
        <v>301.10000000000002</v>
      </c>
      <c r="I2964" s="37">
        <f t="shared" si="46"/>
        <v>3.9226772695769088E-3</v>
      </c>
      <c r="J2964" s="33"/>
    </row>
    <row r="2965" spans="1:10">
      <c r="A2965" s="33" t="s">
        <v>133</v>
      </c>
      <c r="B2965" s="34">
        <v>387.16399999999999</v>
      </c>
      <c r="C2965" s="35">
        <v>76758.8</v>
      </c>
      <c r="D2965" s="33" t="s">
        <v>238</v>
      </c>
      <c r="E2965" s="34">
        <v>387.25400000000002</v>
      </c>
      <c r="F2965" s="36">
        <v>9.0000000000031805E-2</v>
      </c>
      <c r="G2965" s="34">
        <v>9.0000000000031805E-2</v>
      </c>
      <c r="H2965" s="35">
        <v>9.1</v>
      </c>
      <c r="I2965" s="37">
        <f t="shared" si="46"/>
        <v>1.1855318217585475E-4</v>
      </c>
      <c r="J2965" s="33"/>
    </row>
    <row r="2966" spans="1:10">
      <c r="A2966" s="33" t="s">
        <v>133</v>
      </c>
      <c r="B2966" s="34">
        <v>387.16399999999999</v>
      </c>
      <c r="C2966" s="35">
        <v>76758.8</v>
      </c>
      <c r="D2966" s="33" t="s">
        <v>269</v>
      </c>
      <c r="E2966" s="34">
        <v>387.255</v>
      </c>
      <c r="F2966" s="36">
        <v>9.1000000000008199E-2</v>
      </c>
      <c r="G2966" s="34">
        <v>9.1000000000008199E-2</v>
      </c>
      <c r="H2966" s="35">
        <v>1507.4</v>
      </c>
      <c r="I2966" s="37">
        <f t="shared" si="46"/>
        <v>1.9638139210097084E-2</v>
      </c>
      <c r="J2966" s="33"/>
    </row>
    <row r="2967" spans="1:10">
      <c r="A2967" s="33" t="s">
        <v>133</v>
      </c>
      <c r="B2967" s="34">
        <v>387.16399999999999</v>
      </c>
      <c r="C2967" s="35">
        <v>76758.8</v>
      </c>
      <c r="D2967" s="33" t="s">
        <v>173</v>
      </c>
      <c r="E2967" s="34">
        <v>387.27</v>
      </c>
      <c r="F2967" s="36">
        <v>0.105999999999995</v>
      </c>
      <c r="G2967" s="34">
        <v>0.105999999999995</v>
      </c>
      <c r="H2967" s="35">
        <v>332.8</v>
      </c>
      <c r="I2967" s="37">
        <f t="shared" si="46"/>
        <v>4.3356592338598312E-3</v>
      </c>
      <c r="J2967" s="33"/>
    </row>
    <row r="2968" spans="1:10">
      <c r="A2968" s="33" t="s">
        <v>133</v>
      </c>
      <c r="B2968" s="34">
        <v>387.16399999999999</v>
      </c>
      <c r="C2968" s="35">
        <v>76758.8</v>
      </c>
      <c r="D2968" s="33" t="s">
        <v>280</v>
      </c>
      <c r="E2968" s="34">
        <v>387.27199999999999</v>
      </c>
      <c r="F2968" s="36">
        <v>0.108000000000004</v>
      </c>
      <c r="G2968" s="34">
        <v>0.108000000000004</v>
      </c>
      <c r="H2968" s="35">
        <v>79.2</v>
      </c>
      <c r="I2968" s="37">
        <f t="shared" si="46"/>
        <v>1.0318035195964503E-3</v>
      </c>
      <c r="J2968" s="33"/>
    </row>
    <row r="2969" spans="1:10">
      <c r="A2969" s="33" t="s">
        <v>133</v>
      </c>
      <c r="B2969" s="34">
        <v>387.16399999999999</v>
      </c>
      <c r="C2969" s="35">
        <v>76758.8</v>
      </c>
      <c r="D2969" s="33" t="s">
        <v>271</v>
      </c>
      <c r="E2969" s="34">
        <v>387.27199999999999</v>
      </c>
      <c r="F2969" s="36">
        <v>0.108000000000004</v>
      </c>
      <c r="G2969" s="34">
        <v>0.108000000000004</v>
      </c>
      <c r="H2969" s="35">
        <v>3361</v>
      </c>
      <c r="I2969" s="37">
        <f t="shared" si="46"/>
        <v>4.3786510471763497E-2</v>
      </c>
      <c r="J2969" s="33"/>
    </row>
    <row r="2970" spans="1:10">
      <c r="A2970" s="33" t="s">
        <v>133</v>
      </c>
      <c r="B2970" s="34">
        <v>387.16399999999999</v>
      </c>
      <c r="C2970" s="35">
        <v>76758.8</v>
      </c>
      <c r="D2970" s="33" t="s">
        <v>274</v>
      </c>
      <c r="E2970" s="34">
        <v>387.28300000000002</v>
      </c>
      <c r="F2970" s="36">
        <v>0.119000000000028</v>
      </c>
      <c r="G2970" s="34">
        <v>0.119000000000028</v>
      </c>
      <c r="H2970" s="35">
        <v>45</v>
      </c>
      <c r="I2970" s="37">
        <f t="shared" si="46"/>
        <v>5.8625199977071032E-4</v>
      </c>
      <c r="J2970" s="33"/>
    </row>
    <row r="2971" spans="1:10">
      <c r="A2971" s="33" t="s">
        <v>133</v>
      </c>
      <c r="B2971" s="34">
        <v>387.16399999999999</v>
      </c>
      <c r="C2971" s="35">
        <v>76758.8</v>
      </c>
      <c r="D2971" s="33" t="s">
        <v>201</v>
      </c>
      <c r="E2971" s="34">
        <v>387.286</v>
      </c>
      <c r="F2971" s="36">
        <v>0.122000000000014</v>
      </c>
      <c r="G2971" s="34">
        <v>0.122000000000014</v>
      </c>
      <c r="H2971" s="35">
        <v>73.900000000000006</v>
      </c>
      <c r="I2971" s="37">
        <f t="shared" si="46"/>
        <v>9.6275606184567772E-4</v>
      </c>
      <c r="J2971" s="33"/>
    </row>
    <row r="2972" spans="1:10">
      <c r="A2972" s="33" t="s">
        <v>133</v>
      </c>
      <c r="B2972" s="34">
        <v>387.16399999999999</v>
      </c>
      <c r="C2972" s="35">
        <v>76758.8</v>
      </c>
      <c r="D2972" s="33" t="s">
        <v>54</v>
      </c>
      <c r="E2972" s="34">
        <v>387.30200000000002</v>
      </c>
      <c r="F2972" s="36">
        <v>0.13800000000003401</v>
      </c>
      <c r="G2972" s="34">
        <v>0.13800000000003401</v>
      </c>
      <c r="H2972" s="35">
        <v>1811.5</v>
      </c>
      <c r="I2972" s="37">
        <f t="shared" si="46"/>
        <v>2.3599899946325373E-2</v>
      </c>
      <c r="J2972" s="33"/>
    </row>
    <row r="2973" spans="1:10">
      <c r="A2973" s="33" t="s">
        <v>133</v>
      </c>
      <c r="B2973" s="34">
        <v>387.16399999999999</v>
      </c>
      <c r="C2973" s="35">
        <v>76758.8</v>
      </c>
      <c r="D2973" s="33" t="s">
        <v>275</v>
      </c>
      <c r="E2973" s="34">
        <v>387.31099999999998</v>
      </c>
      <c r="F2973" s="36">
        <v>0.146999999999991</v>
      </c>
      <c r="G2973" s="34">
        <v>0.146999999999991</v>
      </c>
      <c r="H2973" s="35">
        <v>13.1</v>
      </c>
      <c r="I2973" s="37">
        <f t="shared" si="46"/>
        <v>1.7066447104436232E-4</v>
      </c>
      <c r="J2973" s="33"/>
    </row>
    <row r="2974" spans="1:10">
      <c r="A2974" s="33" t="s">
        <v>133</v>
      </c>
      <c r="B2974" s="34">
        <v>387.16399999999999</v>
      </c>
      <c r="C2974" s="35">
        <v>76758.8</v>
      </c>
      <c r="D2974" s="33" t="s">
        <v>270</v>
      </c>
      <c r="E2974" s="34">
        <v>387.32100000000003</v>
      </c>
      <c r="F2974" s="36">
        <v>0.157000000000039</v>
      </c>
      <c r="G2974" s="34">
        <v>0.157000000000039</v>
      </c>
      <c r="H2974" s="35">
        <v>1165.8</v>
      </c>
      <c r="I2974" s="37">
        <f t="shared" si="46"/>
        <v>1.5187835140726535E-2</v>
      </c>
      <c r="J2974" s="33"/>
    </row>
    <row r="2975" spans="1:10">
      <c r="A2975" s="33" t="s">
        <v>133</v>
      </c>
      <c r="B2975" s="34">
        <v>394.91</v>
      </c>
      <c r="C2975" s="35">
        <v>114995.4</v>
      </c>
      <c r="D2975" s="33" t="s">
        <v>84</v>
      </c>
      <c r="E2975" s="34">
        <v>394.30599999999998</v>
      </c>
      <c r="F2975" s="36">
        <v>0.60399999999999998</v>
      </c>
      <c r="G2975" s="34">
        <v>0.60399999999999998</v>
      </c>
      <c r="H2975" s="35">
        <v>62.9</v>
      </c>
      <c r="I2975" s="37">
        <f t="shared" si="46"/>
        <v>5.4697840087516547E-4</v>
      </c>
      <c r="J2975" s="33" t="s">
        <v>116</v>
      </c>
    </row>
    <row r="2976" spans="1:10">
      <c r="A2976" s="33" t="s">
        <v>133</v>
      </c>
      <c r="B2976" s="34">
        <v>394.91</v>
      </c>
      <c r="C2976" s="35">
        <v>114995.4</v>
      </c>
      <c r="D2976" s="33" t="s">
        <v>27</v>
      </c>
      <c r="E2976" s="34">
        <v>394.68</v>
      </c>
      <c r="F2976" s="36">
        <v>0.230000000000018</v>
      </c>
      <c r="G2976" s="34">
        <v>0.230000000000018</v>
      </c>
      <c r="H2976" s="35">
        <v>374.4</v>
      </c>
      <c r="I2976" s="37">
        <f t="shared" si="46"/>
        <v>3.2557824052092516E-3</v>
      </c>
      <c r="J2976" s="33" t="s">
        <v>116</v>
      </c>
    </row>
    <row r="2977" spans="1:10">
      <c r="A2977" s="33" t="s">
        <v>133</v>
      </c>
      <c r="B2977" s="34">
        <v>394.91</v>
      </c>
      <c r="C2977" s="35">
        <v>114995.4</v>
      </c>
      <c r="D2977" s="33" t="s">
        <v>201</v>
      </c>
      <c r="E2977" s="34">
        <v>394.68799999999999</v>
      </c>
      <c r="F2977" s="36">
        <v>0.222000000000037</v>
      </c>
      <c r="G2977" s="34">
        <v>0.222000000000037</v>
      </c>
      <c r="H2977" s="35">
        <v>2054.9</v>
      </c>
      <c r="I2977" s="37">
        <f t="shared" si="46"/>
        <v>1.7869410428591057E-2</v>
      </c>
      <c r="J2977" s="33"/>
    </row>
    <row r="2978" spans="1:10">
      <c r="A2978" s="33" t="s">
        <v>133</v>
      </c>
      <c r="B2978" s="34">
        <v>394.91</v>
      </c>
      <c r="C2978" s="35">
        <v>114995.4</v>
      </c>
      <c r="D2978" s="33" t="s">
        <v>33</v>
      </c>
      <c r="E2978" s="34">
        <v>394.69299999999998</v>
      </c>
      <c r="F2978" s="36">
        <v>0.21700000000004099</v>
      </c>
      <c r="G2978" s="34">
        <v>0.21700000000004099</v>
      </c>
      <c r="H2978" s="35">
        <v>769.7</v>
      </c>
      <c r="I2978" s="37">
        <f t="shared" si="46"/>
        <v>6.6933112107092985E-3</v>
      </c>
      <c r="J2978" s="33" t="s">
        <v>116</v>
      </c>
    </row>
    <row r="2979" spans="1:10">
      <c r="A2979" s="33" t="s">
        <v>133</v>
      </c>
      <c r="B2979" s="34">
        <v>394.91</v>
      </c>
      <c r="C2979" s="35">
        <v>114995.4</v>
      </c>
      <c r="D2979" s="33" t="s">
        <v>97</v>
      </c>
      <c r="E2979" s="34">
        <v>394.69900000000001</v>
      </c>
      <c r="F2979" s="36">
        <v>0.21100000000001301</v>
      </c>
      <c r="G2979" s="34">
        <v>0.21100000000001301</v>
      </c>
      <c r="H2979" s="35">
        <v>3.4</v>
      </c>
      <c r="I2979" s="37">
        <f t="shared" si="46"/>
        <v>2.956640004730624E-5</v>
      </c>
      <c r="J2979" s="33"/>
    </row>
    <row r="2980" spans="1:10">
      <c r="A2980" s="33" t="s">
        <v>133</v>
      </c>
      <c r="B2980" s="34">
        <v>394.91</v>
      </c>
      <c r="C2980" s="35">
        <v>114995.4</v>
      </c>
      <c r="D2980" s="33" t="s">
        <v>275</v>
      </c>
      <c r="E2980" s="34">
        <v>394.71699999999998</v>
      </c>
      <c r="F2980" s="36">
        <v>0.193000000000041</v>
      </c>
      <c r="G2980" s="34">
        <v>0.193000000000041</v>
      </c>
      <c r="H2980" s="35">
        <v>47</v>
      </c>
      <c r="I2980" s="37">
        <f t="shared" si="46"/>
        <v>4.0871200065393924E-4</v>
      </c>
      <c r="J2980" s="33"/>
    </row>
    <row r="2981" spans="1:10">
      <c r="A2981" s="33" t="s">
        <v>133</v>
      </c>
      <c r="B2981" s="34">
        <v>394.91</v>
      </c>
      <c r="C2981" s="35">
        <v>114995.4</v>
      </c>
      <c r="D2981" s="33" t="s">
        <v>287</v>
      </c>
      <c r="E2981" s="34">
        <v>394.75</v>
      </c>
      <c r="F2981" s="36">
        <v>0.16000000000002501</v>
      </c>
      <c r="G2981" s="34">
        <v>0.16000000000002501</v>
      </c>
      <c r="H2981" s="35">
        <v>13764</v>
      </c>
      <c r="I2981" s="37">
        <f t="shared" si="46"/>
        <v>0.1196917441915068</v>
      </c>
      <c r="J2981" s="33"/>
    </row>
    <row r="2982" spans="1:10">
      <c r="A2982" s="33" t="s">
        <v>133</v>
      </c>
      <c r="B2982" s="34">
        <v>394.91</v>
      </c>
      <c r="C2982" s="35">
        <v>114995.4</v>
      </c>
      <c r="D2982" s="33" t="s">
        <v>27</v>
      </c>
      <c r="E2982" s="34">
        <v>394.75900000000001</v>
      </c>
      <c r="F2982" s="36">
        <v>0.15100000000001099</v>
      </c>
      <c r="G2982" s="34">
        <v>0.15100000000001099</v>
      </c>
      <c r="H2982" s="35">
        <v>380.7</v>
      </c>
      <c r="I2982" s="37">
        <f t="shared" si="46"/>
        <v>3.3105672052969074E-3</v>
      </c>
      <c r="J2982" s="33" t="s">
        <v>116</v>
      </c>
    </row>
    <row r="2983" spans="1:10">
      <c r="A2983" s="33" t="s">
        <v>133</v>
      </c>
      <c r="B2983" s="34">
        <v>394.91</v>
      </c>
      <c r="C2983" s="35">
        <v>114995.4</v>
      </c>
      <c r="D2983" s="33" t="s">
        <v>173</v>
      </c>
      <c r="E2983" s="34">
        <v>394.76299999999998</v>
      </c>
      <c r="F2983" s="36">
        <v>0.14700000000004801</v>
      </c>
      <c r="G2983" s="34">
        <v>0.14700000000004801</v>
      </c>
      <c r="H2983" s="35">
        <v>3136.4</v>
      </c>
      <c r="I2983" s="37">
        <f t="shared" si="46"/>
        <v>2.7274134443638617E-2</v>
      </c>
      <c r="J2983" s="33"/>
    </row>
    <row r="2984" spans="1:10">
      <c r="A2984" s="33" t="s">
        <v>133</v>
      </c>
      <c r="B2984" s="34">
        <v>394.91</v>
      </c>
      <c r="C2984" s="35">
        <v>114995.4</v>
      </c>
      <c r="D2984" s="33" t="s">
        <v>237</v>
      </c>
      <c r="E2984" s="34">
        <v>394.77699999999999</v>
      </c>
      <c r="F2984" s="36">
        <v>0.133000000000038</v>
      </c>
      <c r="G2984" s="34">
        <v>0.133000000000038</v>
      </c>
      <c r="H2984" s="35">
        <v>348.1</v>
      </c>
      <c r="I2984" s="37">
        <f t="shared" si="46"/>
        <v>3.0270776048433247E-3</v>
      </c>
      <c r="J2984" s="33"/>
    </row>
    <row r="2985" spans="1:10">
      <c r="A2985" s="33" t="s">
        <v>133</v>
      </c>
      <c r="B2985" s="34">
        <v>394.91</v>
      </c>
      <c r="C2985" s="35">
        <v>114995.4</v>
      </c>
      <c r="D2985" s="33" t="s">
        <v>25</v>
      </c>
      <c r="E2985" s="34">
        <v>394.79700000000003</v>
      </c>
      <c r="F2985" s="36">
        <v>0.113</v>
      </c>
      <c r="G2985" s="34">
        <v>0.113</v>
      </c>
      <c r="H2985" s="35">
        <v>667</v>
      </c>
      <c r="I2985" s="37">
        <f t="shared" si="46"/>
        <v>5.8002320092803714E-3</v>
      </c>
      <c r="J2985" s="33" t="s">
        <v>116</v>
      </c>
    </row>
    <row r="2986" spans="1:10">
      <c r="A2986" s="33" t="s">
        <v>133</v>
      </c>
      <c r="B2986" s="34">
        <v>394.91</v>
      </c>
      <c r="C2986" s="35">
        <v>114995.4</v>
      </c>
      <c r="D2986" s="33" t="s">
        <v>274</v>
      </c>
      <c r="E2986" s="34">
        <v>394.79700000000003</v>
      </c>
      <c r="F2986" s="36">
        <v>0.113</v>
      </c>
      <c r="G2986" s="34">
        <v>0.113</v>
      </c>
      <c r="H2986" s="35">
        <v>8.9</v>
      </c>
      <c r="I2986" s="37">
        <f t="shared" si="46"/>
        <v>7.7394400123831052E-5</v>
      </c>
      <c r="J2986" s="33"/>
    </row>
    <row r="2987" spans="1:10">
      <c r="A2987" s="33" t="s">
        <v>133</v>
      </c>
      <c r="B2987" s="34">
        <v>394.91</v>
      </c>
      <c r="C2987" s="35">
        <v>114995.4</v>
      </c>
      <c r="D2987" s="33" t="s">
        <v>97</v>
      </c>
      <c r="E2987" s="34">
        <v>394.81</v>
      </c>
      <c r="F2987" s="36">
        <v>0.100000000000023</v>
      </c>
      <c r="G2987" s="34">
        <v>0.100000000000023</v>
      </c>
      <c r="H2987" s="35">
        <v>5.9</v>
      </c>
      <c r="I2987" s="37">
        <f t="shared" si="46"/>
        <v>5.1306400082090246E-5</v>
      </c>
      <c r="J2987" s="33"/>
    </row>
    <row r="2988" spans="1:10">
      <c r="A2988" s="33" t="s">
        <v>133</v>
      </c>
      <c r="B2988" s="34">
        <v>394.91</v>
      </c>
      <c r="C2988" s="35">
        <v>114995.4</v>
      </c>
      <c r="D2988" s="33" t="s">
        <v>270</v>
      </c>
      <c r="E2988" s="34">
        <v>394.81099999999998</v>
      </c>
      <c r="F2988" s="36">
        <v>9.9000000000046398E-2</v>
      </c>
      <c r="G2988" s="34">
        <v>9.9000000000046398E-2</v>
      </c>
      <c r="H2988" s="35">
        <v>3124.2</v>
      </c>
      <c r="I2988" s="37">
        <f t="shared" si="46"/>
        <v>2.7168043243468869E-2</v>
      </c>
      <c r="J2988" s="33"/>
    </row>
    <row r="2989" spans="1:10">
      <c r="A2989" s="33" t="s">
        <v>133</v>
      </c>
      <c r="B2989" s="34">
        <v>394.91</v>
      </c>
      <c r="C2989" s="35">
        <v>114995.4</v>
      </c>
      <c r="D2989" s="33" t="s">
        <v>27</v>
      </c>
      <c r="E2989" s="34">
        <v>394.834</v>
      </c>
      <c r="F2989" s="36">
        <v>7.60000000000218E-2</v>
      </c>
      <c r="G2989" s="34">
        <v>7.60000000000218E-2</v>
      </c>
      <c r="H2989" s="35">
        <v>795.5</v>
      </c>
      <c r="I2989" s="37">
        <f t="shared" si="46"/>
        <v>6.9176680110682688E-3</v>
      </c>
      <c r="J2989" s="33" t="s">
        <v>116</v>
      </c>
    </row>
    <row r="2990" spans="1:10">
      <c r="A2990" s="33" t="s">
        <v>133</v>
      </c>
      <c r="B2990" s="34">
        <v>394.91</v>
      </c>
      <c r="C2990" s="35">
        <v>114995.4</v>
      </c>
      <c r="D2990" s="33" t="s">
        <v>294</v>
      </c>
      <c r="E2990" s="34">
        <v>394.839</v>
      </c>
      <c r="F2990" s="36">
        <v>7.1000000000026403E-2</v>
      </c>
      <c r="G2990" s="34">
        <v>7.1000000000026403E-2</v>
      </c>
      <c r="H2990" s="35">
        <v>1</v>
      </c>
      <c r="I2990" s="37">
        <f t="shared" si="46"/>
        <v>8.6960000139135998E-6</v>
      </c>
      <c r="J2990" s="33"/>
    </row>
    <row r="2991" spans="1:10">
      <c r="A2991" s="33" t="s">
        <v>133</v>
      </c>
      <c r="B2991" s="34">
        <v>394.91</v>
      </c>
      <c r="C2991" s="35">
        <v>114995.4</v>
      </c>
      <c r="D2991" s="33" t="s">
        <v>237</v>
      </c>
      <c r="E2991" s="34">
        <v>394.86700000000002</v>
      </c>
      <c r="F2991" s="36">
        <v>4.3000000000006401E-2</v>
      </c>
      <c r="G2991" s="34">
        <v>4.3000000000006401E-2</v>
      </c>
      <c r="H2991" s="35">
        <v>1126.0999999999999</v>
      </c>
      <c r="I2991" s="37">
        <f t="shared" si="46"/>
        <v>9.7925656156681046E-3</v>
      </c>
      <c r="J2991" s="33"/>
    </row>
    <row r="2992" spans="1:10">
      <c r="A2992" s="33" t="s">
        <v>133</v>
      </c>
      <c r="B2992" s="34">
        <v>394.91</v>
      </c>
      <c r="C2992" s="35">
        <v>114995.4</v>
      </c>
      <c r="D2992" s="33" t="s">
        <v>97</v>
      </c>
      <c r="E2992" s="34">
        <v>394.87700000000001</v>
      </c>
      <c r="F2992" s="36">
        <v>3.3000000000015503E-2</v>
      </c>
      <c r="G2992" s="34">
        <v>3.3000000000015503E-2</v>
      </c>
      <c r="H2992" s="35">
        <v>15.2</v>
      </c>
      <c r="I2992" s="37">
        <f t="shared" si="46"/>
        <v>1.3217920021148672E-4</v>
      </c>
      <c r="J2992" s="33"/>
    </row>
    <row r="2993" spans="1:10">
      <c r="A2993" s="33" t="s">
        <v>133</v>
      </c>
      <c r="B2993" s="34">
        <v>394.91</v>
      </c>
      <c r="C2993" s="35">
        <v>114995.4</v>
      </c>
      <c r="D2993" s="33" t="s">
        <v>271</v>
      </c>
      <c r="E2993" s="34">
        <v>394.89600000000002</v>
      </c>
      <c r="F2993" s="36">
        <v>1.4000000000009999E-2</v>
      </c>
      <c r="G2993" s="34">
        <v>1.4000000000009999E-2</v>
      </c>
      <c r="H2993" s="35">
        <v>854.1</v>
      </c>
      <c r="I2993" s="37">
        <f t="shared" si="46"/>
        <v>7.4272536118836063E-3</v>
      </c>
      <c r="J2993" s="33"/>
    </row>
    <row r="2994" spans="1:10">
      <c r="A2994" s="33" t="s">
        <v>133</v>
      </c>
      <c r="B2994" s="34">
        <v>394.91</v>
      </c>
      <c r="C2994" s="35">
        <v>114995.4</v>
      </c>
      <c r="D2994" s="33" t="s">
        <v>287</v>
      </c>
      <c r="E2994" s="34">
        <v>394.89800000000002</v>
      </c>
      <c r="F2994" s="36">
        <v>1.20000000000005E-2</v>
      </c>
      <c r="G2994" s="34">
        <v>1.20000000000005E-2</v>
      </c>
      <c r="H2994" s="35">
        <v>45380</v>
      </c>
      <c r="I2994" s="37">
        <f t="shared" si="46"/>
        <v>0.39462448063139921</v>
      </c>
      <c r="J2994" s="33"/>
    </row>
    <row r="2995" spans="1:10">
      <c r="A2995" s="33" t="s">
        <v>133</v>
      </c>
      <c r="B2995" s="34">
        <v>394.91</v>
      </c>
      <c r="C2995" s="35">
        <v>114995.4</v>
      </c>
      <c r="D2995" s="33" t="s">
        <v>36</v>
      </c>
      <c r="E2995" s="34">
        <v>394.92399999999998</v>
      </c>
      <c r="F2995" s="36">
        <v>1.4E-2</v>
      </c>
      <c r="G2995" s="34">
        <v>1.4E-2</v>
      </c>
      <c r="H2995" s="35">
        <v>351.1</v>
      </c>
      <c r="I2995" s="37">
        <f t="shared" si="46"/>
        <v>3.0531656048850653E-3</v>
      </c>
      <c r="J2995" s="33" t="s">
        <v>116</v>
      </c>
    </row>
    <row r="2996" spans="1:10">
      <c r="A2996" s="33" t="s">
        <v>133</v>
      </c>
      <c r="B2996" s="34">
        <v>394.91</v>
      </c>
      <c r="C2996" s="35">
        <v>114995.4</v>
      </c>
      <c r="D2996" s="33" t="s">
        <v>109</v>
      </c>
      <c r="E2996" s="34">
        <v>394.92700000000002</v>
      </c>
      <c r="F2996" s="36">
        <v>1.69999999999959E-2</v>
      </c>
      <c r="G2996" s="34">
        <v>1.69999999999959E-2</v>
      </c>
      <c r="H2996" s="35">
        <v>211.8</v>
      </c>
      <c r="I2996" s="37">
        <f t="shared" si="46"/>
        <v>1.8418128029469008E-3</v>
      </c>
      <c r="J2996" s="33" t="s">
        <v>116</v>
      </c>
    </row>
    <row r="2997" spans="1:10">
      <c r="A2997" s="33" t="s">
        <v>133</v>
      </c>
      <c r="B2997" s="34">
        <v>394.91</v>
      </c>
      <c r="C2997" s="35">
        <v>114995.4</v>
      </c>
      <c r="D2997" s="33" t="s">
        <v>273</v>
      </c>
      <c r="E2997" s="34">
        <v>394.93299999999999</v>
      </c>
      <c r="F2997" s="36">
        <v>2.2999999999967699E-2</v>
      </c>
      <c r="G2997" s="34">
        <v>2.2999999999967699E-2</v>
      </c>
      <c r="H2997" s="35">
        <v>186.7</v>
      </c>
      <c r="I2997" s="37">
        <f t="shared" si="46"/>
        <v>1.6235432025976692E-3</v>
      </c>
      <c r="J2997" s="33"/>
    </row>
    <row r="2998" spans="1:10">
      <c r="A2998" s="33" t="s">
        <v>133</v>
      </c>
      <c r="B2998" s="34">
        <v>394.91</v>
      </c>
      <c r="C2998" s="35">
        <v>114995.4</v>
      </c>
      <c r="D2998" s="33" t="s">
        <v>25</v>
      </c>
      <c r="E2998" s="34">
        <v>394.94</v>
      </c>
      <c r="F2998" s="36">
        <v>2.9999999999972701E-2</v>
      </c>
      <c r="G2998" s="34">
        <v>2.9999999999972701E-2</v>
      </c>
      <c r="H2998" s="35">
        <v>503.7</v>
      </c>
      <c r="I2998" s="37">
        <f t="shared" si="46"/>
        <v>4.3801752070082803E-3</v>
      </c>
      <c r="J2998" s="33" t="s">
        <v>116</v>
      </c>
    </row>
    <row r="2999" spans="1:10">
      <c r="A2999" s="33" t="s">
        <v>133</v>
      </c>
      <c r="B2999" s="34">
        <v>394.91</v>
      </c>
      <c r="C2999" s="35">
        <v>114995.4</v>
      </c>
      <c r="D2999" s="33" t="s">
        <v>268</v>
      </c>
      <c r="E2999" s="34">
        <v>394.94200000000001</v>
      </c>
      <c r="F2999" s="36">
        <v>3.19999999999823E-2</v>
      </c>
      <c r="G2999" s="34">
        <v>3.19999999999823E-2</v>
      </c>
      <c r="H2999" s="35">
        <v>6.6</v>
      </c>
      <c r="I2999" s="37">
        <f t="shared" si="46"/>
        <v>5.7393600091829761E-5</v>
      </c>
      <c r="J2999" s="33"/>
    </row>
    <row r="3000" spans="1:10">
      <c r="A3000" s="33" t="s">
        <v>133</v>
      </c>
      <c r="B3000" s="34">
        <v>394.91</v>
      </c>
      <c r="C3000" s="35">
        <v>114995.4</v>
      </c>
      <c r="D3000" s="33" t="s">
        <v>173</v>
      </c>
      <c r="E3000" s="34">
        <v>394.94299999999998</v>
      </c>
      <c r="F3000" s="36">
        <v>3.2999999999958597E-2</v>
      </c>
      <c r="G3000" s="34">
        <v>3.2999999999958597E-2</v>
      </c>
      <c r="H3000" s="35">
        <v>3845.4</v>
      </c>
      <c r="I3000" s="37">
        <f t="shared" si="46"/>
        <v>3.3439598453503361E-2</v>
      </c>
      <c r="J3000" s="33"/>
    </row>
    <row r="3001" spans="1:10">
      <c r="A3001" s="33" t="s">
        <v>133</v>
      </c>
      <c r="B3001" s="34">
        <v>394.91</v>
      </c>
      <c r="C3001" s="35">
        <v>114995.4</v>
      </c>
      <c r="D3001" s="33" t="s">
        <v>239</v>
      </c>
      <c r="E3001" s="34">
        <v>394.959</v>
      </c>
      <c r="F3001" s="36">
        <v>4.89999999999782E-2</v>
      </c>
      <c r="G3001" s="34">
        <v>4.89999999999782E-2</v>
      </c>
      <c r="H3001" s="35">
        <v>27</v>
      </c>
      <c r="I3001" s="37">
        <f t="shared" si="46"/>
        <v>2.3479200037566721E-4</v>
      </c>
      <c r="J3001" s="33"/>
    </row>
    <row r="3002" spans="1:10">
      <c r="A3002" s="33" t="s">
        <v>133</v>
      </c>
      <c r="B3002" s="34">
        <v>394.91</v>
      </c>
      <c r="C3002" s="35">
        <v>114995.4</v>
      </c>
      <c r="D3002" s="33" t="s">
        <v>284</v>
      </c>
      <c r="E3002" s="34">
        <v>394.97800000000001</v>
      </c>
      <c r="F3002" s="36">
        <v>6.7999999999983601E-2</v>
      </c>
      <c r="G3002" s="34">
        <v>6.7999999999983601E-2</v>
      </c>
      <c r="H3002" s="35">
        <v>0.4</v>
      </c>
      <c r="I3002" s="37">
        <f t="shared" si="46"/>
        <v>3.4784000055654406E-6</v>
      </c>
      <c r="J3002" s="33"/>
    </row>
    <row r="3003" spans="1:10">
      <c r="A3003" s="33" t="s">
        <v>133</v>
      </c>
      <c r="B3003" s="34">
        <v>394.91</v>
      </c>
      <c r="C3003" s="35">
        <v>114995.4</v>
      </c>
      <c r="D3003" s="33" t="s">
        <v>97</v>
      </c>
      <c r="E3003" s="34">
        <v>394.995</v>
      </c>
      <c r="F3003" s="36">
        <v>8.4999999999979495E-2</v>
      </c>
      <c r="G3003" s="34">
        <v>8.4999999999979495E-2</v>
      </c>
      <c r="H3003" s="35">
        <v>12.6</v>
      </c>
      <c r="I3003" s="37">
        <f t="shared" si="46"/>
        <v>1.0956960017531137E-4</v>
      </c>
      <c r="J3003" s="33"/>
    </row>
    <row r="3004" spans="1:10">
      <c r="A3004" s="33" t="s">
        <v>133</v>
      </c>
      <c r="B3004" s="34">
        <v>394.91</v>
      </c>
      <c r="C3004" s="35">
        <v>114995.4</v>
      </c>
      <c r="D3004" s="33" t="s">
        <v>268</v>
      </c>
      <c r="E3004" s="34">
        <v>395.02199999999999</v>
      </c>
      <c r="F3004" s="36">
        <v>0.111999999999966</v>
      </c>
      <c r="G3004" s="34">
        <v>0.111999999999966</v>
      </c>
      <c r="H3004" s="35">
        <v>80.400000000000006</v>
      </c>
      <c r="I3004" s="37">
        <f t="shared" si="46"/>
        <v>6.9915840111865355E-4</v>
      </c>
      <c r="J3004" s="33"/>
    </row>
    <row r="3005" spans="1:10">
      <c r="A3005" s="33" t="s">
        <v>133</v>
      </c>
      <c r="B3005" s="34">
        <v>394.91</v>
      </c>
      <c r="C3005" s="35">
        <v>114995.4</v>
      </c>
      <c r="D3005" s="33" t="s">
        <v>116</v>
      </c>
      <c r="E3005" s="34">
        <v>395.03500000000003</v>
      </c>
      <c r="F3005" s="36">
        <v>0.125</v>
      </c>
      <c r="G3005" s="34">
        <v>0.125</v>
      </c>
      <c r="H3005" s="35">
        <v>49398.2</v>
      </c>
      <c r="I3005" s="37">
        <f t="shared" si="46"/>
        <v>0.42956674788730681</v>
      </c>
      <c r="J3005" s="33" t="s">
        <v>116</v>
      </c>
    </row>
    <row r="3006" spans="1:10">
      <c r="A3006" s="33" t="s">
        <v>133</v>
      </c>
      <c r="B3006" s="34">
        <v>394.91</v>
      </c>
      <c r="C3006" s="35">
        <v>114995.4</v>
      </c>
      <c r="D3006" s="33" t="s">
        <v>33</v>
      </c>
      <c r="E3006" s="34">
        <v>395.03899999999999</v>
      </c>
      <c r="F3006" s="36">
        <v>0.12899999999996201</v>
      </c>
      <c r="G3006" s="34">
        <v>0.12899999999996201</v>
      </c>
      <c r="H3006" s="35">
        <v>1497.7</v>
      </c>
      <c r="I3006" s="37">
        <f t="shared" si="46"/>
        <v>1.3023999220838399E-2</v>
      </c>
      <c r="J3006" s="33" t="s">
        <v>116</v>
      </c>
    </row>
    <row r="3007" spans="1:10">
      <c r="A3007" s="33" t="s">
        <v>133</v>
      </c>
      <c r="B3007" s="34">
        <v>394.91</v>
      </c>
      <c r="C3007" s="35">
        <v>114995.4</v>
      </c>
      <c r="D3007" s="33" t="s">
        <v>271</v>
      </c>
      <c r="E3007" s="34">
        <v>395.03899999999999</v>
      </c>
      <c r="F3007" s="36">
        <v>0.12899999999996201</v>
      </c>
      <c r="G3007" s="34">
        <v>0.12899999999996201</v>
      </c>
      <c r="H3007" s="35">
        <v>659</v>
      </c>
      <c r="I3007" s="37">
        <f t="shared" si="46"/>
        <v>5.730664009169063E-3</v>
      </c>
      <c r="J3007" s="33"/>
    </row>
    <row r="3008" spans="1:10">
      <c r="A3008" s="33" t="s">
        <v>133</v>
      </c>
      <c r="B3008" s="34">
        <v>394.91</v>
      </c>
      <c r="C3008" s="35">
        <v>114995.4</v>
      </c>
      <c r="D3008" s="33" t="s">
        <v>25</v>
      </c>
      <c r="E3008" s="34">
        <v>395.04300000000001</v>
      </c>
      <c r="F3008" s="36">
        <v>0.13299999999998099</v>
      </c>
      <c r="G3008" s="34">
        <v>0.13299999999998099</v>
      </c>
      <c r="H3008" s="35">
        <v>671.6</v>
      </c>
      <c r="I3008" s="37">
        <f t="shared" si="46"/>
        <v>5.8402336093443747E-3</v>
      </c>
      <c r="J3008" s="33" t="s">
        <v>116</v>
      </c>
    </row>
    <row r="3009" spans="1:10">
      <c r="A3009" s="33" t="s">
        <v>133</v>
      </c>
      <c r="B3009" s="34">
        <v>394.91</v>
      </c>
      <c r="C3009" s="35">
        <v>114995.4</v>
      </c>
      <c r="D3009" s="33" t="s">
        <v>279</v>
      </c>
      <c r="E3009" s="34">
        <v>395.06299999999999</v>
      </c>
      <c r="F3009" s="36">
        <v>0.152999999999963</v>
      </c>
      <c r="G3009" s="34">
        <v>0.152999999999963</v>
      </c>
      <c r="H3009" s="35">
        <v>2.4</v>
      </c>
      <c r="I3009" s="37">
        <f t="shared" si="46"/>
        <v>2.087040003339264E-5</v>
      </c>
      <c r="J3009" s="33"/>
    </row>
    <row r="3010" spans="1:10">
      <c r="A3010" s="33" t="s">
        <v>133</v>
      </c>
      <c r="B3010" s="34">
        <v>394.91</v>
      </c>
      <c r="C3010" s="35">
        <v>114995.4</v>
      </c>
      <c r="D3010" s="33" t="s">
        <v>280</v>
      </c>
      <c r="E3010" s="34">
        <v>395.07600000000002</v>
      </c>
      <c r="F3010" s="36">
        <v>0.16599999999999701</v>
      </c>
      <c r="G3010" s="34">
        <v>0.16599999999999701</v>
      </c>
      <c r="H3010" s="35">
        <v>53.4</v>
      </c>
      <c r="I3010" s="37">
        <f t="shared" ref="I3010:I3073" si="47">H3010/C3010</f>
        <v>4.6436640074298623E-4</v>
      </c>
      <c r="J3010" s="33"/>
    </row>
    <row r="3011" spans="1:10">
      <c r="A3011" s="33" t="s">
        <v>133</v>
      </c>
      <c r="B3011" s="34">
        <v>394.91</v>
      </c>
      <c r="C3011" s="35">
        <v>114995.4</v>
      </c>
      <c r="D3011" s="33" t="s">
        <v>25</v>
      </c>
      <c r="E3011" s="34">
        <v>395.08100000000002</v>
      </c>
      <c r="F3011" s="36">
        <v>0.17099999999999199</v>
      </c>
      <c r="G3011" s="34">
        <v>0.17099999999999199</v>
      </c>
      <c r="H3011" s="35">
        <v>223.1</v>
      </c>
      <c r="I3011" s="37">
        <f t="shared" si="47"/>
        <v>1.9400776031041243E-3</v>
      </c>
      <c r="J3011" s="33" t="s">
        <v>116</v>
      </c>
    </row>
    <row r="3012" spans="1:10">
      <c r="A3012" s="33" t="s">
        <v>133</v>
      </c>
      <c r="B3012" s="34">
        <v>394.91</v>
      </c>
      <c r="C3012" s="35">
        <v>114995.4</v>
      </c>
      <c r="D3012" s="33" t="s">
        <v>275</v>
      </c>
      <c r="E3012" s="34">
        <v>395.10599999999999</v>
      </c>
      <c r="F3012" s="36">
        <v>0.19599999999997</v>
      </c>
      <c r="G3012" s="34">
        <v>0.19599999999997</v>
      </c>
      <c r="H3012" s="35">
        <v>6.9</v>
      </c>
      <c r="I3012" s="37">
        <f t="shared" si="47"/>
        <v>6.0002400096003846E-5</v>
      </c>
      <c r="J3012" s="33"/>
    </row>
    <row r="3013" spans="1:10">
      <c r="A3013" s="33" t="s">
        <v>133</v>
      </c>
      <c r="B3013" s="34">
        <v>394.91</v>
      </c>
      <c r="C3013" s="35">
        <v>114995.4</v>
      </c>
      <c r="D3013" s="33" t="s">
        <v>271</v>
      </c>
      <c r="E3013" s="34">
        <v>395.11099999999999</v>
      </c>
      <c r="F3013" s="36">
        <v>0.20099999999996501</v>
      </c>
      <c r="G3013" s="34">
        <v>0.20099999999996501</v>
      </c>
      <c r="H3013" s="35">
        <v>157.1</v>
      </c>
      <c r="I3013" s="37">
        <f t="shared" si="47"/>
        <v>1.3661416021858266E-3</v>
      </c>
      <c r="J3013" s="33"/>
    </row>
    <row r="3014" spans="1:10">
      <c r="A3014" s="33" t="s">
        <v>133</v>
      </c>
      <c r="B3014" s="34">
        <v>394.91</v>
      </c>
      <c r="C3014" s="35">
        <v>114995.4</v>
      </c>
      <c r="D3014" s="33" t="s">
        <v>27</v>
      </c>
      <c r="E3014" s="34">
        <v>395.11399999999998</v>
      </c>
      <c r="F3014" s="36">
        <v>0.203999999999951</v>
      </c>
      <c r="G3014" s="34">
        <v>0.203999999999951</v>
      </c>
      <c r="H3014" s="35">
        <v>10000.969999999999</v>
      </c>
      <c r="I3014" s="37">
        <f t="shared" si="47"/>
        <v>8.696843525914949E-2</v>
      </c>
      <c r="J3014" s="33" t="s">
        <v>116</v>
      </c>
    </row>
    <row r="3015" spans="1:10">
      <c r="A3015" s="33" t="s">
        <v>133</v>
      </c>
      <c r="B3015" s="34">
        <v>398.85199999999998</v>
      </c>
      <c r="C3015" s="35">
        <v>85700.9</v>
      </c>
      <c r="D3015" s="33" t="s">
        <v>116</v>
      </c>
      <c r="E3015" s="34">
        <v>398</v>
      </c>
      <c r="F3015" s="36">
        <v>0.85199999999999998</v>
      </c>
      <c r="G3015" s="34">
        <v>0.85199999999999998</v>
      </c>
      <c r="H3015" s="35">
        <v>12.2</v>
      </c>
      <c r="I3015" s="37">
        <f t="shared" si="47"/>
        <v>1.4235556452732703E-4</v>
      </c>
      <c r="J3015" s="33" t="s">
        <v>116</v>
      </c>
    </row>
    <row r="3016" spans="1:10">
      <c r="A3016" s="33" t="s">
        <v>133</v>
      </c>
      <c r="B3016" s="34">
        <v>398.85199999999998</v>
      </c>
      <c r="C3016" s="35">
        <v>85700.9</v>
      </c>
      <c r="D3016" s="33" t="s">
        <v>240</v>
      </c>
      <c r="E3016" s="34">
        <v>398.68200000000002</v>
      </c>
      <c r="F3016" s="36">
        <v>0.16999999999995899</v>
      </c>
      <c r="G3016" s="34">
        <v>0.16999999999995899</v>
      </c>
      <c r="H3016" s="35">
        <v>71.900000000000006</v>
      </c>
      <c r="I3016" s="37">
        <f t="shared" si="47"/>
        <v>8.3896435159957496E-4</v>
      </c>
      <c r="J3016" s="33"/>
    </row>
    <row r="3017" spans="1:10">
      <c r="A3017" s="33" t="s">
        <v>133</v>
      </c>
      <c r="B3017" s="34">
        <v>398.85199999999998</v>
      </c>
      <c r="C3017" s="35">
        <v>85700.9</v>
      </c>
      <c r="D3017" s="33" t="s">
        <v>270</v>
      </c>
      <c r="E3017" s="34">
        <v>398.69</v>
      </c>
      <c r="F3017" s="36">
        <v>0.16199999999997799</v>
      </c>
      <c r="G3017" s="34">
        <v>0.16199999999997799</v>
      </c>
      <c r="H3017" s="35">
        <v>1163.2</v>
      </c>
      <c r="I3017" s="37">
        <f t="shared" si="47"/>
        <v>1.3572786283457934E-2</v>
      </c>
      <c r="J3017" s="33"/>
    </row>
    <row r="3018" spans="1:10">
      <c r="A3018" s="33" t="s">
        <v>133</v>
      </c>
      <c r="B3018" s="34">
        <v>398.85199999999998</v>
      </c>
      <c r="C3018" s="35">
        <v>85700.9</v>
      </c>
      <c r="D3018" s="33" t="s">
        <v>33</v>
      </c>
      <c r="E3018" s="34">
        <v>398.70699999999999</v>
      </c>
      <c r="F3018" s="36">
        <v>0.144999999999982</v>
      </c>
      <c r="G3018" s="34">
        <v>0.144999999999982</v>
      </c>
      <c r="H3018" s="35">
        <v>455.1</v>
      </c>
      <c r="I3018" s="37">
        <f t="shared" si="47"/>
        <v>5.3103292964251257E-3</v>
      </c>
      <c r="J3018" s="33" t="s">
        <v>116</v>
      </c>
    </row>
    <row r="3019" spans="1:10">
      <c r="A3019" s="33" t="s">
        <v>133</v>
      </c>
      <c r="B3019" s="34">
        <v>398.85199999999998</v>
      </c>
      <c r="C3019" s="35">
        <v>85700.9</v>
      </c>
      <c r="D3019" s="33" t="s">
        <v>240</v>
      </c>
      <c r="E3019" s="34">
        <v>398.709</v>
      </c>
      <c r="F3019" s="36">
        <v>0.14299999999997201</v>
      </c>
      <c r="G3019" s="34">
        <v>0.14299999999997201</v>
      </c>
      <c r="H3019" s="35">
        <v>55.7</v>
      </c>
      <c r="I3019" s="37">
        <f t="shared" si="47"/>
        <v>6.4993483148951766E-4</v>
      </c>
      <c r="J3019" s="33"/>
    </row>
    <row r="3020" spans="1:10">
      <c r="A3020" s="33" t="s">
        <v>133</v>
      </c>
      <c r="B3020" s="34">
        <v>398.85199999999998</v>
      </c>
      <c r="C3020" s="35">
        <v>85700.9</v>
      </c>
      <c r="D3020" s="33" t="s">
        <v>54</v>
      </c>
      <c r="E3020" s="34">
        <v>398.71100000000001</v>
      </c>
      <c r="F3020" s="36">
        <v>0.14099999999996299</v>
      </c>
      <c r="G3020" s="34">
        <v>0.14099999999996299</v>
      </c>
      <c r="H3020" s="35">
        <v>9.1</v>
      </c>
      <c r="I3020" s="37">
        <f t="shared" si="47"/>
        <v>1.0618324895071114E-4</v>
      </c>
      <c r="J3020" s="33"/>
    </row>
    <row r="3021" spans="1:10">
      <c r="A3021" s="33" t="s">
        <v>133</v>
      </c>
      <c r="B3021" s="34">
        <v>398.85199999999998</v>
      </c>
      <c r="C3021" s="35">
        <v>85700.9</v>
      </c>
      <c r="D3021" s="33" t="s">
        <v>27</v>
      </c>
      <c r="E3021" s="34">
        <v>398.72199999999998</v>
      </c>
      <c r="F3021" s="36">
        <v>0.12999999999999601</v>
      </c>
      <c r="G3021" s="34">
        <v>0.12999999999999601</v>
      </c>
      <c r="H3021" s="35">
        <v>583.29999999999995</v>
      </c>
      <c r="I3021" s="37">
        <f t="shared" si="47"/>
        <v>6.8062295728516268E-3</v>
      </c>
      <c r="J3021" s="33" t="s">
        <v>116</v>
      </c>
    </row>
    <row r="3022" spans="1:10">
      <c r="A3022" s="33" t="s">
        <v>133</v>
      </c>
      <c r="B3022" s="34">
        <v>398.85199999999998</v>
      </c>
      <c r="C3022" s="35">
        <v>85700.9</v>
      </c>
      <c r="D3022" s="33" t="s">
        <v>270</v>
      </c>
      <c r="E3022" s="34">
        <v>398.74200000000002</v>
      </c>
      <c r="F3022" s="36">
        <v>0.10999999999995699</v>
      </c>
      <c r="G3022" s="34">
        <v>0.10999999999995699</v>
      </c>
      <c r="H3022" s="35">
        <v>1903.2</v>
      </c>
      <c r="I3022" s="37">
        <f t="shared" si="47"/>
        <v>2.2207468066263017E-2</v>
      </c>
      <c r="J3022" s="33"/>
    </row>
    <row r="3023" spans="1:10">
      <c r="A3023" s="33" t="s">
        <v>133</v>
      </c>
      <c r="B3023" s="34">
        <v>398.85199999999998</v>
      </c>
      <c r="C3023" s="35">
        <v>85700.9</v>
      </c>
      <c r="D3023" s="33" t="s">
        <v>278</v>
      </c>
      <c r="E3023" s="34">
        <v>398.74799999999999</v>
      </c>
      <c r="F3023" s="36">
        <v>0.10399999999998499</v>
      </c>
      <c r="G3023" s="34">
        <v>0.10399999999998499</v>
      </c>
      <c r="H3023" s="35">
        <v>12.2</v>
      </c>
      <c r="I3023" s="37">
        <f t="shared" si="47"/>
        <v>1.4235556452732703E-4</v>
      </c>
      <c r="J3023" s="33"/>
    </row>
    <row r="3024" spans="1:10">
      <c r="A3024" s="33" t="s">
        <v>133</v>
      </c>
      <c r="B3024" s="34">
        <v>398.85199999999998</v>
      </c>
      <c r="C3024" s="35">
        <v>85700.9</v>
      </c>
      <c r="D3024" s="33" t="s">
        <v>237</v>
      </c>
      <c r="E3024" s="34">
        <v>398.76</v>
      </c>
      <c r="F3024" s="36">
        <v>9.1999999999984497E-2</v>
      </c>
      <c r="G3024" s="34">
        <v>9.1999999999984497E-2</v>
      </c>
      <c r="H3024" s="35">
        <v>86.7</v>
      </c>
      <c r="I3024" s="37">
        <f t="shared" si="47"/>
        <v>1.0116579872556765E-3</v>
      </c>
      <c r="J3024" s="33"/>
    </row>
    <row r="3025" spans="1:10">
      <c r="A3025" s="33" t="s">
        <v>133</v>
      </c>
      <c r="B3025" s="34">
        <v>398.85199999999998</v>
      </c>
      <c r="C3025" s="35">
        <v>85700.9</v>
      </c>
      <c r="D3025" s="33" t="s">
        <v>302</v>
      </c>
      <c r="E3025" s="34">
        <v>398.77699999999999</v>
      </c>
      <c r="F3025" s="36">
        <v>7.4999999999988604E-2</v>
      </c>
      <c r="G3025" s="34">
        <v>7.4999999999988604E-2</v>
      </c>
      <c r="H3025" s="35">
        <v>337.1</v>
      </c>
      <c r="I3025" s="37">
        <f t="shared" si="47"/>
        <v>3.9334476067345858E-3</v>
      </c>
      <c r="J3025" s="33"/>
    </row>
    <row r="3026" spans="1:10">
      <c r="A3026" s="33" t="s">
        <v>133</v>
      </c>
      <c r="B3026" s="34">
        <v>398.85199999999998</v>
      </c>
      <c r="C3026" s="35">
        <v>85700.9</v>
      </c>
      <c r="D3026" s="33" t="s">
        <v>268</v>
      </c>
      <c r="E3026" s="34">
        <v>398.779</v>
      </c>
      <c r="F3026" s="36">
        <v>7.2999999999979095E-2</v>
      </c>
      <c r="G3026" s="34">
        <v>7.2999999999979095E-2</v>
      </c>
      <c r="H3026" s="35">
        <v>61.3</v>
      </c>
      <c r="I3026" s="37">
        <f t="shared" si="47"/>
        <v>7.1527836930533985E-4</v>
      </c>
      <c r="J3026" s="33"/>
    </row>
    <row r="3027" spans="1:10">
      <c r="A3027" s="33" t="s">
        <v>133</v>
      </c>
      <c r="B3027" s="34">
        <v>398.85199999999998</v>
      </c>
      <c r="C3027" s="35">
        <v>85700.9</v>
      </c>
      <c r="D3027" s="33" t="s">
        <v>27</v>
      </c>
      <c r="E3027" s="34">
        <v>398.78</v>
      </c>
      <c r="F3027" s="36">
        <v>7.2000000000002701E-2</v>
      </c>
      <c r="G3027" s="34">
        <v>7.2000000000002701E-2</v>
      </c>
      <c r="H3027" s="35">
        <v>376.3</v>
      </c>
      <c r="I3027" s="37">
        <f t="shared" si="47"/>
        <v>4.3908523714453413E-3</v>
      </c>
      <c r="J3027" s="33" t="s">
        <v>116</v>
      </c>
    </row>
    <row r="3028" spans="1:10">
      <c r="A3028" s="33" t="s">
        <v>133</v>
      </c>
      <c r="B3028" s="34">
        <v>398.85199999999998</v>
      </c>
      <c r="C3028" s="35">
        <v>85700.9</v>
      </c>
      <c r="D3028" s="33" t="s">
        <v>36</v>
      </c>
      <c r="E3028" s="34">
        <v>398.78300000000002</v>
      </c>
      <c r="F3028" s="36">
        <v>6.8999999999959996E-2</v>
      </c>
      <c r="G3028" s="34">
        <v>6.8999999999959996E-2</v>
      </c>
      <c r="H3028" s="35">
        <v>53</v>
      </c>
      <c r="I3028" s="37">
        <f t="shared" si="47"/>
        <v>6.1842991147117478E-4</v>
      </c>
      <c r="J3028" s="33" t="s">
        <v>116</v>
      </c>
    </row>
    <row r="3029" spans="1:10">
      <c r="A3029" s="33" t="s">
        <v>133</v>
      </c>
      <c r="B3029" s="34">
        <v>398.85199999999998</v>
      </c>
      <c r="C3029" s="35">
        <v>85700.9</v>
      </c>
      <c r="D3029" s="33" t="s">
        <v>201</v>
      </c>
      <c r="E3029" s="34">
        <v>398.79899999999998</v>
      </c>
      <c r="F3029" s="36">
        <v>5.2999999999997299E-2</v>
      </c>
      <c r="G3029" s="34">
        <v>5.2999999999997299E-2</v>
      </c>
      <c r="H3029" s="35">
        <v>22935.8</v>
      </c>
      <c r="I3029" s="37">
        <f t="shared" si="47"/>
        <v>0.26762612761359567</v>
      </c>
      <c r="J3029" s="33"/>
    </row>
    <row r="3030" spans="1:10">
      <c r="A3030" s="33" t="s">
        <v>133</v>
      </c>
      <c r="B3030" s="34">
        <v>398.85199999999998</v>
      </c>
      <c r="C3030" s="35">
        <v>85700.9</v>
      </c>
      <c r="D3030" s="33" t="s">
        <v>271</v>
      </c>
      <c r="E3030" s="34">
        <v>398.80200000000002</v>
      </c>
      <c r="F3030" s="36">
        <v>4.9999999999954498E-2</v>
      </c>
      <c r="G3030" s="34">
        <v>4.9999999999954498E-2</v>
      </c>
      <c r="H3030" s="35">
        <v>1309</v>
      </c>
      <c r="I3030" s="37">
        <f t="shared" si="47"/>
        <v>1.5274051964448448E-2</v>
      </c>
      <c r="J3030" s="33"/>
    </row>
    <row r="3031" spans="1:10">
      <c r="A3031" s="33" t="s">
        <v>133</v>
      </c>
      <c r="B3031" s="34">
        <v>398.85199999999998</v>
      </c>
      <c r="C3031" s="35">
        <v>85700.9</v>
      </c>
      <c r="D3031" s="33" t="s">
        <v>273</v>
      </c>
      <c r="E3031" s="34">
        <v>398.81599999999997</v>
      </c>
      <c r="F3031" s="36">
        <v>3.6000000000001399E-2</v>
      </c>
      <c r="G3031" s="34">
        <v>3.6000000000001399E-2</v>
      </c>
      <c r="H3031" s="35">
        <v>19.7</v>
      </c>
      <c r="I3031" s="37">
        <f t="shared" si="47"/>
        <v>2.298692312449461E-4</v>
      </c>
      <c r="J3031" s="33"/>
    </row>
    <row r="3032" spans="1:10">
      <c r="A3032" s="33" t="s">
        <v>133</v>
      </c>
      <c r="B3032" s="34">
        <v>398.85199999999998</v>
      </c>
      <c r="C3032" s="35">
        <v>85700.9</v>
      </c>
      <c r="D3032" s="33" t="s">
        <v>284</v>
      </c>
      <c r="E3032" s="34">
        <v>398.81799999999998</v>
      </c>
      <c r="F3032" s="36">
        <v>3.3999999999991801E-2</v>
      </c>
      <c r="G3032" s="34">
        <v>3.3999999999991801E-2</v>
      </c>
      <c r="H3032" s="35">
        <v>0.6</v>
      </c>
      <c r="I3032" s="37">
        <f t="shared" si="47"/>
        <v>7.0010933374095257E-6</v>
      </c>
      <c r="J3032" s="33"/>
    </row>
    <row r="3033" spans="1:10">
      <c r="A3033" s="33" t="s">
        <v>133</v>
      </c>
      <c r="B3033" s="34">
        <v>398.85199999999998</v>
      </c>
      <c r="C3033" s="35">
        <v>85700.9</v>
      </c>
      <c r="D3033" s="33" t="s">
        <v>280</v>
      </c>
      <c r="E3033" s="34">
        <v>398.82400000000001</v>
      </c>
      <c r="F3033" s="36">
        <v>2.79999999999632E-2</v>
      </c>
      <c r="G3033" s="34">
        <v>2.79999999999632E-2</v>
      </c>
      <c r="H3033" s="35">
        <v>444</v>
      </c>
      <c r="I3033" s="37">
        <f t="shared" si="47"/>
        <v>5.180809069683049E-3</v>
      </c>
      <c r="J3033" s="33"/>
    </row>
    <row r="3034" spans="1:10">
      <c r="A3034" s="33" t="s">
        <v>133</v>
      </c>
      <c r="B3034" s="34">
        <v>398.85199999999998</v>
      </c>
      <c r="C3034" s="35">
        <v>85700.9</v>
      </c>
      <c r="D3034" s="33" t="s">
        <v>284</v>
      </c>
      <c r="E3034" s="34">
        <v>398.86200000000002</v>
      </c>
      <c r="F3034" s="36">
        <v>1.0000000000047801E-2</v>
      </c>
      <c r="G3034" s="34">
        <v>1.0000000000047801E-2</v>
      </c>
      <c r="H3034" s="35">
        <v>0.3</v>
      </c>
      <c r="I3034" s="37">
        <f t="shared" si="47"/>
        <v>3.5005466687047628E-6</v>
      </c>
      <c r="J3034" s="33"/>
    </row>
    <row r="3035" spans="1:10">
      <c r="A3035" s="33" t="s">
        <v>133</v>
      </c>
      <c r="B3035" s="34">
        <v>398.85199999999998</v>
      </c>
      <c r="C3035" s="35">
        <v>85700.9</v>
      </c>
      <c r="D3035" s="33" t="s">
        <v>236</v>
      </c>
      <c r="E3035" s="34">
        <v>398.86700000000002</v>
      </c>
      <c r="F3035" s="36">
        <v>1.5000000000043199E-2</v>
      </c>
      <c r="G3035" s="34">
        <v>1.5000000000043199E-2</v>
      </c>
      <c r="H3035" s="35">
        <v>25.5</v>
      </c>
      <c r="I3035" s="37">
        <f t="shared" si="47"/>
        <v>2.9754646683990483E-4</v>
      </c>
      <c r="J3035" s="33"/>
    </row>
    <row r="3036" spans="1:10">
      <c r="A3036" s="33" t="s">
        <v>133</v>
      </c>
      <c r="B3036" s="34">
        <v>398.85199999999998</v>
      </c>
      <c r="C3036" s="35">
        <v>85700.9</v>
      </c>
      <c r="D3036" s="33" t="s">
        <v>193</v>
      </c>
      <c r="E3036" s="34">
        <v>398.87</v>
      </c>
      <c r="F3036" s="36">
        <v>1.80000000000291E-2</v>
      </c>
      <c r="G3036" s="34">
        <v>1.80000000000291E-2</v>
      </c>
      <c r="H3036" s="35">
        <v>19.2</v>
      </c>
      <c r="I3036" s="37">
        <f t="shared" si="47"/>
        <v>2.2403498679710482E-4</v>
      </c>
      <c r="J3036" s="33"/>
    </row>
    <row r="3037" spans="1:10">
      <c r="A3037" s="33" t="s">
        <v>133</v>
      </c>
      <c r="B3037" s="34">
        <v>398.85199999999998</v>
      </c>
      <c r="C3037" s="35">
        <v>85700.9</v>
      </c>
      <c r="D3037" s="33" t="s">
        <v>27</v>
      </c>
      <c r="E3037" s="34">
        <v>398.88</v>
      </c>
      <c r="F3037" s="36">
        <v>2.8000000000019998E-2</v>
      </c>
      <c r="G3037" s="34">
        <v>2.8000000000019998E-2</v>
      </c>
      <c r="H3037" s="35">
        <v>497.4</v>
      </c>
      <c r="I3037" s="37">
        <f t="shared" si="47"/>
        <v>5.8039063767124964E-3</v>
      </c>
      <c r="J3037" s="33" t="s">
        <v>116</v>
      </c>
    </row>
    <row r="3038" spans="1:10">
      <c r="A3038" s="33" t="s">
        <v>133</v>
      </c>
      <c r="B3038" s="34">
        <v>398.85199999999998</v>
      </c>
      <c r="C3038" s="35">
        <v>85700.9</v>
      </c>
      <c r="D3038" s="33" t="s">
        <v>278</v>
      </c>
      <c r="E3038" s="34">
        <v>398.88400000000001</v>
      </c>
      <c r="F3038" s="36">
        <v>3.2000000000039101E-2</v>
      </c>
      <c r="G3038" s="34">
        <v>3.2000000000039101E-2</v>
      </c>
      <c r="H3038" s="35">
        <v>27.5</v>
      </c>
      <c r="I3038" s="37">
        <f t="shared" si="47"/>
        <v>3.2088344463126995E-4</v>
      </c>
      <c r="J3038" s="33"/>
    </row>
    <row r="3039" spans="1:10">
      <c r="A3039" s="33" t="s">
        <v>133</v>
      </c>
      <c r="B3039" s="34">
        <v>398.85199999999998</v>
      </c>
      <c r="C3039" s="35">
        <v>85700.9</v>
      </c>
      <c r="D3039" s="33" t="s">
        <v>271</v>
      </c>
      <c r="E3039" s="34">
        <v>398.88499999999999</v>
      </c>
      <c r="F3039" s="36">
        <v>3.3000000000015503E-2</v>
      </c>
      <c r="G3039" s="34">
        <v>3.3000000000015503E-2</v>
      </c>
      <c r="H3039" s="35">
        <v>414</v>
      </c>
      <c r="I3039" s="37">
        <f t="shared" si="47"/>
        <v>4.8307544028125728E-3</v>
      </c>
      <c r="J3039" s="33"/>
    </row>
    <row r="3040" spans="1:10">
      <c r="A3040" s="33" t="s">
        <v>133</v>
      </c>
      <c r="B3040" s="34">
        <v>398.85199999999998</v>
      </c>
      <c r="C3040" s="35">
        <v>85700.9</v>
      </c>
      <c r="D3040" s="33" t="s">
        <v>277</v>
      </c>
      <c r="E3040" s="34">
        <v>398.88799999999998</v>
      </c>
      <c r="F3040" s="36">
        <v>3.6000000000001399E-2</v>
      </c>
      <c r="G3040" s="34">
        <v>3.6000000000001399E-2</v>
      </c>
      <c r="H3040" s="35">
        <v>270.10000000000002</v>
      </c>
      <c r="I3040" s="37">
        <f t="shared" si="47"/>
        <v>3.1516588507238554E-3</v>
      </c>
      <c r="J3040" s="33"/>
    </row>
    <row r="3041" spans="1:10">
      <c r="A3041" s="33" t="s">
        <v>133</v>
      </c>
      <c r="B3041" s="34">
        <v>398.85199999999998</v>
      </c>
      <c r="C3041" s="35">
        <v>85700.9</v>
      </c>
      <c r="D3041" s="33" t="s">
        <v>184</v>
      </c>
      <c r="E3041" s="34">
        <v>398.90600000000001</v>
      </c>
      <c r="F3041" s="36">
        <v>5.4000000000030503E-2</v>
      </c>
      <c r="G3041" s="34">
        <v>5.4000000000030503E-2</v>
      </c>
      <c r="H3041" s="35">
        <v>550.6</v>
      </c>
      <c r="I3041" s="37">
        <f t="shared" si="47"/>
        <v>6.4246699859628088E-3</v>
      </c>
      <c r="J3041" s="33"/>
    </row>
    <row r="3042" spans="1:10">
      <c r="A3042" s="33" t="s">
        <v>133</v>
      </c>
      <c r="B3042" s="34">
        <v>398.85199999999998</v>
      </c>
      <c r="C3042" s="35">
        <v>85700.9</v>
      </c>
      <c r="D3042" s="33" t="s">
        <v>36</v>
      </c>
      <c r="E3042" s="34">
        <v>398.92399999999998</v>
      </c>
      <c r="F3042" s="36">
        <v>7.1999999999999995E-2</v>
      </c>
      <c r="G3042" s="34">
        <v>7.1999999999999995E-2</v>
      </c>
      <c r="H3042" s="35">
        <v>945.5</v>
      </c>
      <c r="I3042" s="37">
        <f t="shared" si="47"/>
        <v>1.1032556250867845E-2</v>
      </c>
      <c r="J3042" s="33" t="s">
        <v>116</v>
      </c>
    </row>
    <row r="3043" spans="1:10">
      <c r="A3043" s="33" t="s">
        <v>133</v>
      </c>
      <c r="B3043" s="34">
        <v>398.85199999999998</v>
      </c>
      <c r="C3043" s="35">
        <v>85700.9</v>
      </c>
      <c r="D3043" s="33" t="s">
        <v>25</v>
      </c>
      <c r="E3043" s="34">
        <v>398.94400000000002</v>
      </c>
      <c r="F3043" s="36">
        <v>9.2000000000041396E-2</v>
      </c>
      <c r="G3043" s="34">
        <v>9.2000000000041396E-2</v>
      </c>
      <c r="H3043" s="35">
        <v>1942</v>
      </c>
      <c r="I3043" s="37">
        <f t="shared" si="47"/>
        <v>2.2660205435415498E-2</v>
      </c>
      <c r="J3043" s="33" t="s">
        <v>116</v>
      </c>
    </row>
    <row r="3044" spans="1:10">
      <c r="A3044" s="33" t="s">
        <v>133</v>
      </c>
      <c r="B3044" s="34">
        <v>398.85199999999998</v>
      </c>
      <c r="C3044" s="35">
        <v>85700.9</v>
      </c>
      <c r="D3044" s="33" t="s">
        <v>236</v>
      </c>
      <c r="E3044" s="34">
        <v>398.94900000000001</v>
      </c>
      <c r="F3044" s="36">
        <v>9.7000000000036807E-2</v>
      </c>
      <c r="G3044" s="34">
        <v>9.7000000000036807E-2</v>
      </c>
      <c r="H3044" s="35">
        <v>80.599999999999994</v>
      </c>
      <c r="I3044" s="37">
        <f t="shared" si="47"/>
        <v>9.4048020499201289E-4</v>
      </c>
      <c r="J3044" s="33"/>
    </row>
    <row r="3045" spans="1:10">
      <c r="A3045" s="33" t="s">
        <v>133</v>
      </c>
      <c r="B3045" s="34">
        <v>398.85199999999998</v>
      </c>
      <c r="C3045" s="35">
        <v>85700.9</v>
      </c>
      <c r="D3045" s="33" t="s">
        <v>173</v>
      </c>
      <c r="E3045" s="34">
        <v>398.96800000000002</v>
      </c>
      <c r="F3045" s="36">
        <v>0.116000000000042</v>
      </c>
      <c r="G3045" s="34">
        <v>0.116000000000042</v>
      </c>
      <c r="H3045" s="35">
        <v>5656.6</v>
      </c>
      <c r="I3045" s="37">
        <f t="shared" si="47"/>
        <v>6.6003974287317885E-2</v>
      </c>
      <c r="J3045" s="33"/>
    </row>
    <row r="3046" spans="1:10">
      <c r="A3046" s="33" t="s">
        <v>133</v>
      </c>
      <c r="B3046" s="34">
        <v>398.85199999999998</v>
      </c>
      <c r="C3046" s="35">
        <v>85700.9</v>
      </c>
      <c r="D3046" s="33" t="s">
        <v>25</v>
      </c>
      <c r="E3046" s="34">
        <v>398.97500000000002</v>
      </c>
      <c r="F3046" s="36">
        <v>0.123000000000047</v>
      </c>
      <c r="G3046" s="34">
        <v>0.123000000000047</v>
      </c>
      <c r="H3046" s="35">
        <v>164.9</v>
      </c>
      <c r="I3046" s="37">
        <f t="shared" si="47"/>
        <v>1.9241338188980515E-3</v>
      </c>
      <c r="J3046" s="33" t="s">
        <v>116</v>
      </c>
    </row>
    <row r="3047" spans="1:10">
      <c r="A3047" s="33" t="s">
        <v>133</v>
      </c>
      <c r="B3047" s="34">
        <v>398.85199999999998</v>
      </c>
      <c r="C3047" s="35">
        <v>85700.9</v>
      </c>
      <c r="D3047" s="33" t="s">
        <v>237</v>
      </c>
      <c r="E3047" s="34">
        <v>398.976</v>
      </c>
      <c r="F3047" s="36">
        <v>0.12400000000002399</v>
      </c>
      <c r="G3047" s="34">
        <v>0.12400000000002399</v>
      </c>
      <c r="H3047" s="35">
        <v>3229.4</v>
      </c>
      <c r="I3047" s="37">
        <f t="shared" si="47"/>
        <v>3.7682218039717205E-2</v>
      </c>
      <c r="J3047" s="33"/>
    </row>
    <row r="3048" spans="1:10">
      <c r="A3048" s="33" t="s">
        <v>133</v>
      </c>
      <c r="B3048" s="34">
        <v>398.85199999999998</v>
      </c>
      <c r="C3048" s="35">
        <v>85700.9</v>
      </c>
      <c r="D3048" s="33" t="s">
        <v>278</v>
      </c>
      <c r="E3048" s="34">
        <v>398.97899999999998</v>
      </c>
      <c r="F3048" s="36">
        <v>0.12700000000000999</v>
      </c>
      <c r="G3048" s="34">
        <v>0.12700000000000999</v>
      </c>
      <c r="H3048" s="35">
        <v>124.4</v>
      </c>
      <c r="I3048" s="37">
        <f t="shared" si="47"/>
        <v>1.4515600186229085E-3</v>
      </c>
      <c r="J3048" s="33"/>
    </row>
    <row r="3049" spans="1:10">
      <c r="A3049" s="33" t="s">
        <v>133</v>
      </c>
      <c r="B3049" s="34">
        <v>398.85199999999998</v>
      </c>
      <c r="C3049" s="35">
        <v>85700.9</v>
      </c>
      <c r="D3049" s="33" t="s">
        <v>275</v>
      </c>
      <c r="E3049" s="34">
        <v>398.99200000000002</v>
      </c>
      <c r="F3049" s="36">
        <v>0.14000000000004301</v>
      </c>
      <c r="G3049" s="34">
        <v>0.14000000000004301</v>
      </c>
      <c r="H3049" s="35">
        <v>3.6</v>
      </c>
      <c r="I3049" s="37">
        <f t="shared" si="47"/>
        <v>4.2006560024457157E-5</v>
      </c>
      <c r="J3049" s="33"/>
    </row>
    <row r="3050" spans="1:10">
      <c r="A3050" s="33" t="s">
        <v>133</v>
      </c>
      <c r="B3050" s="34">
        <v>398.85199999999998</v>
      </c>
      <c r="C3050" s="35">
        <v>85700.9</v>
      </c>
      <c r="D3050" s="33" t="s">
        <v>239</v>
      </c>
      <c r="E3050" s="34">
        <v>398.99799999999999</v>
      </c>
      <c r="F3050" s="36">
        <v>0.14600000000001501</v>
      </c>
      <c r="G3050" s="34">
        <v>0.14600000000001501</v>
      </c>
      <c r="H3050" s="35">
        <v>70</v>
      </c>
      <c r="I3050" s="37">
        <f t="shared" si="47"/>
        <v>8.16794222697778E-4</v>
      </c>
      <c r="J3050" s="33"/>
    </row>
    <row r="3051" spans="1:10">
      <c r="A3051" s="33" t="s">
        <v>133</v>
      </c>
      <c r="B3051" s="34">
        <v>398.85199999999998</v>
      </c>
      <c r="C3051" s="35">
        <v>85700.9</v>
      </c>
      <c r="D3051" s="33" t="s">
        <v>84</v>
      </c>
      <c r="E3051" s="34">
        <v>399</v>
      </c>
      <c r="F3051" s="36">
        <v>0.14799999999999999</v>
      </c>
      <c r="G3051" s="34">
        <v>0.14799999999999999</v>
      </c>
      <c r="H3051" s="35">
        <v>163.19999999999999</v>
      </c>
      <c r="I3051" s="37">
        <f t="shared" si="47"/>
        <v>1.9042973877753909E-3</v>
      </c>
      <c r="J3051" s="33" t="s">
        <v>116</v>
      </c>
    </row>
    <row r="3052" spans="1:10">
      <c r="A3052" s="33" t="s">
        <v>133</v>
      </c>
      <c r="B3052" s="34">
        <v>398.85199999999998</v>
      </c>
      <c r="C3052" s="35">
        <v>85700.9</v>
      </c>
      <c r="D3052" s="33" t="s">
        <v>36</v>
      </c>
      <c r="E3052" s="34">
        <v>399</v>
      </c>
      <c r="F3052" s="36">
        <v>0.14799999999999999</v>
      </c>
      <c r="G3052" s="34">
        <v>0.14799999999999999</v>
      </c>
      <c r="H3052" s="35">
        <v>2354.1999999999998</v>
      </c>
      <c r="I3052" s="37">
        <f t="shared" si="47"/>
        <v>2.7469956558215842E-2</v>
      </c>
      <c r="J3052" s="33" t="s">
        <v>116</v>
      </c>
    </row>
    <row r="3053" spans="1:10">
      <c r="A3053" s="33" t="s">
        <v>133</v>
      </c>
      <c r="B3053" s="34">
        <v>398.85199999999998</v>
      </c>
      <c r="C3053" s="35">
        <v>85700.9</v>
      </c>
      <c r="D3053" s="33" t="s">
        <v>270</v>
      </c>
      <c r="E3053" s="34">
        <v>399.00099999999998</v>
      </c>
      <c r="F3053" s="36">
        <v>0.14900000000000099</v>
      </c>
      <c r="G3053" s="34">
        <v>0.14900000000000099</v>
      </c>
      <c r="H3053" s="35">
        <v>3517.4</v>
      </c>
      <c r="I3053" s="37">
        <f t="shared" si="47"/>
        <v>4.1042742841673779E-2</v>
      </c>
      <c r="J3053" s="33"/>
    </row>
    <row r="3054" spans="1:10">
      <c r="A3054" s="33" t="s">
        <v>133</v>
      </c>
      <c r="B3054" s="34">
        <v>398.85199999999998</v>
      </c>
      <c r="C3054" s="35">
        <v>85700.9</v>
      </c>
      <c r="D3054" s="33" t="s">
        <v>25</v>
      </c>
      <c r="E3054" s="34">
        <v>399.01</v>
      </c>
      <c r="F3054" s="36">
        <v>0.15800000000001599</v>
      </c>
      <c r="G3054" s="34">
        <v>0.15800000000001599</v>
      </c>
      <c r="H3054" s="35">
        <v>817.1</v>
      </c>
      <c r="I3054" s="37">
        <f t="shared" si="47"/>
        <v>9.5343222766622066E-3</v>
      </c>
      <c r="J3054" s="33" t="s">
        <v>116</v>
      </c>
    </row>
    <row r="3055" spans="1:10">
      <c r="A3055" s="33" t="s">
        <v>133</v>
      </c>
      <c r="B3055" s="34">
        <v>398.85199999999998</v>
      </c>
      <c r="C3055" s="35">
        <v>85700.9</v>
      </c>
      <c r="D3055" s="33" t="s">
        <v>27</v>
      </c>
      <c r="E3055" s="34">
        <v>399.01</v>
      </c>
      <c r="F3055" s="36">
        <v>0.15800000000001599</v>
      </c>
      <c r="G3055" s="34">
        <v>0.15800000000001599</v>
      </c>
      <c r="H3055" s="35">
        <v>10270.4</v>
      </c>
      <c r="I3055" s="37">
        <f t="shared" si="47"/>
        <v>0.11984004835421799</v>
      </c>
      <c r="J3055" s="33" t="s">
        <v>116</v>
      </c>
    </row>
    <row r="3056" spans="1:10">
      <c r="A3056" s="33" t="s">
        <v>133</v>
      </c>
      <c r="B3056" s="34">
        <v>399.57499999999999</v>
      </c>
      <c r="C3056" s="35">
        <v>61003.199999999997</v>
      </c>
      <c r="D3056" s="33" t="s">
        <v>239</v>
      </c>
      <c r="E3056" s="34">
        <v>399.39600000000002</v>
      </c>
      <c r="F3056" s="36">
        <v>0.17899999999997401</v>
      </c>
      <c r="G3056" s="34">
        <v>0.17899999999997401</v>
      </c>
      <c r="H3056" s="35">
        <v>12.3</v>
      </c>
      <c r="I3056" s="37">
        <f t="shared" si="47"/>
        <v>2.0162876701550084E-4</v>
      </c>
      <c r="J3056" s="33"/>
    </row>
    <row r="3057" spans="1:10">
      <c r="A3057" s="33" t="s">
        <v>133</v>
      </c>
      <c r="B3057" s="34">
        <v>399.57499999999999</v>
      </c>
      <c r="C3057" s="35">
        <v>61003.199999999997</v>
      </c>
      <c r="D3057" s="33" t="s">
        <v>94</v>
      </c>
      <c r="E3057" s="34">
        <v>399.404</v>
      </c>
      <c r="F3057" s="36">
        <v>0.17100000000000001</v>
      </c>
      <c r="G3057" s="34">
        <v>0.17100000000000001</v>
      </c>
      <c r="H3057" s="35">
        <v>39.6</v>
      </c>
      <c r="I3057" s="37">
        <f t="shared" si="47"/>
        <v>6.4914627429380758E-4</v>
      </c>
      <c r="J3057" s="33" t="s">
        <v>116</v>
      </c>
    </row>
    <row r="3058" spans="1:10">
      <c r="A3058" s="33" t="s">
        <v>133</v>
      </c>
      <c r="B3058" s="34">
        <v>399.57499999999999</v>
      </c>
      <c r="C3058" s="35">
        <v>61003.199999999997</v>
      </c>
      <c r="D3058" s="33" t="s">
        <v>97</v>
      </c>
      <c r="E3058" s="34">
        <v>399.411</v>
      </c>
      <c r="F3058" s="36">
        <v>0.16399999999998699</v>
      </c>
      <c r="G3058" s="34">
        <v>0.16399999999998699</v>
      </c>
      <c r="H3058" s="35">
        <v>2</v>
      </c>
      <c r="I3058" s="37">
        <f t="shared" si="47"/>
        <v>3.2785165368374117E-5</v>
      </c>
      <c r="J3058" s="33"/>
    </row>
    <row r="3059" spans="1:10">
      <c r="A3059" s="33" t="s">
        <v>133</v>
      </c>
      <c r="B3059" s="34">
        <v>399.57499999999999</v>
      </c>
      <c r="C3059" s="35">
        <v>61003.199999999997</v>
      </c>
      <c r="D3059" s="33" t="s">
        <v>36</v>
      </c>
      <c r="E3059" s="34">
        <v>399.416</v>
      </c>
      <c r="F3059" s="36">
        <v>0.159</v>
      </c>
      <c r="G3059" s="34">
        <v>0.159</v>
      </c>
      <c r="H3059" s="35">
        <v>2315.1</v>
      </c>
      <c r="I3059" s="37">
        <f t="shared" si="47"/>
        <v>3.795046817216146E-2</v>
      </c>
      <c r="J3059" s="33" t="s">
        <v>116</v>
      </c>
    </row>
    <row r="3060" spans="1:10">
      <c r="A3060" s="33" t="s">
        <v>133</v>
      </c>
      <c r="B3060" s="34">
        <v>399.57499999999999</v>
      </c>
      <c r="C3060" s="35">
        <v>61003.199999999997</v>
      </c>
      <c r="D3060" s="33" t="s">
        <v>277</v>
      </c>
      <c r="E3060" s="34">
        <v>399.42899999999997</v>
      </c>
      <c r="F3060" s="36">
        <v>0.14600000000001501</v>
      </c>
      <c r="G3060" s="34">
        <v>0.14600000000001501</v>
      </c>
      <c r="H3060" s="35">
        <v>123.2</v>
      </c>
      <c r="I3060" s="37">
        <f t="shared" si="47"/>
        <v>2.019566186691846E-3</v>
      </c>
      <c r="J3060" s="33"/>
    </row>
    <row r="3061" spans="1:10">
      <c r="A3061" s="33" t="s">
        <v>133</v>
      </c>
      <c r="B3061" s="34">
        <v>399.57499999999999</v>
      </c>
      <c r="C3061" s="35">
        <v>61003.199999999997</v>
      </c>
      <c r="D3061" s="33" t="s">
        <v>54</v>
      </c>
      <c r="E3061" s="34">
        <v>399.45299999999997</v>
      </c>
      <c r="F3061" s="36">
        <v>0.122000000000014</v>
      </c>
      <c r="G3061" s="34">
        <v>0.122000000000014</v>
      </c>
      <c r="H3061" s="35">
        <v>75</v>
      </c>
      <c r="I3061" s="37">
        <f t="shared" si="47"/>
        <v>1.2294437013140294E-3</v>
      </c>
      <c r="J3061" s="33"/>
    </row>
    <row r="3062" spans="1:10">
      <c r="A3062" s="33" t="s">
        <v>133</v>
      </c>
      <c r="B3062" s="34">
        <v>399.57499999999999</v>
      </c>
      <c r="C3062" s="35">
        <v>61003.199999999997</v>
      </c>
      <c r="D3062" s="33" t="s">
        <v>271</v>
      </c>
      <c r="E3062" s="34">
        <v>399.45499999999998</v>
      </c>
      <c r="F3062" s="36">
        <v>0.12000000000000501</v>
      </c>
      <c r="G3062" s="34">
        <v>0.12000000000000501</v>
      </c>
      <c r="H3062" s="35">
        <v>2787.5</v>
      </c>
      <c r="I3062" s="37">
        <f t="shared" si="47"/>
        <v>4.5694324232171429E-2</v>
      </c>
      <c r="J3062" s="33"/>
    </row>
    <row r="3063" spans="1:10">
      <c r="A3063" s="33" t="s">
        <v>133</v>
      </c>
      <c r="B3063" s="34">
        <v>399.57499999999999</v>
      </c>
      <c r="C3063" s="35">
        <v>61003.199999999997</v>
      </c>
      <c r="D3063" s="33" t="s">
        <v>25</v>
      </c>
      <c r="E3063" s="34">
        <v>399.45800000000003</v>
      </c>
      <c r="F3063" s="36">
        <v>0.116999999999962</v>
      </c>
      <c r="G3063" s="34">
        <v>0.116999999999962</v>
      </c>
      <c r="H3063" s="35">
        <v>460.2</v>
      </c>
      <c r="I3063" s="37">
        <f t="shared" si="47"/>
        <v>7.5438665512628849E-3</v>
      </c>
      <c r="J3063" s="33" t="s">
        <v>116</v>
      </c>
    </row>
    <row r="3064" spans="1:10">
      <c r="A3064" s="33" t="s">
        <v>133</v>
      </c>
      <c r="B3064" s="34">
        <v>399.57499999999999</v>
      </c>
      <c r="C3064" s="35">
        <v>61003.199999999997</v>
      </c>
      <c r="D3064" s="33" t="s">
        <v>274</v>
      </c>
      <c r="E3064" s="34">
        <v>399.45800000000003</v>
      </c>
      <c r="F3064" s="36">
        <v>0.116999999999962</v>
      </c>
      <c r="G3064" s="34">
        <v>0.116999999999962</v>
      </c>
      <c r="H3064" s="35">
        <v>3.9</v>
      </c>
      <c r="I3064" s="37">
        <f t="shared" si="47"/>
        <v>6.3931072468329536E-5</v>
      </c>
      <c r="J3064" s="33"/>
    </row>
    <row r="3065" spans="1:10">
      <c r="A3065" s="33" t="s">
        <v>133</v>
      </c>
      <c r="B3065" s="34">
        <v>399.57499999999999</v>
      </c>
      <c r="C3065" s="35">
        <v>61003.199999999997</v>
      </c>
      <c r="D3065" s="33" t="s">
        <v>27</v>
      </c>
      <c r="E3065" s="34">
        <v>399.46699999999998</v>
      </c>
      <c r="F3065" s="36">
        <v>0.108000000000004</v>
      </c>
      <c r="G3065" s="34">
        <v>0.108000000000004</v>
      </c>
      <c r="H3065" s="35">
        <v>9733.7999999999993</v>
      </c>
      <c r="I3065" s="37">
        <f t="shared" si="47"/>
        <v>0.15956212133133998</v>
      </c>
      <c r="J3065" s="33" t="s">
        <v>116</v>
      </c>
    </row>
    <row r="3066" spans="1:10">
      <c r="A3066" s="33" t="s">
        <v>133</v>
      </c>
      <c r="B3066" s="34">
        <v>399.57499999999999</v>
      </c>
      <c r="C3066" s="35">
        <v>61003.199999999997</v>
      </c>
      <c r="D3066" s="33" t="s">
        <v>173</v>
      </c>
      <c r="E3066" s="34">
        <v>399.47899999999998</v>
      </c>
      <c r="F3066" s="36">
        <v>9.6000000000003596E-2</v>
      </c>
      <c r="G3066" s="34">
        <v>9.6000000000003596E-2</v>
      </c>
      <c r="H3066" s="35">
        <v>791</v>
      </c>
      <c r="I3066" s="37">
        <f t="shared" si="47"/>
        <v>1.2966532903191965E-2</v>
      </c>
      <c r="J3066" s="33"/>
    </row>
    <row r="3067" spans="1:10">
      <c r="A3067" s="33" t="s">
        <v>133</v>
      </c>
      <c r="B3067" s="34">
        <v>399.57499999999999</v>
      </c>
      <c r="C3067" s="35">
        <v>61003.199999999997</v>
      </c>
      <c r="D3067" s="33" t="s">
        <v>284</v>
      </c>
      <c r="E3067" s="34">
        <v>399.49299999999999</v>
      </c>
      <c r="F3067" s="36">
        <v>8.1999999999993606E-2</v>
      </c>
      <c r="G3067" s="34">
        <v>8.1999999999993606E-2</v>
      </c>
      <c r="H3067" s="35">
        <v>0.3</v>
      </c>
      <c r="I3067" s="37">
        <f t="shared" si="47"/>
        <v>4.9177748052561179E-6</v>
      </c>
      <c r="J3067" s="33"/>
    </row>
    <row r="3068" spans="1:10">
      <c r="A3068" s="33" t="s">
        <v>133</v>
      </c>
      <c r="B3068" s="34">
        <v>399.57499999999999</v>
      </c>
      <c r="C3068" s="35">
        <v>61003.199999999997</v>
      </c>
      <c r="D3068" s="33" t="s">
        <v>84</v>
      </c>
      <c r="E3068" s="34">
        <v>399.495</v>
      </c>
      <c r="F3068" s="36">
        <v>0.08</v>
      </c>
      <c r="G3068" s="34">
        <v>0.08</v>
      </c>
      <c r="H3068" s="35">
        <v>149.80000000000001</v>
      </c>
      <c r="I3068" s="37">
        <f t="shared" si="47"/>
        <v>2.4556088860912218E-3</v>
      </c>
      <c r="J3068" s="33" t="s">
        <v>116</v>
      </c>
    </row>
    <row r="3069" spans="1:10">
      <c r="A3069" s="33" t="s">
        <v>133</v>
      </c>
      <c r="B3069" s="34">
        <v>399.57499999999999</v>
      </c>
      <c r="C3069" s="35">
        <v>61003.199999999997</v>
      </c>
      <c r="D3069" s="33" t="s">
        <v>277</v>
      </c>
      <c r="E3069" s="34">
        <v>399.49799999999999</v>
      </c>
      <c r="F3069" s="36">
        <v>7.6999999999998195E-2</v>
      </c>
      <c r="G3069" s="34">
        <v>7.6999999999998195E-2</v>
      </c>
      <c r="H3069" s="35">
        <v>308.3</v>
      </c>
      <c r="I3069" s="37">
        <f t="shared" si="47"/>
        <v>5.0538332415348709E-3</v>
      </c>
      <c r="J3069" s="33"/>
    </row>
    <row r="3070" spans="1:10">
      <c r="A3070" s="33" t="s">
        <v>133</v>
      </c>
      <c r="B3070" s="34">
        <v>399.57499999999999</v>
      </c>
      <c r="C3070" s="35">
        <v>61003.199999999997</v>
      </c>
      <c r="D3070" s="33" t="s">
        <v>27</v>
      </c>
      <c r="E3070" s="34">
        <v>399.524</v>
      </c>
      <c r="F3070" s="36">
        <v>5.0999999999987701E-2</v>
      </c>
      <c r="G3070" s="34">
        <v>5.0999999999987701E-2</v>
      </c>
      <c r="H3070" s="35">
        <v>895.9</v>
      </c>
      <c r="I3070" s="37">
        <f t="shared" si="47"/>
        <v>1.4686114826763186E-2</v>
      </c>
      <c r="J3070" s="33" t="s">
        <v>116</v>
      </c>
    </row>
    <row r="3071" spans="1:10">
      <c r="A3071" s="33" t="s">
        <v>133</v>
      </c>
      <c r="B3071" s="34">
        <v>399.57499999999999</v>
      </c>
      <c r="C3071" s="35">
        <v>61003.199999999997</v>
      </c>
      <c r="D3071" s="33" t="s">
        <v>84</v>
      </c>
      <c r="E3071" s="34">
        <v>399.52600000000001</v>
      </c>
      <c r="F3071" s="36">
        <v>4.9000000000000002E-2</v>
      </c>
      <c r="G3071" s="34">
        <v>4.9000000000000002E-2</v>
      </c>
      <c r="H3071" s="35">
        <v>314.5</v>
      </c>
      <c r="I3071" s="37">
        <f t="shared" si="47"/>
        <v>5.1554672541768301E-3</v>
      </c>
      <c r="J3071" s="33" t="s">
        <v>116</v>
      </c>
    </row>
    <row r="3072" spans="1:10">
      <c r="A3072" s="33" t="s">
        <v>133</v>
      </c>
      <c r="B3072" s="34">
        <v>399.57499999999999</v>
      </c>
      <c r="C3072" s="35">
        <v>61003.199999999997</v>
      </c>
      <c r="D3072" s="33" t="s">
        <v>54</v>
      </c>
      <c r="E3072" s="34">
        <v>399.53</v>
      </c>
      <c r="F3072" s="36">
        <v>4.5000000000015902E-2</v>
      </c>
      <c r="G3072" s="34">
        <v>4.5000000000015902E-2</v>
      </c>
      <c r="H3072" s="35">
        <v>1435</v>
      </c>
      <c r="I3072" s="37">
        <f t="shared" si="47"/>
        <v>2.3523356151808429E-2</v>
      </c>
      <c r="J3072" s="33"/>
    </row>
    <row r="3073" spans="1:10">
      <c r="A3073" s="33" t="s">
        <v>133</v>
      </c>
      <c r="B3073" s="34">
        <v>399.57499999999999</v>
      </c>
      <c r="C3073" s="35">
        <v>61003.199999999997</v>
      </c>
      <c r="D3073" s="33" t="s">
        <v>25</v>
      </c>
      <c r="E3073" s="34">
        <v>399.54199999999997</v>
      </c>
      <c r="F3073" s="36">
        <v>3.3000000000015503E-2</v>
      </c>
      <c r="G3073" s="34">
        <v>3.3000000000015503E-2</v>
      </c>
      <c r="H3073" s="35">
        <v>155.4</v>
      </c>
      <c r="I3073" s="37">
        <f t="shared" si="47"/>
        <v>2.5474073491226694E-3</v>
      </c>
      <c r="J3073" s="33" t="s">
        <v>116</v>
      </c>
    </row>
    <row r="3074" spans="1:10">
      <c r="A3074" s="33" t="s">
        <v>133</v>
      </c>
      <c r="B3074" s="34">
        <v>399.57499999999999</v>
      </c>
      <c r="C3074" s="35">
        <v>61003.199999999997</v>
      </c>
      <c r="D3074" s="33" t="s">
        <v>282</v>
      </c>
      <c r="E3074" s="34">
        <v>399.56</v>
      </c>
      <c r="F3074" s="36">
        <v>1.4999999999986399E-2</v>
      </c>
      <c r="G3074" s="34">
        <v>1.4999999999986399E-2</v>
      </c>
      <c r="H3074" s="35">
        <v>48.2</v>
      </c>
      <c r="I3074" s="37">
        <f t="shared" ref="I3074:I3137" si="48">H3074/C3074</f>
        <v>7.9012248537781637E-4</v>
      </c>
      <c r="J3074" s="33"/>
    </row>
    <row r="3075" spans="1:10">
      <c r="A3075" s="33" t="s">
        <v>133</v>
      </c>
      <c r="B3075" s="34">
        <v>399.57499999999999</v>
      </c>
      <c r="C3075" s="35">
        <v>61003.199999999997</v>
      </c>
      <c r="D3075" s="33" t="s">
        <v>173</v>
      </c>
      <c r="E3075" s="34">
        <v>399.58300000000003</v>
      </c>
      <c r="F3075" s="36">
        <v>8.0000000000382005E-3</v>
      </c>
      <c r="G3075" s="34">
        <v>8.0000000000382005E-3</v>
      </c>
      <c r="H3075" s="35">
        <v>1596.3</v>
      </c>
      <c r="I3075" s="37">
        <f t="shared" si="48"/>
        <v>2.6167479738767804E-2</v>
      </c>
      <c r="J3075" s="33"/>
    </row>
    <row r="3076" spans="1:10">
      <c r="A3076" s="33" t="s">
        <v>133</v>
      </c>
      <c r="B3076" s="34">
        <v>399.57499999999999</v>
      </c>
      <c r="C3076" s="35">
        <v>61003.199999999997</v>
      </c>
      <c r="D3076" s="33" t="s">
        <v>277</v>
      </c>
      <c r="E3076" s="34">
        <v>399.59699999999998</v>
      </c>
      <c r="F3076" s="36">
        <v>2.1999999999991401E-2</v>
      </c>
      <c r="G3076" s="34">
        <v>2.1999999999991401E-2</v>
      </c>
      <c r="H3076" s="35">
        <v>133.30000000000001</v>
      </c>
      <c r="I3076" s="37">
        <f t="shared" si="48"/>
        <v>2.1851312718021354E-3</v>
      </c>
      <c r="J3076" s="33"/>
    </row>
    <row r="3077" spans="1:10">
      <c r="A3077" s="33" t="s">
        <v>133</v>
      </c>
      <c r="B3077" s="34">
        <v>399.57499999999999</v>
      </c>
      <c r="C3077" s="35">
        <v>61003.199999999997</v>
      </c>
      <c r="D3077" s="33" t="s">
        <v>280</v>
      </c>
      <c r="E3077" s="34">
        <v>399.59800000000001</v>
      </c>
      <c r="F3077" s="36">
        <v>2.3000000000024601E-2</v>
      </c>
      <c r="G3077" s="34">
        <v>2.3000000000024601E-2</v>
      </c>
      <c r="H3077" s="35">
        <v>242.8</v>
      </c>
      <c r="I3077" s="37">
        <f t="shared" si="48"/>
        <v>3.980119075720618E-3</v>
      </c>
      <c r="J3077" s="33"/>
    </row>
    <row r="3078" spans="1:10">
      <c r="A3078" s="33" t="s">
        <v>133</v>
      </c>
      <c r="B3078" s="34">
        <v>399.57499999999999</v>
      </c>
      <c r="C3078" s="35">
        <v>61003.199999999997</v>
      </c>
      <c r="D3078" s="33" t="s">
        <v>97</v>
      </c>
      <c r="E3078" s="34">
        <v>399.59800000000001</v>
      </c>
      <c r="F3078" s="36">
        <v>2.3000000000024601E-2</v>
      </c>
      <c r="G3078" s="34">
        <v>2.3000000000024601E-2</v>
      </c>
      <c r="H3078" s="35">
        <v>3.1</v>
      </c>
      <c r="I3078" s="37">
        <f t="shared" si="48"/>
        <v>5.0817006320979884E-5</v>
      </c>
      <c r="J3078" s="33"/>
    </row>
    <row r="3079" spans="1:10">
      <c r="A3079" s="33" t="s">
        <v>133</v>
      </c>
      <c r="B3079" s="34">
        <v>399.57499999999999</v>
      </c>
      <c r="C3079" s="35">
        <v>61003.199999999997</v>
      </c>
      <c r="D3079" s="33" t="s">
        <v>268</v>
      </c>
      <c r="E3079" s="34">
        <v>399.59800000000001</v>
      </c>
      <c r="F3079" s="36">
        <v>2.3000000000024601E-2</v>
      </c>
      <c r="G3079" s="34">
        <v>2.3000000000024601E-2</v>
      </c>
      <c r="H3079" s="35">
        <v>447</v>
      </c>
      <c r="I3079" s="37">
        <f t="shared" si="48"/>
        <v>7.3274844598316159E-3</v>
      </c>
      <c r="J3079" s="33"/>
    </row>
    <row r="3080" spans="1:10">
      <c r="A3080" s="33" t="s">
        <v>133</v>
      </c>
      <c r="B3080" s="34">
        <v>399.57499999999999</v>
      </c>
      <c r="C3080" s="35">
        <v>61003.199999999997</v>
      </c>
      <c r="D3080" s="33" t="s">
        <v>271</v>
      </c>
      <c r="E3080" s="34">
        <v>399.60599999999999</v>
      </c>
      <c r="F3080" s="36">
        <v>3.1000000000005901E-2</v>
      </c>
      <c r="G3080" s="34">
        <v>3.1000000000005901E-2</v>
      </c>
      <c r="H3080" s="35">
        <v>1656</v>
      </c>
      <c r="I3080" s="37">
        <f t="shared" si="48"/>
        <v>2.7146116925013772E-2</v>
      </c>
      <c r="J3080" s="33"/>
    </row>
    <row r="3081" spans="1:10">
      <c r="A3081" s="33" t="s">
        <v>133</v>
      </c>
      <c r="B3081" s="34">
        <v>399.57499999999999</v>
      </c>
      <c r="C3081" s="35">
        <v>61003.199999999997</v>
      </c>
      <c r="D3081" s="33" t="s">
        <v>240</v>
      </c>
      <c r="E3081" s="34">
        <v>399.608</v>
      </c>
      <c r="F3081" s="36">
        <v>3.3000000000015503E-2</v>
      </c>
      <c r="G3081" s="34">
        <v>3.3000000000015503E-2</v>
      </c>
      <c r="H3081" s="35">
        <v>27</v>
      </c>
      <c r="I3081" s="37">
        <f t="shared" si="48"/>
        <v>4.4259973247305059E-4</v>
      </c>
      <c r="J3081" s="33"/>
    </row>
    <row r="3082" spans="1:10">
      <c r="A3082" s="33" t="s">
        <v>133</v>
      </c>
      <c r="B3082" s="34">
        <v>399.57499999999999</v>
      </c>
      <c r="C3082" s="35">
        <v>61003.199999999997</v>
      </c>
      <c r="D3082" s="33" t="s">
        <v>94</v>
      </c>
      <c r="E3082" s="34">
        <v>399.61500000000001</v>
      </c>
      <c r="F3082" s="36">
        <v>0.04</v>
      </c>
      <c r="G3082" s="34">
        <v>0.04</v>
      </c>
      <c r="H3082" s="35">
        <v>108.4</v>
      </c>
      <c r="I3082" s="37">
        <f t="shared" si="48"/>
        <v>1.7769559629658774E-3</v>
      </c>
      <c r="J3082" s="33" t="s">
        <v>116</v>
      </c>
    </row>
    <row r="3083" spans="1:10">
      <c r="A3083" s="33" t="s">
        <v>133</v>
      </c>
      <c r="B3083" s="34">
        <v>399.57499999999999</v>
      </c>
      <c r="C3083" s="35">
        <v>61003.199999999997</v>
      </c>
      <c r="D3083" s="33" t="s">
        <v>193</v>
      </c>
      <c r="E3083" s="34">
        <v>399.61700000000002</v>
      </c>
      <c r="F3083" s="36">
        <v>4.2000000000029999E-2</v>
      </c>
      <c r="G3083" s="34">
        <v>4.2000000000029999E-2</v>
      </c>
      <c r="H3083" s="35">
        <v>29.7</v>
      </c>
      <c r="I3083" s="37">
        <f t="shared" si="48"/>
        <v>4.8685970572035566E-4</v>
      </c>
      <c r="J3083" s="33"/>
    </row>
    <row r="3084" spans="1:10">
      <c r="A3084" s="33" t="s">
        <v>133</v>
      </c>
      <c r="B3084" s="34">
        <v>399.57499999999999</v>
      </c>
      <c r="C3084" s="35">
        <v>61003.199999999997</v>
      </c>
      <c r="D3084" s="33" t="s">
        <v>36</v>
      </c>
      <c r="E3084" s="34">
        <v>399.63099999999997</v>
      </c>
      <c r="F3084" s="36">
        <v>5.6000000000000001E-2</v>
      </c>
      <c r="G3084" s="34">
        <v>5.6000000000000001E-2</v>
      </c>
      <c r="H3084" s="35">
        <v>3442.1</v>
      </c>
      <c r="I3084" s="37">
        <f t="shared" si="48"/>
        <v>5.6424908857240275E-2</v>
      </c>
      <c r="J3084" s="33" t="s">
        <v>116</v>
      </c>
    </row>
    <row r="3085" spans="1:10">
      <c r="A3085" s="33" t="s">
        <v>133</v>
      </c>
      <c r="B3085" s="34">
        <v>399.57499999999999</v>
      </c>
      <c r="C3085" s="35">
        <v>61003.199999999997</v>
      </c>
      <c r="D3085" s="33" t="s">
        <v>25</v>
      </c>
      <c r="E3085" s="34">
        <v>399.64699999999999</v>
      </c>
      <c r="F3085" s="36">
        <v>7.2000000000002701E-2</v>
      </c>
      <c r="G3085" s="34">
        <v>7.2000000000002701E-2</v>
      </c>
      <c r="H3085" s="35">
        <v>411</v>
      </c>
      <c r="I3085" s="37">
        <f t="shared" si="48"/>
        <v>6.737351483200882E-3</v>
      </c>
      <c r="J3085" s="33" t="s">
        <v>116</v>
      </c>
    </row>
    <row r="3086" spans="1:10">
      <c r="A3086" s="33" t="s">
        <v>133</v>
      </c>
      <c r="B3086" s="34">
        <v>399.57499999999999</v>
      </c>
      <c r="C3086" s="35">
        <v>61003.199999999997</v>
      </c>
      <c r="D3086" s="33" t="s">
        <v>268</v>
      </c>
      <c r="E3086" s="34">
        <v>399.65100000000001</v>
      </c>
      <c r="F3086" s="36">
        <v>7.60000000000218E-2</v>
      </c>
      <c r="G3086" s="34">
        <v>7.60000000000218E-2</v>
      </c>
      <c r="H3086" s="35">
        <v>3.4</v>
      </c>
      <c r="I3086" s="37">
        <f t="shared" si="48"/>
        <v>5.5734781126236005E-5</v>
      </c>
      <c r="J3086" s="33"/>
    </row>
    <row r="3087" spans="1:10">
      <c r="A3087" s="33" t="s">
        <v>133</v>
      </c>
      <c r="B3087" s="34">
        <v>399.57499999999999</v>
      </c>
      <c r="C3087" s="35">
        <v>61003.199999999997</v>
      </c>
      <c r="D3087" s="33" t="s">
        <v>294</v>
      </c>
      <c r="E3087" s="34">
        <v>399.65699999999998</v>
      </c>
      <c r="F3087" s="36">
        <v>8.1999999999993606E-2</v>
      </c>
      <c r="G3087" s="34">
        <v>8.1999999999993606E-2</v>
      </c>
      <c r="H3087" s="35">
        <v>45</v>
      </c>
      <c r="I3087" s="37">
        <f t="shared" si="48"/>
        <v>7.3766622078841771E-4</v>
      </c>
      <c r="J3087" s="33"/>
    </row>
    <row r="3088" spans="1:10">
      <c r="A3088" s="33" t="s">
        <v>133</v>
      </c>
      <c r="B3088" s="34">
        <v>399.57499999999999</v>
      </c>
      <c r="C3088" s="35">
        <v>61003.199999999997</v>
      </c>
      <c r="D3088" s="33" t="s">
        <v>184</v>
      </c>
      <c r="E3088" s="34">
        <v>399.66</v>
      </c>
      <c r="F3088" s="36">
        <v>8.5000000000036394E-2</v>
      </c>
      <c r="G3088" s="34">
        <v>8.5000000000036394E-2</v>
      </c>
      <c r="H3088" s="35">
        <v>1306.9000000000001</v>
      </c>
      <c r="I3088" s="37">
        <f t="shared" si="48"/>
        <v>2.142346630996407E-2</v>
      </c>
      <c r="J3088" s="33"/>
    </row>
    <row r="3089" spans="1:10">
      <c r="A3089" s="33" t="s">
        <v>133</v>
      </c>
      <c r="B3089" s="34">
        <v>399.57499999999999</v>
      </c>
      <c r="C3089" s="35">
        <v>61003.199999999997</v>
      </c>
      <c r="D3089" s="33" t="s">
        <v>33</v>
      </c>
      <c r="E3089" s="34">
        <v>399.66899999999998</v>
      </c>
      <c r="F3089" s="36">
        <v>9.3999999999994102E-2</v>
      </c>
      <c r="G3089" s="34">
        <v>9.3999999999994102E-2</v>
      </c>
      <c r="H3089" s="35">
        <v>5948.7</v>
      </c>
      <c r="I3089" s="37">
        <f t="shared" si="48"/>
        <v>9.7514556613423564E-2</v>
      </c>
      <c r="J3089" s="33" t="s">
        <v>116</v>
      </c>
    </row>
    <row r="3090" spans="1:10">
      <c r="A3090" s="33" t="s">
        <v>133</v>
      </c>
      <c r="B3090" s="34">
        <v>399.57499999999999</v>
      </c>
      <c r="C3090" s="35">
        <v>61003.199999999997</v>
      </c>
      <c r="D3090" s="33" t="s">
        <v>269</v>
      </c>
      <c r="E3090" s="34">
        <v>399.68</v>
      </c>
      <c r="F3090" s="36">
        <v>0.105000000000018</v>
      </c>
      <c r="G3090" s="34">
        <v>0.105000000000018</v>
      </c>
      <c r="H3090" s="35">
        <v>221.7</v>
      </c>
      <c r="I3090" s="37">
        <f t="shared" si="48"/>
        <v>3.634235581084271E-3</v>
      </c>
      <c r="J3090" s="33"/>
    </row>
    <row r="3091" spans="1:10">
      <c r="A3091" s="33" t="s">
        <v>133</v>
      </c>
      <c r="B3091" s="34">
        <v>399.57499999999999</v>
      </c>
      <c r="C3091" s="35">
        <v>61003.199999999997</v>
      </c>
      <c r="D3091" s="33" t="s">
        <v>288</v>
      </c>
      <c r="E3091" s="34">
        <v>399.69299999999998</v>
      </c>
      <c r="F3091" s="36">
        <v>0.117999999999995</v>
      </c>
      <c r="G3091" s="34">
        <v>0.117999999999995</v>
      </c>
      <c r="H3091" s="35">
        <v>37</v>
      </c>
      <c r="I3091" s="37">
        <f t="shared" si="48"/>
        <v>6.0652555931492121E-4</v>
      </c>
      <c r="J3091" s="33"/>
    </row>
    <row r="3092" spans="1:10">
      <c r="A3092" s="33" t="s">
        <v>133</v>
      </c>
      <c r="B3092" s="34">
        <v>399.57499999999999</v>
      </c>
      <c r="C3092" s="35">
        <v>61003.199999999997</v>
      </c>
      <c r="D3092" s="33" t="s">
        <v>97</v>
      </c>
      <c r="E3092" s="34">
        <v>399.69600000000003</v>
      </c>
      <c r="F3092" s="36">
        <v>0.12100000000003799</v>
      </c>
      <c r="G3092" s="34">
        <v>0.12100000000003799</v>
      </c>
      <c r="H3092" s="35">
        <v>1.9</v>
      </c>
      <c r="I3092" s="37">
        <f t="shared" si="48"/>
        <v>3.1145907099955412E-5</v>
      </c>
      <c r="J3092" s="33"/>
    </row>
    <row r="3093" spans="1:10">
      <c r="A3093" s="33" t="s">
        <v>133</v>
      </c>
      <c r="B3093" s="34">
        <v>407.73399999999998</v>
      </c>
      <c r="C3093" s="35">
        <v>65306.5</v>
      </c>
      <c r="D3093" s="33" t="s">
        <v>36</v>
      </c>
      <c r="E3093" s="34">
        <v>407</v>
      </c>
      <c r="F3093" s="36">
        <v>0.73399999999999999</v>
      </c>
      <c r="G3093" s="34">
        <v>0.73399999999999999</v>
      </c>
      <c r="H3093" s="35">
        <v>6614.3</v>
      </c>
      <c r="I3093" s="37">
        <f t="shared" si="48"/>
        <v>0.10128088321989388</v>
      </c>
      <c r="J3093" s="33" t="s">
        <v>116</v>
      </c>
    </row>
    <row r="3094" spans="1:10">
      <c r="A3094" s="33" t="s">
        <v>133</v>
      </c>
      <c r="B3094" s="34">
        <v>407.73399999999998</v>
      </c>
      <c r="C3094" s="35">
        <v>65306.5</v>
      </c>
      <c r="D3094" s="33" t="s">
        <v>36</v>
      </c>
      <c r="E3094" s="34">
        <v>407.37</v>
      </c>
      <c r="F3094" s="36">
        <v>0.36399999999999999</v>
      </c>
      <c r="G3094" s="34">
        <v>0.36399999999999999</v>
      </c>
      <c r="H3094" s="35">
        <v>509.6</v>
      </c>
      <c r="I3094" s="37">
        <f t="shared" si="48"/>
        <v>7.8032048877217436E-3</v>
      </c>
      <c r="J3094" s="33" t="s">
        <v>116</v>
      </c>
    </row>
    <row r="3095" spans="1:10">
      <c r="A3095" s="33" t="s">
        <v>133</v>
      </c>
      <c r="B3095" s="34">
        <v>407.73399999999998</v>
      </c>
      <c r="C3095" s="35">
        <v>65306.5</v>
      </c>
      <c r="D3095" s="33" t="s">
        <v>27</v>
      </c>
      <c r="E3095" s="34">
        <v>407.51100000000002</v>
      </c>
      <c r="F3095" s="36">
        <v>0.22299999999995601</v>
      </c>
      <c r="G3095" s="34">
        <v>0.22299999999995601</v>
      </c>
      <c r="H3095" s="35">
        <v>4918</v>
      </c>
      <c r="I3095" s="37">
        <f t="shared" si="48"/>
        <v>7.5306439634645866E-2</v>
      </c>
      <c r="J3095" s="33" t="s">
        <v>116</v>
      </c>
    </row>
    <row r="3096" spans="1:10">
      <c r="A3096" s="33" t="s">
        <v>133</v>
      </c>
      <c r="B3096" s="34">
        <v>407.73399999999998</v>
      </c>
      <c r="C3096" s="35">
        <v>65306.5</v>
      </c>
      <c r="D3096" s="33" t="s">
        <v>201</v>
      </c>
      <c r="E3096" s="34">
        <v>407.52199999999999</v>
      </c>
      <c r="F3096" s="36">
        <v>0.211999999999989</v>
      </c>
      <c r="G3096" s="34">
        <v>0.211999999999989</v>
      </c>
      <c r="H3096" s="35">
        <v>471.9</v>
      </c>
      <c r="I3096" s="37">
        <f t="shared" si="48"/>
        <v>7.225926975109675E-3</v>
      </c>
      <c r="J3096" s="33"/>
    </row>
    <row r="3097" spans="1:10">
      <c r="A3097" s="33" t="s">
        <v>133</v>
      </c>
      <c r="B3097" s="34">
        <v>407.73399999999998</v>
      </c>
      <c r="C3097" s="35">
        <v>65306.5</v>
      </c>
      <c r="D3097" s="33" t="s">
        <v>275</v>
      </c>
      <c r="E3097" s="34">
        <v>407.524</v>
      </c>
      <c r="F3097" s="36">
        <v>0.20999999999998001</v>
      </c>
      <c r="G3097" s="34">
        <v>0.20999999999998001</v>
      </c>
      <c r="H3097" s="35">
        <v>23.9</v>
      </c>
      <c r="I3097" s="37">
        <f t="shared" si="48"/>
        <v>3.6596663425539567E-4</v>
      </c>
      <c r="J3097" s="33"/>
    </row>
    <row r="3098" spans="1:10">
      <c r="A3098" s="33" t="s">
        <v>133</v>
      </c>
      <c r="B3098" s="34">
        <v>407.73399999999998</v>
      </c>
      <c r="C3098" s="35">
        <v>65306.5</v>
      </c>
      <c r="D3098" s="33" t="s">
        <v>286</v>
      </c>
      <c r="E3098" s="34">
        <v>407.55799999999999</v>
      </c>
      <c r="F3098" s="36">
        <v>0.175999999999988</v>
      </c>
      <c r="G3098" s="34">
        <v>0.175999999999988</v>
      </c>
      <c r="H3098" s="35">
        <v>3.1</v>
      </c>
      <c r="I3098" s="37">
        <f t="shared" si="48"/>
        <v>4.7468475572875595E-5</v>
      </c>
      <c r="J3098" s="33"/>
    </row>
    <row r="3099" spans="1:10">
      <c r="A3099" s="33" t="s">
        <v>133</v>
      </c>
      <c r="B3099" s="34">
        <v>407.73399999999998</v>
      </c>
      <c r="C3099" s="35">
        <v>65306.5</v>
      </c>
      <c r="D3099" s="33" t="s">
        <v>25</v>
      </c>
      <c r="E3099" s="34">
        <v>407.57</v>
      </c>
      <c r="F3099" s="36">
        <v>0.16399999999998699</v>
      </c>
      <c r="G3099" s="34">
        <v>0.16399999999998699</v>
      </c>
      <c r="H3099" s="35">
        <v>11561.2</v>
      </c>
      <c r="I3099" s="37">
        <f t="shared" si="48"/>
        <v>0.17702985154617076</v>
      </c>
      <c r="J3099" s="33" t="s">
        <v>116</v>
      </c>
    </row>
    <row r="3100" spans="1:10">
      <c r="A3100" s="33" t="s">
        <v>133</v>
      </c>
      <c r="B3100" s="34">
        <v>407.73399999999998</v>
      </c>
      <c r="C3100" s="35">
        <v>65306.5</v>
      </c>
      <c r="D3100" s="33" t="s">
        <v>271</v>
      </c>
      <c r="E3100" s="34">
        <v>407.57100000000003</v>
      </c>
      <c r="F3100" s="36">
        <v>0.16299999999995399</v>
      </c>
      <c r="G3100" s="34">
        <v>0.16299999999995399</v>
      </c>
      <c r="H3100" s="35">
        <v>265</v>
      </c>
      <c r="I3100" s="37">
        <f t="shared" si="48"/>
        <v>4.0577890409071076E-3</v>
      </c>
      <c r="J3100" s="33"/>
    </row>
    <row r="3101" spans="1:10">
      <c r="A3101" s="33" t="s">
        <v>133</v>
      </c>
      <c r="B3101" s="34">
        <v>407.73399999999998</v>
      </c>
      <c r="C3101" s="35">
        <v>65306.5</v>
      </c>
      <c r="D3101" s="33" t="s">
        <v>270</v>
      </c>
      <c r="E3101" s="34">
        <v>407.58300000000003</v>
      </c>
      <c r="F3101" s="36">
        <v>0.150999999999954</v>
      </c>
      <c r="G3101" s="34">
        <v>0.150999999999954</v>
      </c>
      <c r="H3101" s="35">
        <v>5804.7</v>
      </c>
      <c r="I3101" s="37">
        <f t="shared" si="48"/>
        <v>8.8883954889635797E-2</v>
      </c>
      <c r="J3101" s="33"/>
    </row>
    <row r="3102" spans="1:10">
      <c r="A3102" s="33" t="s">
        <v>133</v>
      </c>
      <c r="B3102" s="34">
        <v>407.73399999999998</v>
      </c>
      <c r="C3102" s="35">
        <v>65306.5</v>
      </c>
      <c r="D3102" s="33" t="s">
        <v>239</v>
      </c>
      <c r="E3102" s="34">
        <v>407.60500000000002</v>
      </c>
      <c r="F3102" s="36">
        <v>0.12899999999996201</v>
      </c>
      <c r="G3102" s="34">
        <v>0.12899999999996201</v>
      </c>
      <c r="H3102" s="35">
        <v>14.2</v>
      </c>
      <c r="I3102" s="37">
        <f t="shared" si="48"/>
        <v>2.1743624294672046E-4</v>
      </c>
      <c r="J3102" s="33"/>
    </row>
    <row r="3103" spans="1:10">
      <c r="A3103" s="33" t="s">
        <v>133</v>
      </c>
      <c r="B3103" s="34">
        <v>407.73399999999998</v>
      </c>
      <c r="C3103" s="35">
        <v>65306.5</v>
      </c>
      <c r="D3103" s="33" t="s">
        <v>275</v>
      </c>
      <c r="E3103" s="34">
        <v>407.61900000000003</v>
      </c>
      <c r="F3103" s="36">
        <v>0.114999999999952</v>
      </c>
      <c r="G3103" s="34">
        <v>0.114999999999952</v>
      </c>
      <c r="H3103" s="35">
        <v>21.1</v>
      </c>
      <c r="I3103" s="37">
        <f t="shared" si="48"/>
        <v>3.230918821250565E-4</v>
      </c>
      <c r="J3103" s="33"/>
    </row>
    <row r="3104" spans="1:10">
      <c r="A3104" s="33" t="s">
        <v>133</v>
      </c>
      <c r="B3104" s="34">
        <v>407.73399999999998</v>
      </c>
      <c r="C3104" s="35">
        <v>65306.5</v>
      </c>
      <c r="D3104" s="33" t="s">
        <v>25</v>
      </c>
      <c r="E3104" s="34">
        <v>407.62400000000002</v>
      </c>
      <c r="F3104" s="36">
        <v>0.10999999999995699</v>
      </c>
      <c r="G3104" s="34">
        <v>0.10999999999995699</v>
      </c>
      <c r="H3104" s="35">
        <v>1879.6</v>
      </c>
      <c r="I3104" s="37">
        <f t="shared" si="48"/>
        <v>2.878120860863773E-2</v>
      </c>
      <c r="J3104" s="33" t="s">
        <v>116</v>
      </c>
    </row>
    <row r="3105" spans="1:10">
      <c r="A3105" s="33" t="s">
        <v>133</v>
      </c>
      <c r="B3105" s="34">
        <v>407.73399999999998</v>
      </c>
      <c r="C3105" s="35">
        <v>65306.5</v>
      </c>
      <c r="D3105" s="33" t="s">
        <v>276</v>
      </c>
      <c r="E3105" s="34">
        <v>407.63499999999999</v>
      </c>
      <c r="F3105" s="36">
        <v>9.8999999999989499E-2</v>
      </c>
      <c r="G3105" s="34">
        <v>9.8999999999989499E-2</v>
      </c>
      <c r="H3105" s="35">
        <v>0.3</v>
      </c>
      <c r="I3105" s="37">
        <f t="shared" si="48"/>
        <v>4.5937234425363479E-6</v>
      </c>
      <c r="J3105" s="33"/>
    </row>
    <row r="3106" spans="1:10">
      <c r="A3106" s="33" t="s">
        <v>133</v>
      </c>
      <c r="B3106" s="34">
        <v>407.73399999999998</v>
      </c>
      <c r="C3106" s="35">
        <v>65306.5</v>
      </c>
      <c r="D3106" s="33" t="s">
        <v>236</v>
      </c>
      <c r="E3106" s="34">
        <v>407.65300000000002</v>
      </c>
      <c r="F3106" s="36">
        <v>8.0999999999960395E-2</v>
      </c>
      <c r="G3106" s="34">
        <v>8.0999999999960395E-2</v>
      </c>
      <c r="H3106" s="35">
        <v>73.900000000000006</v>
      </c>
      <c r="I3106" s="37">
        <f t="shared" si="48"/>
        <v>1.1315872080114539E-3</v>
      </c>
      <c r="J3106" s="33"/>
    </row>
    <row r="3107" spans="1:10">
      <c r="A3107" s="33" t="s">
        <v>133</v>
      </c>
      <c r="B3107" s="34">
        <v>407.73399999999998</v>
      </c>
      <c r="C3107" s="35">
        <v>65306.5</v>
      </c>
      <c r="D3107" s="33" t="s">
        <v>54</v>
      </c>
      <c r="E3107" s="34">
        <v>407.65600000000001</v>
      </c>
      <c r="F3107" s="36">
        <v>7.7999999999974506E-2</v>
      </c>
      <c r="G3107" s="34">
        <v>7.7999999999974506E-2</v>
      </c>
      <c r="H3107" s="35">
        <v>3.2</v>
      </c>
      <c r="I3107" s="37">
        <f t="shared" si="48"/>
        <v>4.8999716720387713E-5</v>
      </c>
      <c r="J3107" s="33"/>
    </row>
    <row r="3108" spans="1:10">
      <c r="A3108" s="33" t="s">
        <v>133</v>
      </c>
      <c r="B3108" s="34">
        <v>407.73399999999998</v>
      </c>
      <c r="C3108" s="35">
        <v>65306.5</v>
      </c>
      <c r="D3108" s="33" t="s">
        <v>270</v>
      </c>
      <c r="E3108" s="34">
        <v>407.66199999999998</v>
      </c>
      <c r="F3108" s="36">
        <v>7.2000000000002701E-2</v>
      </c>
      <c r="G3108" s="34">
        <v>7.2000000000002701E-2</v>
      </c>
      <c r="H3108" s="35">
        <v>1708.5</v>
      </c>
      <c r="I3108" s="37">
        <f t="shared" si="48"/>
        <v>2.6161255005244501E-2</v>
      </c>
      <c r="J3108" s="33"/>
    </row>
    <row r="3109" spans="1:10">
      <c r="A3109" s="33" t="s">
        <v>133</v>
      </c>
      <c r="B3109" s="34">
        <v>407.73399999999998</v>
      </c>
      <c r="C3109" s="35">
        <v>65306.5</v>
      </c>
      <c r="D3109" s="33" t="s">
        <v>97</v>
      </c>
      <c r="E3109" s="34">
        <v>407.66300000000001</v>
      </c>
      <c r="F3109" s="36">
        <v>7.0999999999969504E-2</v>
      </c>
      <c r="G3109" s="34">
        <v>7.0999999999969504E-2</v>
      </c>
      <c r="H3109" s="35">
        <v>20.8</v>
      </c>
      <c r="I3109" s="37">
        <f t="shared" si="48"/>
        <v>3.1849815868252015E-4</v>
      </c>
      <c r="J3109" s="33"/>
    </row>
    <row r="3110" spans="1:10">
      <c r="A3110" s="33" t="s">
        <v>133</v>
      </c>
      <c r="B3110" s="34">
        <v>407.73399999999998</v>
      </c>
      <c r="C3110" s="35">
        <v>65306.5</v>
      </c>
      <c r="D3110" s="33" t="s">
        <v>277</v>
      </c>
      <c r="E3110" s="34">
        <v>407.66800000000001</v>
      </c>
      <c r="F3110" s="36">
        <v>6.5999999999974093E-2</v>
      </c>
      <c r="G3110" s="34">
        <v>6.5999999999974093E-2</v>
      </c>
      <c r="H3110" s="35">
        <v>290.10000000000002</v>
      </c>
      <c r="I3110" s="37">
        <f t="shared" si="48"/>
        <v>4.4421305689326491E-3</v>
      </c>
      <c r="J3110" s="33"/>
    </row>
    <row r="3111" spans="1:10">
      <c r="A3111" s="33" t="s">
        <v>133</v>
      </c>
      <c r="B3111" s="34">
        <v>407.73399999999998</v>
      </c>
      <c r="C3111" s="35">
        <v>65306.5</v>
      </c>
      <c r="D3111" s="33" t="s">
        <v>133</v>
      </c>
      <c r="E3111" s="34">
        <v>407.67</v>
      </c>
      <c r="F3111" s="36">
        <v>6.3999999999964502E-2</v>
      </c>
      <c r="G3111" s="34">
        <v>6.3999999999964502E-2</v>
      </c>
      <c r="H3111" s="35">
        <v>1924.2</v>
      </c>
      <c r="I3111" s="37">
        <f t="shared" si="48"/>
        <v>2.9464142160428135E-2</v>
      </c>
      <c r="J3111" s="33"/>
    </row>
    <row r="3112" spans="1:10">
      <c r="A3112" s="33" t="s">
        <v>133</v>
      </c>
      <c r="B3112" s="34">
        <v>407.73399999999998</v>
      </c>
      <c r="C3112" s="35">
        <v>65306.5</v>
      </c>
      <c r="D3112" s="33" t="s">
        <v>268</v>
      </c>
      <c r="E3112" s="34">
        <v>407.67200000000003</v>
      </c>
      <c r="F3112" s="36">
        <v>6.1999999999955001E-2</v>
      </c>
      <c r="G3112" s="34">
        <v>6.1999999999955001E-2</v>
      </c>
      <c r="H3112" s="35">
        <v>141.30000000000001</v>
      </c>
      <c r="I3112" s="37">
        <f t="shared" si="48"/>
        <v>2.1636437414346201E-3</v>
      </c>
      <c r="J3112" s="33"/>
    </row>
    <row r="3113" spans="1:10">
      <c r="A3113" s="33" t="s">
        <v>133</v>
      </c>
      <c r="B3113" s="34">
        <v>407.73399999999998</v>
      </c>
      <c r="C3113" s="35">
        <v>65306.5</v>
      </c>
      <c r="D3113" s="33" t="s">
        <v>236</v>
      </c>
      <c r="E3113" s="34">
        <v>407.70400000000001</v>
      </c>
      <c r="F3113" s="36">
        <v>2.9999999999972701E-2</v>
      </c>
      <c r="G3113" s="34">
        <v>2.9999999999972701E-2</v>
      </c>
      <c r="H3113" s="35">
        <v>4727</v>
      </c>
      <c r="I3113" s="37">
        <f t="shared" si="48"/>
        <v>7.2381769042897726E-2</v>
      </c>
      <c r="J3113" s="33"/>
    </row>
    <row r="3114" spans="1:10">
      <c r="A3114" s="33" t="s">
        <v>133</v>
      </c>
      <c r="B3114" s="34">
        <v>407.73399999999998</v>
      </c>
      <c r="C3114" s="35">
        <v>65306.5</v>
      </c>
      <c r="D3114" s="33" t="s">
        <v>84</v>
      </c>
      <c r="E3114" s="34">
        <v>407.70600000000002</v>
      </c>
      <c r="F3114" s="36">
        <v>2.8000000000000001E-2</v>
      </c>
      <c r="G3114" s="34">
        <v>2.8000000000000001E-2</v>
      </c>
      <c r="H3114" s="35">
        <v>0.6</v>
      </c>
      <c r="I3114" s="37">
        <f t="shared" si="48"/>
        <v>9.1874468850726958E-6</v>
      </c>
      <c r="J3114" s="33" t="s">
        <v>116</v>
      </c>
    </row>
    <row r="3115" spans="1:10">
      <c r="A3115" s="33" t="s">
        <v>133</v>
      </c>
      <c r="B3115" s="34">
        <v>407.73399999999998</v>
      </c>
      <c r="C3115" s="35">
        <v>65306.5</v>
      </c>
      <c r="D3115" s="33" t="s">
        <v>63</v>
      </c>
      <c r="E3115" s="34">
        <v>407.726</v>
      </c>
      <c r="F3115" s="36">
        <v>8.0000000000000002E-3</v>
      </c>
      <c r="G3115" s="34">
        <v>8.0000000000000002E-3</v>
      </c>
      <c r="H3115" s="35">
        <v>234.3</v>
      </c>
      <c r="I3115" s="37">
        <f t="shared" si="48"/>
        <v>3.5876980086208877E-3</v>
      </c>
      <c r="J3115" s="33" t="s">
        <v>116</v>
      </c>
    </row>
    <row r="3116" spans="1:10">
      <c r="A3116" s="33" t="s">
        <v>133</v>
      </c>
      <c r="B3116" s="34">
        <v>407.73399999999998</v>
      </c>
      <c r="C3116" s="35">
        <v>65306.5</v>
      </c>
      <c r="D3116" s="33" t="s">
        <v>201</v>
      </c>
      <c r="E3116" s="34">
        <v>407.72800000000001</v>
      </c>
      <c r="F3116" s="36">
        <v>5.99999999997181E-3</v>
      </c>
      <c r="G3116" s="34">
        <v>5.99999999997181E-3</v>
      </c>
      <c r="H3116" s="35">
        <v>234.3</v>
      </c>
      <c r="I3116" s="37">
        <f t="shared" si="48"/>
        <v>3.5876980086208877E-3</v>
      </c>
      <c r="J3116" s="33"/>
    </row>
    <row r="3117" spans="1:10">
      <c r="A3117" s="33" t="s">
        <v>133</v>
      </c>
      <c r="B3117" s="34">
        <v>407.73399999999998</v>
      </c>
      <c r="C3117" s="35">
        <v>65306.5</v>
      </c>
      <c r="D3117" s="33" t="s">
        <v>116</v>
      </c>
      <c r="E3117" s="34">
        <v>407.73599999999999</v>
      </c>
      <c r="F3117" s="36">
        <v>2E-3</v>
      </c>
      <c r="G3117" s="34">
        <v>2E-3</v>
      </c>
      <c r="H3117" s="35">
        <v>5065.5</v>
      </c>
      <c r="I3117" s="37">
        <f t="shared" si="48"/>
        <v>7.7565020327226231E-2</v>
      </c>
      <c r="J3117" s="33" t="s">
        <v>116</v>
      </c>
    </row>
    <row r="3118" spans="1:10">
      <c r="A3118" s="33" t="s">
        <v>133</v>
      </c>
      <c r="B3118" s="34">
        <v>407.73399999999998</v>
      </c>
      <c r="C3118" s="35">
        <v>65306.5</v>
      </c>
      <c r="D3118" s="33" t="s">
        <v>54</v>
      </c>
      <c r="E3118" s="34">
        <v>407.73899999999998</v>
      </c>
      <c r="F3118" s="36">
        <v>4.9999999999954499E-3</v>
      </c>
      <c r="G3118" s="34">
        <v>4.9999999999954499E-3</v>
      </c>
      <c r="H3118" s="35">
        <v>13.7</v>
      </c>
      <c r="I3118" s="37">
        <f t="shared" si="48"/>
        <v>2.0978003720915987E-4</v>
      </c>
      <c r="J3118" s="33"/>
    </row>
    <row r="3119" spans="1:10">
      <c r="A3119" s="33" t="s">
        <v>133</v>
      </c>
      <c r="B3119" s="34">
        <v>407.73399999999998</v>
      </c>
      <c r="C3119" s="35">
        <v>65306.5</v>
      </c>
      <c r="D3119" s="33" t="s">
        <v>282</v>
      </c>
      <c r="E3119" s="34">
        <v>407.75799999999998</v>
      </c>
      <c r="F3119" s="36">
        <v>2.4000000000000899E-2</v>
      </c>
      <c r="G3119" s="34">
        <v>2.4000000000000899E-2</v>
      </c>
      <c r="H3119" s="35">
        <v>21.4</v>
      </c>
      <c r="I3119" s="37">
        <f t="shared" si="48"/>
        <v>3.2768560556759279E-4</v>
      </c>
      <c r="J3119" s="33"/>
    </row>
    <row r="3120" spans="1:10">
      <c r="A3120" s="33" t="s">
        <v>133</v>
      </c>
      <c r="B3120" s="34">
        <v>407.73399999999998</v>
      </c>
      <c r="C3120" s="35">
        <v>65306.5</v>
      </c>
      <c r="D3120" s="33" t="s">
        <v>27</v>
      </c>
      <c r="E3120" s="34">
        <v>407.76100000000002</v>
      </c>
      <c r="F3120" s="36">
        <v>2.7000000000043701E-2</v>
      </c>
      <c r="G3120" s="34">
        <v>2.7000000000043701E-2</v>
      </c>
      <c r="H3120" s="35">
        <v>1954</v>
      </c>
      <c r="I3120" s="37">
        <f t="shared" si="48"/>
        <v>2.9920452022386745E-2</v>
      </c>
      <c r="J3120" s="33" t="s">
        <v>116</v>
      </c>
    </row>
    <row r="3121" spans="1:10">
      <c r="A3121" s="33" t="s">
        <v>133</v>
      </c>
      <c r="B3121" s="34">
        <v>407.73399999999998</v>
      </c>
      <c r="C3121" s="35">
        <v>65306.5</v>
      </c>
      <c r="D3121" s="33" t="s">
        <v>239</v>
      </c>
      <c r="E3121" s="34">
        <v>407.76600000000002</v>
      </c>
      <c r="F3121" s="36">
        <v>3.2000000000039101E-2</v>
      </c>
      <c r="G3121" s="34">
        <v>3.2000000000039101E-2</v>
      </c>
      <c r="H3121" s="35">
        <v>14</v>
      </c>
      <c r="I3121" s="37">
        <f t="shared" si="48"/>
        <v>2.1437376065169624E-4</v>
      </c>
      <c r="J3121" s="33"/>
    </row>
    <row r="3122" spans="1:10">
      <c r="A3122" s="33" t="s">
        <v>133</v>
      </c>
      <c r="B3122" s="34">
        <v>407.73399999999998</v>
      </c>
      <c r="C3122" s="35">
        <v>65306.5</v>
      </c>
      <c r="D3122" s="33" t="s">
        <v>302</v>
      </c>
      <c r="E3122" s="34">
        <v>407.77100000000002</v>
      </c>
      <c r="F3122" s="36">
        <v>3.7000000000034602E-2</v>
      </c>
      <c r="G3122" s="34">
        <v>3.7000000000034602E-2</v>
      </c>
      <c r="H3122" s="35">
        <v>3869250</v>
      </c>
      <c r="I3122" s="37">
        <f t="shared" si="48"/>
        <v>59.247548100112546</v>
      </c>
      <c r="J3122" s="33"/>
    </row>
    <row r="3123" spans="1:10">
      <c r="A3123" s="33" t="s">
        <v>133</v>
      </c>
      <c r="B3123" s="34">
        <v>407.73399999999998</v>
      </c>
      <c r="C3123" s="35">
        <v>65306.5</v>
      </c>
      <c r="D3123" s="33" t="s">
        <v>277</v>
      </c>
      <c r="E3123" s="34">
        <v>407.77800000000002</v>
      </c>
      <c r="F3123" s="36">
        <v>4.4000000000039598E-2</v>
      </c>
      <c r="G3123" s="34">
        <v>4.4000000000039598E-2</v>
      </c>
      <c r="H3123" s="35">
        <v>170.1</v>
      </c>
      <c r="I3123" s="37">
        <f t="shared" si="48"/>
        <v>2.604641191918109E-3</v>
      </c>
      <c r="J3123" s="33"/>
    </row>
    <row r="3124" spans="1:10">
      <c r="A3124" s="33" t="s">
        <v>133</v>
      </c>
      <c r="B3124" s="34">
        <v>407.73399999999998</v>
      </c>
      <c r="C3124" s="35">
        <v>65306.5</v>
      </c>
      <c r="D3124" s="33" t="s">
        <v>296</v>
      </c>
      <c r="E3124" s="34">
        <v>407.78300000000002</v>
      </c>
      <c r="F3124" s="36">
        <v>4.9000000000035002E-2</v>
      </c>
      <c r="G3124" s="34">
        <v>4.9000000000035002E-2</v>
      </c>
      <c r="H3124" s="35">
        <v>2.6</v>
      </c>
      <c r="I3124" s="37">
        <f t="shared" si="48"/>
        <v>3.9812269835315019E-5</v>
      </c>
      <c r="J3124" s="33"/>
    </row>
    <row r="3125" spans="1:10">
      <c r="A3125" s="33" t="s">
        <v>133</v>
      </c>
      <c r="B3125" s="34">
        <v>407.73399999999998</v>
      </c>
      <c r="C3125" s="35">
        <v>65306.5</v>
      </c>
      <c r="D3125" s="33" t="s">
        <v>33</v>
      </c>
      <c r="E3125" s="34">
        <v>407.79700000000003</v>
      </c>
      <c r="F3125" s="36">
        <v>6.3000000000045006E-2</v>
      </c>
      <c r="G3125" s="34">
        <v>6.3000000000045006E-2</v>
      </c>
      <c r="H3125" s="35">
        <v>28806.5</v>
      </c>
      <c r="I3125" s="37">
        <f t="shared" si="48"/>
        <v>0.44109698115807766</v>
      </c>
      <c r="J3125" s="33" t="s">
        <v>116</v>
      </c>
    </row>
    <row r="3126" spans="1:10">
      <c r="A3126" s="33" t="s">
        <v>133</v>
      </c>
      <c r="B3126" s="34">
        <v>407.73399999999998</v>
      </c>
      <c r="C3126" s="35">
        <v>65306.5</v>
      </c>
      <c r="D3126" s="33" t="s">
        <v>236</v>
      </c>
      <c r="E3126" s="34">
        <v>407.83100000000002</v>
      </c>
      <c r="F3126" s="36">
        <v>9.7000000000036807E-2</v>
      </c>
      <c r="G3126" s="34">
        <v>9.7000000000036807E-2</v>
      </c>
      <c r="H3126" s="35">
        <v>104.1</v>
      </c>
      <c r="I3126" s="37">
        <f t="shared" si="48"/>
        <v>1.5940220345601126E-3</v>
      </c>
      <c r="J3126" s="33"/>
    </row>
    <row r="3127" spans="1:10">
      <c r="A3127" s="33" t="s">
        <v>133</v>
      </c>
      <c r="B3127" s="34">
        <v>407.73399999999998</v>
      </c>
      <c r="C3127" s="35">
        <v>65306.5</v>
      </c>
      <c r="D3127" s="33" t="s">
        <v>25</v>
      </c>
      <c r="E3127" s="34">
        <v>407.83199999999999</v>
      </c>
      <c r="F3127" s="36">
        <v>9.8000000000013202E-2</v>
      </c>
      <c r="G3127" s="34">
        <v>9.8000000000013202E-2</v>
      </c>
      <c r="H3127" s="35">
        <v>3948.1</v>
      </c>
      <c r="I3127" s="37">
        <f t="shared" si="48"/>
        <v>6.0454931744925847E-2</v>
      </c>
      <c r="J3127" s="33" t="s">
        <v>116</v>
      </c>
    </row>
    <row r="3128" spans="1:10">
      <c r="A3128" s="33" t="s">
        <v>133</v>
      </c>
      <c r="B3128" s="34">
        <v>407.73399999999998</v>
      </c>
      <c r="C3128" s="35">
        <v>65306.5</v>
      </c>
      <c r="D3128" s="33" t="s">
        <v>237</v>
      </c>
      <c r="E3128" s="34">
        <v>407.84699999999998</v>
      </c>
      <c r="F3128" s="36">
        <v>0.113</v>
      </c>
      <c r="G3128" s="34">
        <v>0.113</v>
      </c>
      <c r="H3128" s="35">
        <v>304.7</v>
      </c>
      <c r="I3128" s="37">
        <f t="shared" si="48"/>
        <v>4.665691776469417E-3</v>
      </c>
      <c r="J3128" s="33"/>
    </row>
    <row r="3129" spans="1:10">
      <c r="A3129" s="33" t="s">
        <v>133</v>
      </c>
      <c r="B3129" s="34">
        <v>407.73399999999998</v>
      </c>
      <c r="C3129" s="35">
        <v>65306.5</v>
      </c>
      <c r="D3129" s="33" t="s">
        <v>184</v>
      </c>
      <c r="E3129" s="34">
        <v>407.85700000000003</v>
      </c>
      <c r="F3129" s="36">
        <v>0.123000000000047</v>
      </c>
      <c r="G3129" s="34">
        <v>0.123000000000047</v>
      </c>
      <c r="H3129" s="35">
        <v>63.2</v>
      </c>
      <c r="I3129" s="37">
        <f t="shared" si="48"/>
        <v>9.6774440522765729E-4</v>
      </c>
      <c r="J3129" s="33"/>
    </row>
    <row r="3130" spans="1:10">
      <c r="A3130" s="33" t="s">
        <v>133</v>
      </c>
      <c r="B3130" s="34">
        <v>407.73399999999998</v>
      </c>
      <c r="C3130" s="35">
        <v>65306.5</v>
      </c>
      <c r="D3130" s="33" t="s">
        <v>238</v>
      </c>
      <c r="E3130" s="34">
        <v>407.86500000000001</v>
      </c>
      <c r="F3130" s="36">
        <v>0.13100000000002901</v>
      </c>
      <c r="G3130" s="34">
        <v>0.13100000000002901</v>
      </c>
      <c r="H3130" s="35">
        <v>6777.8</v>
      </c>
      <c r="I3130" s="37">
        <f t="shared" si="48"/>
        <v>0.1037844624960762</v>
      </c>
      <c r="J3130" s="33"/>
    </row>
    <row r="3131" spans="1:10">
      <c r="A3131" s="33" t="s">
        <v>133</v>
      </c>
      <c r="B3131" s="34">
        <v>407.73399999999998</v>
      </c>
      <c r="C3131" s="35">
        <v>65306.5</v>
      </c>
      <c r="D3131" s="33" t="s">
        <v>277</v>
      </c>
      <c r="E3131" s="34">
        <v>407.88299999999998</v>
      </c>
      <c r="F3131" s="36">
        <v>0.14900000000000099</v>
      </c>
      <c r="G3131" s="34">
        <v>0.14900000000000099</v>
      </c>
      <c r="H3131" s="35">
        <v>146.5</v>
      </c>
      <c r="I3131" s="37">
        <f t="shared" si="48"/>
        <v>2.2432682811052498E-3</v>
      </c>
      <c r="J3131" s="33"/>
    </row>
    <row r="3132" spans="1:10">
      <c r="A3132" s="33" t="s">
        <v>133</v>
      </c>
      <c r="B3132" s="34">
        <v>407.73399999999998</v>
      </c>
      <c r="C3132" s="35">
        <v>65306.5</v>
      </c>
      <c r="D3132" s="33" t="s">
        <v>303</v>
      </c>
      <c r="E3132" s="34">
        <v>407.91</v>
      </c>
      <c r="F3132" s="36">
        <v>0.17600000000004501</v>
      </c>
      <c r="G3132" s="34">
        <v>0.17600000000004501</v>
      </c>
      <c r="H3132" s="35">
        <v>0.4</v>
      </c>
      <c r="I3132" s="37">
        <f t="shared" si="48"/>
        <v>6.1249645900484642E-6</v>
      </c>
      <c r="J3132" s="33"/>
    </row>
    <row r="3133" spans="1:10">
      <c r="A3133" s="33" t="s">
        <v>133</v>
      </c>
      <c r="B3133" s="34">
        <v>408.67099999999999</v>
      </c>
      <c r="C3133" s="35">
        <v>106415.3</v>
      </c>
      <c r="D3133" s="33" t="s">
        <v>273</v>
      </c>
      <c r="E3133" s="34">
        <v>408.48599999999999</v>
      </c>
      <c r="F3133" s="36">
        <v>0.185000000000002</v>
      </c>
      <c r="G3133" s="34">
        <v>0.185000000000002</v>
      </c>
      <c r="H3133" s="35">
        <v>121.9</v>
      </c>
      <c r="I3133" s="37">
        <f t="shared" si="48"/>
        <v>1.1455119705531065E-3</v>
      </c>
      <c r="J3133" s="33"/>
    </row>
    <row r="3134" spans="1:10">
      <c r="A3134" s="33" t="s">
        <v>133</v>
      </c>
      <c r="B3134" s="34">
        <v>408.67099999999999</v>
      </c>
      <c r="C3134" s="35">
        <v>106415.3</v>
      </c>
      <c r="D3134" s="33" t="s">
        <v>277</v>
      </c>
      <c r="E3134" s="34">
        <v>408.49299999999999</v>
      </c>
      <c r="F3134" s="36">
        <v>0.17799999999999699</v>
      </c>
      <c r="G3134" s="34">
        <v>0.17799999999999699</v>
      </c>
      <c r="H3134" s="35">
        <v>266.3</v>
      </c>
      <c r="I3134" s="37">
        <f t="shared" si="48"/>
        <v>2.5024597026931279E-3</v>
      </c>
      <c r="J3134" s="33"/>
    </row>
    <row r="3135" spans="1:10">
      <c r="A3135" s="33" t="s">
        <v>133</v>
      </c>
      <c r="B3135" s="34">
        <v>408.67099999999999</v>
      </c>
      <c r="C3135" s="35">
        <v>106415.3</v>
      </c>
      <c r="D3135" s="33" t="s">
        <v>271</v>
      </c>
      <c r="E3135" s="34">
        <v>408.50400000000002</v>
      </c>
      <c r="F3135" s="36">
        <v>0.166999999999973</v>
      </c>
      <c r="G3135" s="34">
        <v>0.166999999999973</v>
      </c>
      <c r="H3135" s="35">
        <v>5503</v>
      </c>
      <c r="I3135" s="37">
        <f t="shared" si="48"/>
        <v>5.1712488711679619E-2</v>
      </c>
      <c r="J3135" s="33"/>
    </row>
    <row r="3136" spans="1:10">
      <c r="A3136" s="33" t="s">
        <v>133</v>
      </c>
      <c r="B3136" s="34">
        <v>408.67099999999999</v>
      </c>
      <c r="C3136" s="35">
        <v>106415.3</v>
      </c>
      <c r="D3136" s="33" t="s">
        <v>25</v>
      </c>
      <c r="E3136" s="34">
        <v>408.524</v>
      </c>
      <c r="F3136" s="36">
        <v>0.146999999999991</v>
      </c>
      <c r="G3136" s="34">
        <v>0.146999999999991</v>
      </c>
      <c r="H3136" s="35">
        <v>3907.5</v>
      </c>
      <c r="I3136" s="37">
        <f t="shared" si="48"/>
        <v>3.6719343928927513E-2</v>
      </c>
      <c r="J3136" s="33" t="s">
        <v>116</v>
      </c>
    </row>
    <row r="3137" spans="1:10">
      <c r="A3137" s="33" t="s">
        <v>133</v>
      </c>
      <c r="B3137" s="34">
        <v>408.67099999999999</v>
      </c>
      <c r="C3137" s="35">
        <v>106415.3</v>
      </c>
      <c r="D3137" s="33" t="s">
        <v>97</v>
      </c>
      <c r="E3137" s="34">
        <v>408.53</v>
      </c>
      <c r="F3137" s="36">
        <v>0.14100000000002</v>
      </c>
      <c r="G3137" s="34">
        <v>0.14100000000002</v>
      </c>
      <c r="H3137" s="35">
        <v>10.7</v>
      </c>
      <c r="I3137" s="37">
        <f t="shared" si="48"/>
        <v>1.0054945106577718E-4</v>
      </c>
      <c r="J3137" s="33"/>
    </row>
    <row r="3138" spans="1:10">
      <c r="A3138" s="33" t="s">
        <v>133</v>
      </c>
      <c r="B3138" s="34">
        <v>408.67099999999999</v>
      </c>
      <c r="C3138" s="35">
        <v>106415.3</v>
      </c>
      <c r="D3138" s="33" t="s">
        <v>280</v>
      </c>
      <c r="E3138" s="34">
        <v>408.53899999999999</v>
      </c>
      <c r="F3138" s="36">
        <v>0.132000000000005</v>
      </c>
      <c r="G3138" s="34">
        <v>0.132000000000005</v>
      </c>
      <c r="H3138" s="35">
        <v>513.6</v>
      </c>
      <c r="I3138" s="37">
        <f t="shared" ref="I3138:I3201" si="49">H3138/C3138</f>
        <v>4.8263736511573053E-3</v>
      </c>
      <c r="J3138" s="33"/>
    </row>
    <row r="3139" spans="1:10">
      <c r="A3139" s="33" t="s">
        <v>133</v>
      </c>
      <c r="B3139" s="34">
        <v>408.67099999999999</v>
      </c>
      <c r="C3139" s="35">
        <v>106415.3</v>
      </c>
      <c r="D3139" s="33" t="s">
        <v>268</v>
      </c>
      <c r="E3139" s="34">
        <v>408.54199999999997</v>
      </c>
      <c r="F3139" s="36">
        <v>0.12900000000001899</v>
      </c>
      <c r="G3139" s="34">
        <v>0.12900000000001899</v>
      </c>
      <c r="H3139" s="35">
        <v>51.1</v>
      </c>
      <c r="I3139" s="37">
        <f t="shared" si="49"/>
        <v>4.8019410742628177E-4</v>
      </c>
      <c r="J3139" s="33"/>
    </row>
    <row r="3140" spans="1:10">
      <c r="A3140" s="33" t="s">
        <v>133</v>
      </c>
      <c r="B3140" s="34">
        <v>408.67099999999999</v>
      </c>
      <c r="C3140" s="35">
        <v>106415.3</v>
      </c>
      <c r="D3140" s="33" t="s">
        <v>36</v>
      </c>
      <c r="E3140" s="34">
        <v>408.55599999999998</v>
      </c>
      <c r="F3140" s="36">
        <v>0.115</v>
      </c>
      <c r="G3140" s="34">
        <v>0.115</v>
      </c>
      <c r="H3140" s="35">
        <v>3194.4</v>
      </c>
      <c r="I3140" s="37">
        <f t="shared" si="49"/>
        <v>3.0018239858366231E-2</v>
      </c>
      <c r="J3140" s="33" t="s">
        <v>116</v>
      </c>
    </row>
    <row r="3141" spans="1:10">
      <c r="A3141" s="33" t="s">
        <v>133</v>
      </c>
      <c r="B3141" s="34">
        <v>408.67099999999999</v>
      </c>
      <c r="C3141" s="35">
        <v>106415.3</v>
      </c>
      <c r="D3141" s="33" t="s">
        <v>236</v>
      </c>
      <c r="E3141" s="34">
        <v>408.56700000000001</v>
      </c>
      <c r="F3141" s="36">
        <v>0.10399999999998499</v>
      </c>
      <c r="G3141" s="34">
        <v>0.10399999999998499</v>
      </c>
      <c r="H3141" s="35">
        <v>472.6</v>
      </c>
      <c r="I3141" s="37">
        <f t="shared" si="49"/>
        <v>4.4410907078211498E-3</v>
      </c>
      <c r="J3141" s="33"/>
    </row>
    <row r="3142" spans="1:10">
      <c r="A3142" s="33" t="s">
        <v>133</v>
      </c>
      <c r="B3142" s="34">
        <v>408.67099999999999</v>
      </c>
      <c r="C3142" s="35">
        <v>106415.3</v>
      </c>
      <c r="D3142" s="33" t="s">
        <v>27</v>
      </c>
      <c r="E3142" s="34">
        <v>408.58100000000002</v>
      </c>
      <c r="F3142" s="36">
        <v>8.9999999999975003E-2</v>
      </c>
      <c r="G3142" s="34">
        <v>8.9999999999975003E-2</v>
      </c>
      <c r="H3142" s="35">
        <v>1398.1</v>
      </c>
      <c r="I3142" s="37">
        <f t="shared" si="49"/>
        <v>1.3138148367762906E-2</v>
      </c>
      <c r="J3142" s="33" t="s">
        <v>116</v>
      </c>
    </row>
    <row r="3143" spans="1:10">
      <c r="A3143" s="33" t="s">
        <v>133</v>
      </c>
      <c r="B3143" s="34">
        <v>408.67099999999999</v>
      </c>
      <c r="C3143" s="35">
        <v>106415.3</v>
      </c>
      <c r="D3143" s="33" t="s">
        <v>271</v>
      </c>
      <c r="E3143" s="34">
        <v>408.58199999999999</v>
      </c>
      <c r="F3143" s="36">
        <v>8.8999999999998594E-2</v>
      </c>
      <c r="G3143" s="34">
        <v>8.8999999999998594E-2</v>
      </c>
      <c r="H3143" s="35">
        <v>176.5</v>
      </c>
      <c r="I3143" s="37">
        <f t="shared" si="49"/>
        <v>1.6585960853373527E-3</v>
      </c>
      <c r="J3143" s="33"/>
    </row>
    <row r="3144" spans="1:10">
      <c r="A3144" s="33" t="s">
        <v>133</v>
      </c>
      <c r="B3144" s="34">
        <v>408.67099999999999</v>
      </c>
      <c r="C3144" s="35">
        <v>106415.3</v>
      </c>
      <c r="D3144" s="33" t="s">
        <v>275</v>
      </c>
      <c r="E3144" s="34">
        <v>408.601</v>
      </c>
      <c r="F3144" s="36">
        <v>6.9999999999993207E-2</v>
      </c>
      <c r="G3144" s="34">
        <v>6.9999999999993207E-2</v>
      </c>
      <c r="H3144" s="35">
        <v>12.8</v>
      </c>
      <c r="I3144" s="37">
        <f t="shared" si="49"/>
        <v>1.202834554805559E-4</v>
      </c>
      <c r="J3144" s="33"/>
    </row>
    <row r="3145" spans="1:10">
      <c r="A3145" s="33" t="s">
        <v>133</v>
      </c>
      <c r="B3145" s="34">
        <v>408.67099999999999</v>
      </c>
      <c r="C3145" s="35">
        <v>106415.3</v>
      </c>
      <c r="D3145" s="33" t="s">
        <v>165</v>
      </c>
      <c r="E3145" s="34">
        <v>408.60599999999999</v>
      </c>
      <c r="F3145" s="36">
        <v>6.4999999999997699E-2</v>
      </c>
      <c r="G3145" s="34">
        <v>6.4999999999997699E-2</v>
      </c>
      <c r="H3145" s="35">
        <v>2</v>
      </c>
      <c r="I3145" s="37">
        <f t="shared" si="49"/>
        <v>1.8794289918836859E-5</v>
      </c>
      <c r="J3145" s="33"/>
    </row>
    <row r="3146" spans="1:10">
      <c r="A3146" s="33" t="s">
        <v>133</v>
      </c>
      <c r="B3146" s="34">
        <v>408.67099999999999</v>
      </c>
      <c r="C3146" s="35">
        <v>106415.3</v>
      </c>
      <c r="D3146" s="33" t="s">
        <v>270</v>
      </c>
      <c r="E3146" s="34">
        <v>408.61700000000002</v>
      </c>
      <c r="F3146" s="36">
        <v>5.3999999999973597E-2</v>
      </c>
      <c r="G3146" s="34">
        <v>5.3999999999973597E-2</v>
      </c>
      <c r="H3146" s="35">
        <v>413.5</v>
      </c>
      <c r="I3146" s="37">
        <f t="shared" si="49"/>
        <v>3.8857194407195205E-3</v>
      </c>
      <c r="J3146" s="33"/>
    </row>
    <row r="3147" spans="1:10">
      <c r="A3147" s="33" t="s">
        <v>133</v>
      </c>
      <c r="B3147" s="34">
        <v>408.67099999999999</v>
      </c>
      <c r="C3147" s="35">
        <v>106415.3</v>
      </c>
      <c r="D3147" s="33" t="s">
        <v>54</v>
      </c>
      <c r="E3147" s="34">
        <v>408.63</v>
      </c>
      <c r="F3147" s="36">
        <v>4.0999999999996803E-2</v>
      </c>
      <c r="G3147" s="34">
        <v>4.0999999999996803E-2</v>
      </c>
      <c r="H3147" s="35">
        <v>63.7</v>
      </c>
      <c r="I3147" s="37">
        <f t="shared" si="49"/>
        <v>5.9859813391495399E-4</v>
      </c>
      <c r="J3147" s="33"/>
    </row>
    <row r="3148" spans="1:10">
      <c r="A3148" s="33" t="s">
        <v>133</v>
      </c>
      <c r="B3148" s="34">
        <v>408.67099999999999</v>
      </c>
      <c r="C3148" s="35">
        <v>106415.3</v>
      </c>
      <c r="D3148" s="33" t="s">
        <v>277</v>
      </c>
      <c r="E3148" s="34">
        <v>408.63799999999998</v>
      </c>
      <c r="F3148" s="36">
        <v>3.3000000000015503E-2</v>
      </c>
      <c r="G3148" s="34">
        <v>3.3000000000015503E-2</v>
      </c>
      <c r="H3148" s="35">
        <v>78.8</v>
      </c>
      <c r="I3148" s="37">
        <f t="shared" si="49"/>
        <v>7.4049502280217224E-4</v>
      </c>
      <c r="J3148" s="33"/>
    </row>
    <row r="3149" spans="1:10">
      <c r="A3149" s="33" t="s">
        <v>133</v>
      </c>
      <c r="B3149" s="34">
        <v>408.67099999999999</v>
      </c>
      <c r="C3149" s="35">
        <v>106415.3</v>
      </c>
      <c r="D3149" s="33" t="s">
        <v>25</v>
      </c>
      <c r="E3149" s="34">
        <v>408.64299999999997</v>
      </c>
      <c r="F3149" s="36">
        <v>2.8000000000019998E-2</v>
      </c>
      <c r="G3149" s="34">
        <v>2.8000000000019998E-2</v>
      </c>
      <c r="H3149" s="35">
        <v>663.9</v>
      </c>
      <c r="I3149" s="37">
        <f t="shared" si="49"/>
        <v>6.2387645385578953E-3</v>
      </c>
      <c r="J3149" s="33" t="s">
        <v>116</v>
      </c>
    </row>
    <row r="3150" spans="1:10">
      <c r="A3150" s="33" t="s">
        <v>133</v>
      </c>
      <c r="B3150" s="34">
        <v>408.67099999999999</v>
      </c>
      <c r="C3150" s="35">
        <v>106415.3</v>
      </c>
      <c r="D3150" s="33" t="s">
        <v>271</v>
      </c>
      <c r="E3150" s="34">
        <v>408.65199999999999</v>
      </c>
      <c r="F3150" s="36">
        <v>1.9000000000005499E-2</v>
      </c>
      <c r="G3150" s="34">
        <v>1.9000000000005499E-2</v>
      </c>
      <c r="H3150" s="35">
        <v>5060.5</v>
      </c>
      <c r="I3150" s="37">
        <f t="shared" si="49"/>
        <v>4.7554252067136961E-2</v>
      </c>
      <c r="J3150" s="33"/>
    </row>
    <row r="3151" spans="1:10">
      <c r="A3151" s="33" t="s">
        <v>133</v>
      </c>
      <c r="B3151" s="34">
        <v>408.67099999999999</v>
      </c>
      <c r="C3151" s="35">
        <v>106415.3</v>
      </c>
      <c r="D3151" s="33" t="s">
        <v>201</v>
      </c>
      <c r="E3151" s="34">
        <v>408.66</v>
      </c>
      <c r="F3151" s="36">
        <v>1.09999999999673E-2</v>
      </c>
      <c r="G3151" s="34">
        <v>1.09999999999673E-2</v>
      </c>
      <c r="H3151" s="35">
        <v>111.9</v>
      </c>
      <c r="I3151" s="37">
        <f t="shared" si="49"/>
        <v>1.0515405209589224E-3</v>
      </c>
      <c r="J3151" s="33"/>
    </row>
    <row r="3152" spans="1:10">
      <c r="A3152" s="33" t="s">
        <v>133</v>
      </c>
      <c r="B3152" s="34">
        <v>408.67099999999999</v>
      </c>
      <c r="C3152" s="35">
        <v>106415.3</v>
      </c>
      <c r="D3152" s="33" t="s">
        <v>184</v>
      </c>
      <c r="E3152" s="34">
        <v>408.66699999999997</v>
      </c>
      <c r="F3152" s="36">
        <v>4.0000000000191003E-3</v>
      </c>
      <c r="G3152" s="34">
        <v>4.0000000000191003E-3</v>
      </c>
      <c r="H3152" s="35">
        <v>107.7</v>
      </c>
      <c r="I3152" s="37">
        <f t="shared" si="49"/>
        <v>1.0120725121293649E-3</v>
      </c>
      <c r="J3152" s="33"/>
    </row>
    <row r="3153" spans="1:10">
      <c r="A3153" s="33" t="s">
        <v>133</v>
      </c>
      <c r="B3153" s="34">
        <v>408.67099999999999</v>
      </c>
      <c r="C3153" s="35">
        <v>106415.3</v>
      </c>
      <c r="D3153" s="33" t="s">
        <v>27</v>
      </c>
      <c r="E3153" s="34">
        <v>408.68</v>
      </c>
      <c r="F3153" s="36">
        <v>9.0000000000145502E-3</v>
      </c>
      <c r="G3153" s="34">
        <v>9.0000000000145502E-3</v>
      </c>
      <c r="H3153" s="35">
        <v>519.9</v>
      </c>
      <c r="I3153" s="37">
        <f t="shared" si="49"/>
        <v>4.885575664401641E-3</v>
      </c>
      <c r="J3153" s="33" t="s">
        <v>116</v>
      </c>
    </row>
    <row r="3154" spans="1:10">
      <c r="A3154" s="33" t="s">
        <v>133</v>
      </c>
      <c r="B3154" s="34">
        <v>408.67099999999999</v>
      </c>
      <c r="C3154" s="35">
        <v>106415.3</v>
      </c>
      <c r="D3154" s="33" t="s">
        <v>97</v>
      </c>
      <c r="E3154" s="34">
        <v>408.709</v>
      </c>
      <c r="F3154" s="36">
        <v>3.80000000000109E-2</v>
      </c>
      <c r="G3154" s="34">
        <v>3.80000000000109E-2</v>
      </c>
      <c r="H3154" s="35">
        <v>1.9</v>
      </c>
      <c r="I3154" s="37">
        <f t="shared" si="49"/>
        <v>1.7854575422895014E-5</v>
      </c>
      <c r="J3154" s="33"/>
    </row>
    <row r="3155" spans="1:10">
      <c r="A3155" s="33" t="s">
        <v>133</v>
      </c>
      <c r="B3155" s="34">
        <v>408.67099999999999</v>
      </c>
      <c r="C3155" s="35">
        <v>106415.3</v>
      </c>
      <c r="D3155" s="33" t="s">
        <v>184</v>
      </c>
      <c r="E3155" s="34">
        <v>408.71499999999997</v>
      </c>
      <c r="F3155" s="36">
        <v>4.3999999999982699E-2</v>
      </c>
      <c r="G3155" s="34">
        <v>4.3999999999982699E-2</v>
      </c>
      <c r="H3155" s="35">
        <v>252.9</v>
      </c>
      <c r="I3155" s="37">
        <f t="shared" si="49"/>
        <v>2.376537960236921E-3</v>
      </c>
      <c r="J3155" s="33"/>
    </row>
    <row r="3156" spans="1:10">
      <c r="A3156" s="33" t="s">
        <v>133</v>
      </c>
      <c r="B3156" s="34">
        <v>408.67099999999999</v>
      </c>
      <c r="C3156" s="35">
        <v>106415.3</v>
      </c>
      <c r="D3156" s="33" t="s">
        <v>33</v>
      </c>
      <c r="E3156" s="34">
        <v>408.72</v>
      </c>
      <c r="F3156" s="36">
        <v>4.9000000000035002E-2</v>
      </c>
      <c r="G3156" s="34">
        <v>4.9000000000035002E-2</v>
      </c>
      <c r="H3156" s="35">
        <v>927.8</v>
      </c>
      <c r="I3156" s="37">
        <f t="shared" si="49"/>
        <v>8.7186710933484183E-3</v>
      </c>
      <c r="J3156" s="33" t="s">
        <v>116</v>
      </c>
    </row>
    <row r="3157" spans="1:10">
      <c r="A3157" s="33" t="s">
        <v>133</v>
      </c>
      <c r="B3157" s="34">
        <v>408.67099999999999</v>
      </c>
      <c r="C3157" s="35">
        <v>106415.3</v>
      </c>
      <c r="D3157" s="33" t="s">
        <v>173</v>
      </c>
      <c r="E3157" s="34">
        <v>408.721</v>
      </c>
      <c r="F3157" s="36">
        <v>5.0000000000011403E-2</v>
      </c>
      <c r="G3157" s="34">
        <v>5.0000000000011403E-2</v>
      </c>
      <c r="H3157" s="35">
        <v>1755.6</v>
      </c>
      <c r="I3157" s="37">
        <f t="shared" si="49"/>
        <v>1.6497627690754992E-2</v>
      </c>
      <c r="J3157" s="33"/>
    </row>
    <row r="3158" spans="1:10">
      <c r="A3158" s="33" t="s">
        <v>133</v>
      </c>
      <c r="B3158" s="34">
        <v>408.67099999999999</v>
      </c>
      <c r="C3158" s="35">
        <v>106415.3</v>
      </c>
      <c r="D3158" s="33" t="s">
        <v>285</v>
      </c>
      <c r="E3158" s="34">
        <v>408.73399999999998</v>
      </c>
      <c r="F3158" s="36">
        <v>6.2999999999988204E-2</v>
      </c>
      <c r="G3158" s="34">
        <v>6.2999999999988204E-2</v>
      </c>
      <c r="H3158" s="35">
        <v>71.599999999999994</v>
      </c>
      <c r="I3158" s="37">
        <f t="shared" si="49"/>
        <v>6.7283557909435948E-4</v>
      </c>
      <c r="J3158" s="33"/>
    </row>
    <row r="3159" spans="1:10">
      <c r="A3159" s="33" t="s">
        <v>133</v>
      </c>
      <c r="B3159" s="34">
        <v>408.67099999999999</v>
      </c>
      <c r="C3159" s="35">
        <v>106415.3</v>
      </c>
      <c r="D3159" s="33" t="s">
        <v>25</v>
      </c>
      <c r="E3159" s="34">
        <v>408.73599999999999</v>
      </c>
      <c r="F3159" s="36">
        <v>6.4999999999997699E-2</v>
      </c>
      <c r="G3159" s="34">
        <v>6.4999999999997699E-2</v>
      </c>
      <c r="H3159" s="35">
        <v>2103.5</v>
      </c>
      <c r="I3159" s="37">
        <f t="shared" si="49"/>
        <v>1.9766894422136666E-2</v>
      </c>
      <c r="J3159" s="33" t="s">
        <v>116</v>
      </c>
    </row>
    <row r="3160" spans="1:10">
      <c r="A3160" s="33" t="s">
        <v>133</v>
      </c>
      <c r="B3160" s="34">
        <v>408.67099999999999</v>
      </c>
      <c r="C3160" s="35">
        <v>106415.3</v>
      </c>
      <c r="D3160" s="33" t="s">
        <v>277</v>
      </c>
      <c r="E3160" s="34">
        <v>408.73899999999998</v>
      </c>
      <c r="F3160" s="36">
        <v>6.7999999999983601E-2</v>
      </c>
      <c r="G3160" s="34">
        <v>6.7999999999983601E-2</v>
      </c>
      <c r="H3160" s="35">
        <v>172.1</v>
      </c>
      <c r="I3160" s="37">
        <f t="shared" si="49"/>
        <v>1.6172486475159117E-3</v>
      </c>
      <c r="J3160" s="33"/>
    </row>
    <row r="3161" spans="1:10">
      <c r="A3161" s="33" t="s">
        <v>133</v>
      </c>
      <c r="B3161" s="34">
        <v>408.67099999999999</v>
      </c>
      <c r="C3161" s="35">
        <v>106415.3</v>
      </c>
      <c r="D3161" s="33" t="s">
        <v>184</v>
      </c>
      <c r="E3161" s="34">
        <v>408.74700000000001</v>
      </c>
      <c r="F3161" s="36">
        <v>7.60000000000218E-2</v>
      </c>
      <c r="G3161" s="34">
        <v>7.60000000000218E-2</v>
      </c>
      <c r="H3161" s="35">
        <v>16.3</v>
      </c>
      <c r="I3161" s="37">
        <f t="shared" si="49"/>
        <v>1.531734628385204E-4</v>
      </c>
      <c r="J3161" s="33"/>
    </row>
    <row r="3162" spans="1:10">
      <c r="A3162" s="33" t="s">
        <v>133</v>
      </c>
      <c r="B3162" s="34">
        <v>408.67099999999999</v>
      </c>
      <c r="C3162" s="35">
        <v>106415.3</v>
      </c>
      <c r="D3162" s="33" t="s">
        <v>25</v>
      </c>
      <c r="E3162" s="34">
        <v>408.75700000000001</v>
      </c>
      <c r="F3162" s="36">
        <v>8.6000000000012705E-2</v>
      </c>
      <c r="G3162" s="34">
        <v>8.6000000000012705E-2</v>
      </c>
      <c r="H3162" s="35">
        <v>938.7</v>
      </c>
      <c r="I3162" s="37">
        <f t="shared" si="49"/>
        <v>8.8210999734060803E-3</v>
      </c>
      <c r="J3162" s="33" t="s">
        <v>116</v>
      </c>
    </row>
    <row r="3163" spans="1:10">
      <c r="A3163" s="33" t="s">
        <v>133</v>
      </c>
      <c r="B3163" s="34">
        <v>408.67099999999999</v>
      </c>
      <c r="C3163" s="35">
        <v>106415.3</v>
      </c>
      <c r="D3163" s="33" t="s">
        <v>84</v>
      </c>
      <c r="E3163" s="34">
        <v>408.76299999999998</v>
      </c>
      <c r="F3163" s="36">
        <v>9.1999999999999998E-2</v>
      </c>
      <c r="G3163" s="34">
        <v>9.1999999999999998E-2</v>
      </c>
      <c r="H3163" s="35">
        <v>702.3</v>
      </c>
      <c r="I3163" s="37">
        <f t="shared" si="49"/>
        <v>6.5996149049995624E-3</v>
      </c>
      <c r="J3163" s="33" t="s">
        <v>116</v>
      </c>
    </row>
    <row r="3164" spans="1:10">
      <c r="A3164" s="33" t="s">
        <v>133</v>
      </c>
      <c r="B3164" s="34">
        <v>408.67099999999999</v>
      </c>
      <c r="C3164" s="35">
        <v>106415.3</v>
      </c>
      <c r="D3164" s="33" t="s">
        <v>36</v>
      </c>
      <c r="E3164" s="34">
        <v>408.76900000000001</v>
      </c>
      <c r="F3164" s="36">
        <v>9.8000000000000004E-2</v>
      </c>
      <c r="G3164" s="34">
        <v>9.8000000000000004E-2</v>
      </c>
      <c r="H3164" s="35">
        <v>2015.4</v>
      </c>
      <c r="I3164" s="37">
        <f t="shared" si="49"/>
        <v>1.8939005951211903E-2</v>
      </c>
      <c r="J3164" s="33" t="s">
        <v>116</v>
      </c>
    </row>
    <row r="3165" spans="1:10">
      <c r="A3165" s="33" t="s">
        <v>133</v>
      </c>
      <c r="B3165" s="34">
        <v>408.67099999999999</v>
      </c>
      <c r="C3165" s="35">
        <v>106415.3</v>
      </c>
      <c r="D3165" s="33" t="s">
        <v>282</v>
      </c>
      <c r="E3165" s="34">
        <v>408.77800000000002</v>
      </c>
      <c r="F3165" s="36">
        <v>0.107000000000028</v>
      </c>
      <c r="G3165" s="34">
        <v>0.107000000000028</v>
      </c>
      <c r="H3165" s="35">
        <v>11.9</v>
      </c>
      <c r="I3165" s="37">
        <f t="shared" si="49"/>
        <v>1.1182602501707931E-4</v>
      </c>
      <c r="J3165" s="33"/>
    </row>
    <row r="3166" spans="1:10">
      <c r="A3166" s="33" t="s">
        <v>133</v>
      </c>
      <c r="B3166" s="34">
        <v>408.67099999999999</v>
      </c>
      <c r="C3166" s="35">
        <v>106415.3</v>
      </c>
      <c r="D3166" s="33" t="s">
        <v>269</v>
      </c>
      <c r="E3166" s="34">
        <v>408.79399999999998</v>
      </c>
      <c r="F3166" s="36">
        <v>0.12299999999999101</v>
      </c>
      <c r="G3166" s="34">
        <v>0.12299999999999101</v>
      </c>
      <c r="H3166" s="35">
        <v>6.4</v>
      </c>
      <c r="I3166" s="37">
        <f t="shared" si="49"/>
        <v>6.014172774027795E-5</v>
      </c>
      <c r="J3166" s="33"/>
    </row>
    <row r="3167" spans="1:10">
      <c r="A3167" s="33" t="s">
        <v>133</v>
      </c>
      <c r="B3167" s="34">
        <v>408.67099999999999</v>
      </c>
      <c r="C3167" s="35">
        <v>106415.3</v>
      </c>
      <c r="D3167" s="33" t="s">
        <v>280</v>
      </c>
      <c r="E3167" s="34">
        <v>408.82499999999999</v>
      </c>
      <c r="F3167" s="36">
        <v>0.153999999999996</v>
      </c>
      <c r="G3167" s="34">
        <v>0.153999999999996</v>
      </c>
      <c r="H3167" s="35">
        <v>1048.5</v>
      </c>
      <c r="I3167" s="37">
        <f t="shared" si="49"/>
        <v>9.8529064899502226E-3</v>
      </c>
      <c r="J3167" s="33"/>
    </row>
    <row r="3168" spans="1:10">
      <c r="A3168" s="33" t="s">
        <v>133</v>
      </c>
      <c r="B3168" s="34">
        <v>408.67099999999999</v>
      </c>
      <c r="C3168" s="35">
        <v>106415.3</v>
      </c>
      <c r="D3168" s="33" t="s">
        <v>277</v>
      </c>
      <c r="E3168" s="34">
        <v>408.82499999999999</v>
      </c>
      <c r="F3168" s="36">
        <v>0.153999999999996</v>
      </c>
      <c r="G3168" s="34">
        <v>0.153999999999996</v>
      </c>
      <c r="H3168" s="35">
        <v>342.9</v>
      </c>
      <c r="I3168" s="37">
        <f t="shared" si="49"/>
        <v>3.2222810065845793E-3</v>
      </c>
      <c r="J3168" s="33"/>
    </row>
    <row r="3169" spans="1:10">
      <c r="A3169" s="33" t="s">
        <v>133</v>
      </c>
      <c r="B3169" s="34">
        <v>408.67099999999999</v>
      </c>
      <c r="C3169" s="35">
        <v>106415.3</v>
      </c>
      <c r="D3169" s="33" t="s">
        <v>274</v>
      </c>
      <c r="E3169" s="34">
        <v>408.83300000000003</v>
      </c>
      <c r="F3169" s="36">
        <v>0.162000000000035</v>
      </c>
      <c r="G3169" s="34">
        <v>0.162000000000035</v>
      </c>
      <c r="H3169" s="35">
        <v>11.4</v>
      </c>
      <c r="I3169" s="37">
        <f t="shared" si="49"/>
        <v>1.0712745253737009E-4</v>
      </c>
      <c r="J3169" s="33"/>
    </row>
    <row r="3170" spans="1:10">
      <c r="A3170" s="33" t="s">
        <v>133</v>
      </c>
      <c r="B3170" s="34">
        <v>408.67099999999999</v>
      </c>
      <c r="C3170" s="35">
        <v>106415.3</v>
      </c>
      <c r="D3170" s="33" t="s">
        <v>284</v>
      </c>
      <c r="E3170" s="34">
        <v>408.84399999999999</v>
      </c>
      <c r="F3170" s="36">
        <v>0.17300000000000201</v>
      </c>
      <c r="G3170" s="34">
        <v>0.17300000000000201</v>
      </c>
      <c r="H3170" s="35">
        <v>0.5</v>
      </c>
      <c r="I3170" s="37">
        <f t="shared" si="49"/>
        <v>4.6985724797092148E-6</v>
      </c>
      <c r="J3170" s="33"/>
    </row>
    <row r="3171" spans="1:10">
      <c r="A3171" s="33" t="s">
        <v>133</v>
      </c>
      <c r="B3171" s="34">
        <v>408.67099999999999</v>
      </c>
      <c r="C3171" s="35">
        <v>106415.3</v>
      </c>
      <c r="D3171" s="33" t="s">
        <v>282</v>
      </c>
      <c r="E3171" s="34">
        <v>408.84800000000001</v>
      </c>
      <c r="F3171" s="36">
        <v>0.177000000000021</v>
      </c>
      <c r="G3171" s="34">
        <v>0.177000000000021</v>
      </c>
      <c r="H3171" s="35">
        <v>12.6</v>
      </c>
      <c r="I3171" s="37">
        <f t="shared" si="49"/>
        <v>1.184040264886722E-4</v>
      </c>
      <c r="J3171" s="33"/>
    </row>
    <row r="3172" spans="1:10">
      <c r="A3172" s="33" t="s">
        <v>133</v>
      </c>
      <c r="B3172" s="34">
        <v>412.322</v>
      </c>
      <c r="C3172" s="35">
        <v>80991.7</v>
      </c>
      <c r="D3172" s="33" t="s">
        <v>274</v>
      </c>
      <c r="E3172" s="34">
        <v>412.08600000000001</v>
      </c>
      <c r="F3172" s="36">
        <v>0.23599999999999</v>
      </c>
      <c r="G3172" s="34">
        <v>0.23599999999999</v>
      </c>
      <c r="H3172" s="35">
        <v>5.6</v>
      </c>
      <c r="I3172" s="37">
        <f t="shared" si="49"/>
        <v>6.9142887481062878E-5</v>
      </c>
      <c r="J3172" s="33"/>
    </row>
    <row r="3173" spans="1:10">
      <c r="A3173" s="33" t="s">
        <v>133</v>
      </c>
      <c r="B3173" s="34">
        <v>412.322</v>
      </c>
      <c r="C3173" s="35">
        <v>80991.7</v>
      </c>
      <c r="D3173" s="33" t="s">
        <v>36</v>
      </c>
      <c r="E3173" s="34">
        <v>412.09800000000001</v>
      </c>
      <c r="F3173" s="36">
        <v>0.224</v>
      </c>
      <c r="G3173" s="34">
        <v>0.224</v>
      </c>
      <c r="H3173" s="35">
        <v>35</v>
      </c>
      <c r="I3173" s="37">
        <f t="shared" si="49"/>
        <v>4.32143046756643E-4</v>
      </c>
      <c r="J3173" s="33" t="s">
        <v>116</v>
      </c>
    </row>
    <row r="3174" spans="1:10">
      <c r="A3174" s="33" t="s">
        <v>133</v>
      </c>
      <c r="B3174" s="34">
        <v>412.322</v>
      </c>
      <c r="C3174" s="35">
        <v>80991.7</v>
      </c>
      <c r="D3174" s="33" t="s">
        <v>268</v>
      </c>
      <c r="E3174" s="34">
        <v>412.09899999999999</v>
      </c>
      <c r="F3174" s="36">
        <v>0.22300000000001299</v>
      </c>
      <c r="G3174" s="34">
        <v>0.22300000000001299</v>
      </c>
      <c r="H3174" s="35">
        <v>21.9</v>
      </c>
      <c r="I3174" s="37">
        <f t="shared" si="49"/>
        <v>2.7039807782772802E-4</v>
      </c>
      <c r="J3174" s="33"/>
    </row>
    <row r="3175" spans="1:10">
      <c r="A3175" s="33" t="s">
        <v>133</v>
      </c>
      <c r="B3175" s="34">
        <v>412.322</v>
      </c>
      <c r="C3175" s="35">
        <v>80991.7</v>
      </c>
      <c r="D3175" s="33" t="s">
        <v>54</v>
      </c>
      <c r="E3175" s="34">
        <v>412.13099999999997</v>
      </c>
      <c r="F3175" s="36">
        <v>0.19100000000003101</v>
      </c>
      <c r="G3175" s="34">
        <v>0.19100000000003101</v>
      </c>
      <c r="H3175" s="35">
        <v>1004</v>
      </c>
      <c r="I3175" s="37">
        <f t="shared" si="49"/>
        <v>1.239633196981913E-2</v>
      </c>
      <c r="J3175" s="33"/>
    </row>
    <row r="3176" spans="1:10">
      <c r="A3176" s="33" t="s">
        <v>133</v>
      </c>
      <c r="B3176" s="34">
        <v>412.322</v>
      </c>
      <c r="C3176" s="35">
        <v>80991.7</v>
      </c>
      <c r="D3176" s="33" t="s">
        <v>270</v>
      </c>
      <c r="E3176" s="34">
        <v>412.13400000000001</v>
      </c>
      <c r="F3176" s="36">
        <v>0.18799999999998801</v>
      </c>
      <c r="G3176" s="34">
        <v>0.18799999999998801</v>
      </c>
      <c r="H3176" s="35">
        <v>2275.8000000000002</v>
      </c>
      <c r="I3176" s="37">
        <f t="shared" si="49"/>
        <v>2.8099175594536233E-2</v>
      </c>
      <c r="J3176" s="33"/>
    </row>
    <row r="3177" spans="1:10">
      <c r="A3177" s="33" t="s">
        <v>133</v>
      </c>
      <c r="B3177" s="34">
        <v>412.322</v>
      </c>
      <c r="C3177" s="35">
        <v>80991.7</v>
      </c>
      <c r="D3177" s="33" t="s">
        <v>236</v>
      </c>
      <c r="E3177" s="34">
        <v>412.14499999999998</v>
      </c>
      <c r="F3177" s="36">
        <v>0.177000000000021</v>
      </c>
      <c r="G3177" s="34">
        <v>0.177000000000021</v>
      </c>
      <c r="H3177" s="35">
        <v>126.7</v>
      </c>
      <c r="I3177" s="37">
        <f t="shared" si="49"/>
        <v>1.5643578292590477E-3</v>
      </c>
      <c r="J3177" s="33"/>
    </row>
    <row r="3178" spans="1:10">
      <c r="A3178" s="33" t="s">
        <v>133</v>
      </c>
      <c r="B3178" s="34">
        <v>412.322</v>
      </c>
      <c r="C3178" s="35">
        <v>80991.7</v>
      </c>
      <c r="D3178" s="33" t="s">
        <v>279</v>
      </c>
      <c r="E3178" s="34">
        <v>412.16</v>
      </c>
      <c r="F3178" s="36">
        <v>0.16199999999997799</v>
      </c>
      <c r="G3178" s="34">
        <v>0.16199999999997799</v>
      </c>
      <c r="H3178" s="35">
        <v>9.4</v>
      </c>
      <c r="I3178" s="37">
        <f t="shared" si="49"/>
        <v>1.1606127541464126E-4</v>
      </c>
      <c r="J3178" s="33"/>
    </row>
    <row r="3179" spans="1:10">
      <c r="A3179" s="33" t="s">
        <v>133</v>
      </c>
      <c r="B3179" s="34">
        <v>412.322</v>
      </c>
      <c r="C3179" s="35">
        <v>80991.7</v>
      </c>
      <c r="D3179" s="33" t="s">
        <v>282</v>
      </c>
      <c r="E3179" s="34">
        <v>412.16800000000001</v>
      </c>
      <c r="F3179" s="36">
        <v>0.153999999999996</v>
      </c>
      <c r="G3179" s="34">
        <v>0.153999999999996</v>
      </c>
      <c r="H3179" s="35">
        <v>199</v>
      </c>
      <c r="I3179" s="37">
        <f t="shared" si="49"/>
        <v>2.4570418944163414E-3</v>
      </c>
      <c r="J3179" s="33"/>
    </row>
    <row r="3180" spans="1:10">
      <c r="A3180" s="33" t="s">
        <v>133</v>
      </c>
      <c r="B3180" s="34">
        <v>412.322</v>
      </c>
      <c r="C3180" s="35">
        <v>80991.7</v>
      </c>
      <c r="D3180" s="33" t="s">
        <v>240</v>
      </c>
      <c r="E3180" s="34">
        <v>412.185</v>
      </c>
      <c r="F3180" s="36">
        <v>0.13700000000000101</v>
      </c>
      <c r="G3180" s="34">
        <v>0.13700000000000101</v>
      </c>
      <c r="H3180" s="35">
        <v>0.8</v>
      </c>
      <c r="I3180" s="37">
        <f t="shared" si="49"/>
        <v>9.8775553544375541E-6</v>
      </c>
      <c r="J3180" s="33"/>
    </row>
    <row r="3181" spans="1:10">
      <c r="A3181" s="33" t="s">
        <v>133</v>
      </c>
      <c r="B3181" s="34">
        <v>412.322</v>
      </c>
      <c r="C3181" s="35">
        <v>80991.7</v>
      </c>
      <c r="D3181" s="33" t="s">
        <v>27</v>
      </c>
      <c r="E3181" s="34">
        <v>412.19299999999998</v>
      </c>
      <c r="F3181" s="36">
        <v>0.12900000000001899</v>
      </c>
      <c r="G3181" s="34">
        <v>0.12900000000001899</v>
      </c>
      <c r="H3181" s="35">
        <v>898.6</v>
      </c>
      <c r="I3181" s="37">
        <f t="shared" si="49"/>
        <v>1.1094964051871983E-2</v>
      </c>
      <c r="J3181" s="33" t="s">
        <v>116</v>
      </c>
    </row>
    <row r="3182" spans="1:10">
      <c r="A3182" s="33" t="s">
        <v>133</v>
      </c>
      <c r="B3182" s="34">
        <v>412.322</v>
      </c>
      <c r="C3182" s="35">
        <v>80991.7</v>
      </c>
      <c r="D3182" s="33" t="s">
        <v>274</v>
      </c>
      <c r="E3182" s="34">
        <v>412.20100000000002</v>
      </c>
      <c r="F3182" s="36">
        <v>0.120999999999981</v>
      </c>
      <c r="G3182" s="34">
        <v>0.120999999999981</v>
      </c>
      <c r="H3182" s="35">
        <v>3.6</v>
      </c>
      <c r="I3182" s="37">
        <f t="shared" si="49"/>
        <v>4.4448999094968993E-5</v>
      </c>
      <c r="J3182" s="33"/>
    </row>
    <row r="3183" spans="1:10">
      <c r="A3183" s="33" t="s">
        <v>133</v>
      </c>
      <c r="B3183" s="34">
        <v>412.322</v>
      </c>
      <c r="C3183" s="35">
        <v>80991.7</v>
      </c>
      <c r="D3183" s="33" t="s">
        <v>277</v>
      </c>
      <c r="E3183" s="34">
        <v>412.21699999999998</v>
      </c>
      <c r="F3183" s="36">
        <v>0.105000000000018</v>
      </c>
      <c r="G3183" s="34">
        <v>0.105000000000018</v>
      </c>
      <c r="H3183" s="35">
        <v>94.8</v>
      </c>
      <c r="I3183" s="37">
        <f t="shared" si="49"/>
        <v>1.17049030950085E-3</v>
      </c>
      <c r="J3183" s="33"/>
    </row>
    <row r="3184" spans="1:10">
      <c r="A3184" s="33" t="s">
        <v>133</v>
      </c>
      <c r="B3184" s="34">
        <v>412.322</v>
      </c>
      <c r="C3184" s="35">
        <v>80991.7</v>
      </c>
      <c r="D3184" s="33" t="s">
        <v>275</v>
      </c>
      <c r="E3184" s="34">
        <v>412.23500000000001</v>
      </c>
      <c r="F3184" s="36">
        <v>8.69999999999891E-2</v>
      </c>
      <c r="G3184" s="34">
        <v>8.69999999999891E-2</v>
      </c>
      <c r="H3184" s="35">
        <v>60.8</v>
      </c>
      <c r="I3184" s="37">
        <f t="shared" si="49"/>
        <v>7.5069420693725411E-4</v>
      </c>
      <c r="J3184" s="33"/>
    </row>
    <row r="3185" spans="1:10">
      <c r="A3185" s="33" t="s">
        <v>133</v>
      </c>
      <c r="B3185" s="34">
        <v>412.322</v>
      </c>
      <c r="C3185" s="35">
        <v>80991.7</v>
      </c>
      <c r="D3185" s="33" t="s">
        <v>85</v>
      </c>
      <c r="E3185" s="34">
        <v>412.24900000000002</v>
      </c>
      <c r="F3185" s="36">
        <v>7.2999999999999995E-2</v>
      </c>
      <c r="G3185" s="34">
        <v>7.2999999999999995E-2</v>
      </c>
      <c r="H3185" s="35">
        <v>1305.3</v>
      </c>
      <c r="I3185" s="37">
        <f t="shared" si="49"/>
        <v>1.6116466255184172E-2</v>
      </c>
      <c r="J3185" s="33" t="s">
        <v>116</v>
      </c>
    </row>
    <row r="3186" spans="1:10">
      <c r="A3186" s="33" t="s">
        <v>133</v>
      </c>
      <c r="B3186" s="34">
        <v>412.322</v>
      </c>
      <c r="C3186" s="35">
        <v>80991.7</v>
      </c>
      <c r="D3186" s="33" t="s">
        <v>271</v>
      </c>
      <c r="E3186" s="34">
        <v>412.27</v>
      </c>
      <c r="F3186" s="36">
        <v>5.2000000000020898E-2</v>
      </c>
      <c r="G3186" s="34">
        <v>5.2000000000020898E-2</v>
      </c>
      <c r="H3186" s="35">
        <v>190.1</v>
      </c>
      <c r="I3186" s="37">
        <f t="shared" si="49"/>
        <v>2.3471540910982238E-3</v>
      </c>
      <c r="J3186" s="33"/>
    </row>
    <row r="3187" spans="1:10">
      <c r="A3187" s="33" t="s">
        <v>133</v>
      </c>
      <c r="B3187" s="34">
        <v>412.322</v>
      </c>
      <c r="C3187" s="35">
        <v>80991.7</v>
      </c>
      <c r="D3187" s="33" t="s">
        <v>271</v>
      </c>
      <c r="E3187" s="34">
        <v>412.29599999999999</v>
      </c>
      <c r="F3187" s="36">
        <v>2.6000000000010501E-2</v>
      </c>
      <c r="G3187" s="34">
        <v>2.6000000000010501E-2</v>
      </c>
      <c r="H3187" s="35">
        <v>163.1</v>
      </c>
      <c r="I3187" s="37">
        <f t="shared" si="49"/>
        <v>2.0137865978859561E-3</v>
      </c>
      <c r="J3187" s="33"/>
    </row>
    <row r="3188" spans="1:10">
      <c r="A3188" s="33" t="s">
        <v>133</v>
      </c>
      <c r="B3188" s="34">
        <v>412.322</v>
      </c>
      <c r="C3188" s="35">
        <v>80991.7</v>
      </c>
      <c r="D3188" s="33" t="s">
        <v>268</v>
      </c>
      <c r="E3188" s="34">
        <v>412.30599999999998</v>
      </c>
      <c r="F3188" s="36">
        <v>1.6000000000019599E-2</v>
      </c>
      <c r="G3188" s="34">
        <v>1.6000000000019599E-2</v>
      </c>
      <c r="H3188" s="35">
        <v>16.5</v>
      </c>
      <c r="I3188" s="37">
        <f t="shared" si="49"/>
        <v>2.0372457918527455E-4</v>
      </c>
      <c r="J3188" s="33"/>
    </row>
    <row r="3189" spans="1:10">
      <c r="A3189" s="33" t="s">
        <v>133</v>
      </c>
      <c r="B3189" s="34">
        <v>412.322</v>
      </c>
      <c r="C3189" s="35">
        <v>80991.7</v>
      </c>
      <c r="D3189" s="33" t="s">
        <v>274</v>
      </c>
      <c r="E3189" s="34">
        <v>412.30599999999998</v>
      </c>
      <c r="F3189" s="36">
        <v>1.6000000000019599E-2</v>
      </c>
      <c r="G3189" s="34">
        <v>1.6000000000019599E-2</v>
      </c>
      <c r="H3189" s="35">
        <v>3.3</v>
      </c>
      <c r="I3189" s="37">
        <f t="shared" si="49"/>
        <v>4.0744915837054911E-5</v>
      </c>
      <c r="J3189" s="33"/>
    </row>
    <row r="3190" spans="1:10">
      <c r="A3190" s="33" t="s">
        <v>133</v>
      </c>
      <c r="B3190" s="34">
        <v>412.322</v>
      </c>
      <c r="C3190" s="35">
        <v>80991.7</v>
      </c>
      <c r="D3190" s="33" t="s">
        <v>239</v>
      </c>
      <c r="E3190" s="34">
        <v>412.33800000000002</v>
      </c>
      <c r="F3190" s="36">
        <v>1.6000000000019599E-2</v>
      </c>
      <c r="G3190" s="34">
        <v>1.6000000000019599E-2</v>
      </c>
      <c r="H3190" s="35">
        <v>14</v>
      </c>
      <c r="I3190" s="37">
        <f t="shared" si="49"/>
        <v>1.728572187026572E-4</v>
      </c>
      <c r="J3190" s="33"/>
    </row>
    <row r="3191" spans="1:10">
      <c r="A3191" s="33" t="s">
        <v>133</v>
      </c>
      <c r="B3191" s="34">
        <v>412.322</v>
      </c>
      <c r="C3191" s="35">
        <v>80991.7</v>
      </c>
      <c r="D3191" s="33" t="s">
        <v>25</v>
      </c>
      <c r="E3191" s="34">
        <v>412.34899999999999</v>
      </c>
      <c r="F3191" s="36">
        <v>2.6999999999986798E-2</v>
      </c>
      <c r="G3191" s="34">
        <v>2.6999999999986798E-2</v>
      </c>
      <c r="H3191" s="35">
        <v>2678.4</v>
      </c>
      <c r="I3191" s="37">
        <f t="shared" si="49"/>
        <v>3.3070055326656932E-2</v>
      </c>
      <c r="J3191" s="33" t="s">
        <v>116</v>
      </c>
    </row>
    <row r="3192" spans="1:10">
      <c r="A3192" s="33" t="s">
        <v>133</v>
      </c>
      <c r="B3192" s="34">
        <v>412.322</v>
      </c>
      <c r="C3192" s="35">
        <v>80991.7</v>
      </c>
      <c r="D3192" s="33" t="s">
        <v>278</v>
      </c>
      <c r="E3192" s="34">
        <v>412.351</v>
      </c>
      <c r="F3192" s="36">
        <v>2.89999999999964E-2</v>
      </c>
      <c r="G3192" s="34">
        <v>2.89999999999964E-2</v>
      </c>
      <c r="H3192" s="35">
        <v>810.9</v>
      </c>
      <c r="I3192" s="37">
        <f t="shared" si="49"/>
        <v>1.0012137046141765E-2</v>
      </c>
      <c r="J3192" s="33"/>
    </row>
    <row r="3193" spans="1:10">
      <c r="A3193" s="33" t="s">
        <v>133</v>
      </c>
      <c r="B3193" s="34">
        <v>412.322</v>
      </c>
      <c r="C3193" s="35">
        <v>80991.7</v>
      </c>
      <c r="D3193" s="33" t="s">
        <v>269</v>
      </c>
      <c r="E3193" s="34">
        <v>412.35300000000001</v>
      </c>
      <c r="F3193" s="36">
        <v>3.1000000000005901E-2</v>
      </c>
      <c r="G3193" s="34">
        <v>3.1000000000005901E-2</v>
      </c>
      <c r="H3193" s="35">
        <v>74.2</v>
      </c>
      <c r="I3193" s="37">
        <f t="shared" si="49"/>
        <v>9.1614325912408321E-4</v>
      </c>
      <c r="J3193" s="33"/>
    </row>
    <row r="3194" spans="1:10">
      <c r="A3194" s="33" t="s">
        <v>133</v>
      </c>
      <c r="B3194" s="34">
        <v>412.322</v>
      </c>
      <c r="C3194" s="35">
        <v>80991.7</v>
      </c>
      <c r="D3194" s="33" t="s">
        <v>271</v>
      </c>
      <c r="E3194" s="34">
        <v>412.35300000000001</v>
      </c>
      <c r="F3194" s="36">
        <v>3.1000000000005901E-2</v>
      </c>
      <c r="G3194" s="34">
        <v>3.1000000000005901E-2</v>
      </c>
      <c r="H3194" s="35">
        <v>298.39999999999998</v>
      </c>
      <c r="I3194" s="37">
        <f t="shared" si="49"/>
        <v>3.6843281472052074E-3</v>
      </c>
      <c r="J3194" s="33"/>
    </row>
    <row r="3195" spans="1:10">
      <c r="A3195" s="33" t="s">
        <v>133</v>
      </c>
      <c r="B3195" s="34">
        <v>412.322</v>
      </c>
      <c r="C3195" s="35">
        <v>80991.7</v>
      </c>
      <c r="D3195" s="33" t="s">
        <v>237</v>
      </c>
      <c r="E3195" s="34">
        <v>412.35700000000003</v>
      </c>
      <c r="F3195" s="36">
        <v>3.5000000000024997E-2</v>
      </c>
      <c r="G3195" s="34">
        <v>3.5000000000024997E-2</v>
      </c>
      <c r="H3195" s="35">
        <v>48.1</v>
      </c>
      <c r="I3195" s="37">
        <f t="shared" si="49"/>
        <v>5.9388801568555799E-4</v>
      </c>
      <c r="J3195" s="33"/>
    </row>
    <row r="3196" spans="1:10">
      <c r="A3196" s="33" t="s">
        <v>133</v>
      </c>
      <c r="B3196" s="34">
        <v>412.322</v>
      </c>
      <c r="C3196" s="35">
        <v>80991.7</v>
      </c>
      <c r="D3196" s="33" t="s">
        <v>97</v>
      </c>
      <c r="E3196" s="34">
        <v>412.37299999999999</v>
      </c>
      <c r="F3196" s="36">
        <v>5.0999999999987701E-2</v>
      </c>
      <c r="G3196" s="34">
        <v>5.0999999999987701E-2</v>
      </c>
      <c r="H3196" s="35">
        <v>1.6</v>
      </c>
      <c r="I3196" s="37">
        <f t="shared" si="49"/>
        <v>1.9755110708875108E-5</v>
      </c>
      <c r="J3196" s="33"/>
    </row>
    <row r="3197" spans="1:10">
      <c r="A3197" s="33" t="s">
        <v>133</v>
      </c>
      <c r="B3197" s="34">
        <v>412.322</v>
      </c>
      <c r="C3197" s="35">
        <v>80991.7</v>
      </c>
      <c r="D3197" s="33" t="s">
        <v>273</v>
      </c>
      <c r="E3197" s="34">
        <v>412.38</v>
      </c>
      <c r="F3197" s="36">
        <v>5.7999999999992703E-2</v>
      </c>
      <c r="G3197" s="34">
        <v>5.7999999999992703E-2</v>
      </c>
      <c r="H3197" s="35">
        <v>1268.5999999999999</v>
      </c>
      <c r="I3197" s="37">
        <f t="shared" si="49"/>
        <v>1.566333340329935E-2</v>
      </c>
      <c r="J3197" s="33"/>
    </row>
    <row r="3198" spans="1:10">
      <c r="A3198" s="33" t="s">
        <v>133</v>
      </c>
      <c r="B3198" s="34">
        <v>412.322</v>
      </c>
      <c r="C3198" s="35">
        <v>80991.7</v>
      </c>
      <c r="D3198" s="33" t="s">
        <v>268</v>
      </c>
      <c r="E3198" s="34">
        <v>412.38</v>
      </c>
      <c r="F3198" s="36">
        <v>5.7999999999992703E-2</v>
      </c>
      <c r="G3198" s="34">
        <v>5.7999999999992703E-2</v>
      </c>
      <c r="H3198" s="35">
        <v>48</v>
      </c>
      <c r="I3198" s="37">
        <f t="shared" si="49"/>
        <v>5.9265332126625324E-4</v>
      </c>
      <c r="J3198" s="33"/>
    </row>
    <row r="3199" spans="1:10">
      <c r="A3199" s="33" t="s">
        <v>133</v>
      </c>
      <c r="B3199" s="34">
        <v>412.322</v>
      </c>
      <c r="C3199" s="35">
        <v>80991.7</v>
      </c>
      <c r="D3199" s="33" t="s">
        <v>25</v>
      </c>
      <c r="E3199" s="34">
        <v>412.387</v>
      </c>
      <c r="F3199" s="36">
        <v>6.4999999999997699E-2</v>
      </c>
      <c r="G3199" s="34">
        <v>6.4999999999997699E-2</v>
      </c>
      <c r="H3199" s="35">
        <v>6748.5</v>
      </c>
      <c r="I3199" s="37">
        <f t="shared" si="49"/>
        <v>8.3323352886777294E-2</v>
      </c>
      <c r="J3199" s="33" t="s">
        <v>116</v>
      </c>
    </row>
    <row r="3200" spans="1:10">
      <c r="A3200" s="33" t="s">
        <v>133</v>
      </c>
      <c r="B3200" s="34">
        <v>412.322</v>
      </c>
      <c r="C3200" s="35">
        <v>80991.7</v>
      </c>
      <c r="D3200" s="33" t="s">
        <v>27</v>
      </c>
      <c r="E3200" s="34">
        <v>412.38799999999998</v>
      </c>
      <c r="F3200" s="36">
        <v>6.5999999999974093E-2</v>
      </c>
      <c r="G3200" s="34">
        <v>6.5999999999974093E-2</v>
      </c>
      <c r="H3200" s="35">
        <v>2225.8000000000002</v>
      </c>
      <c r="I3200" s="37">
        <f t="shared" si="49"/>
        <v>2.7481828384883885E-2</v>
      </c>
      <c r="J3200" s="33" t="s">
        <v>116</v>
      </c>
    </row>
    <row r="3201" spans="1:10">
      <c r="A3201" s="33" t="s">
        <v>133</v>
      </c>
      <c r="B3201" s="34">
        <v>412.322</v>
      </c>
      <c r="C3201" s="35">
        <v>80991.7</v>
      </c>
      <c r="D3201" s="33" t="s">
        <v>270</v>
      </c>
      <c r="E3201" s="34">
        <v>412.39499999999998</v>
      </c>
      <c r="F3201" s="36">
        <v>7.2999999999979095E-2</v>
      </c>
      <c r="G3201" s="34">
        <v>7.2999999999979095E-2</v>
      </c>
      <c r="H3201" s="35">
        <v>2902.6</v>
      </c>
      <c r="I3201" s="37">
        <f t="shared" si="49"/>
        <v>3.5838240214738054E-2</v>
      </c>
      <c r="J3201" s="33"/>
    </row>
    <row r="3202" spans="1:10">
      <c r="A3202" s="33" t="s">
        <v>133</v>
      </c>
      <c r="B3202" s="34">
        <v>412.322</v>
      </c>
      <c r="C3202" s="35">
        <v>80991.7</v>
      </c>
      <c r="D3202" s="33" t="s">
        <v>271</v>
      </c>
      <c r="E3202" s="34">
        <v>412.45100000000002</v>
      </c>
      <c r="F3202" s="36">
        <v>0.12900000000001899</v>
      </c>
      <c r="G3202" s="34">
        <v>0.12900000000001899</v>
      </c>
      <c r="H3202" s="35">
        <v>186.4</v>
      </c>
      <c r="I3202" s="37">
        <f t="shared" ref="I3202:I3265" si="50">H3202/C3202</f>
        <v>2.30147039758395E-3</v>
      </c>
      <c r="J3202" s="33"/>
    </row>
    <row r="3203" spans="1:10">
      <c r="A3203" s="33" t="s">
        <v>133</v>
      </c>
      <c r="B3203" s="34">
        <v>412.322</v>
      </c>
      <c r="C3203" s="35">
        <v>80991.7</v>
      </c>
      <c r="D3203" s="33" t="s">
        <v>116</v>
      </c>
      <c r="E3203" s="34">
        <v>412.45100000000002</v>
      </c>
      <c r="F3203" s="36">
        <v>0.12900000000001899</v>
      </c>
      <c r="G3203" s="34">
        <v>0.12900000000001899</v>
      </c>
      <c r="H3203" s="35">
        <v>3902.8</v>
      </c>
      <c r="I3203" s="37">
        <f t="shared" si="50"/>
        <v>4.8187653796623611E-2</v>
      </c>
      <c r="J3203" s="33" t="s">
        <v>116</v>
      </c>
    </row>
    <row r="3204" spans="1:10">
      <c r="A3204" s="33" t="s">
        <v>133</v>
      </c>
      <c r="B3204" s="34">
        <v>412.322</v>
      </c>
      <c r="C3204" s="35">
        <v>80991.7</v>
      </c>
      <c r="D3204" s="33" t="s">
        <v>284</v>
      </c>
      <c r="E3204" s="34">
        <v>412.46</v>
      </c>
      <c r="F3204" s="36">
        <v>0.137999999999977</v>
      </c>
      <c r="G3204" s="34">
        <v>0.137999999999977</v>
      </c>
      <c r="H3204" s="35">
        <v>0.8</v>
      </c>
      <c r="I3204" s="37">
        <f t="shared" si="50"/>
        <v>9.8775553544375541E-6</v>
      </c>
      <c r="J3204" s="33"/>
    </row>
    <row r="3205" spans="1:10">
      <c r="A3205" s="33" t="s">
        <v>133</v>
      </c>
      <c r="B3205" s="34">
        <v>412.322</v>
      </c>
      <c r="C3205" s="35">
        <v>80991.7</v>
      </c>
      <c r="D3205" s="33" t="s">
        <v>33</v>
      </c>
      <c r="E3205" s="34">
        <v>412.46300000000002</v>
      </c>
      <c r="F3205" s="36">
        <v>0.14100000000002</v>
      </c>
      <c r="G3205" s="34">
        <v>0.14100000000002</v>
      </c>
      <c r="H3205" s="35">
        <v>1292.0999999999999</v>
      </c>
      <c r="I3205" s="37">
        <f t="shared" si="50"/>
        <v>1.5953486591835955E-2</v>
      </c>
      <c r="J3205" s="33" t="s">
        <v>116</v>
      </c>
    </row>
    <row r="3206" spans="1:10">
      <c r="A3206" s="33" t="s">
        <v>133</v>
      </c>
      <c r="B3206" s="34">
        <v>412.322</v>
      </c>
      <c r="C3206" s="35">
        <v>80991.7</v>
      </c>
      <c r="D3206" s="33" t="s">
        <v>85</v>
      </c>
      <c r="E3206" s="34">
        <v>412.47199999999998</v>
      </c>
      <c r="F3206" s="36">
        <v>0.15</v>
      </c>
      <c r="G3206" s="34">
        <v>0.15</v>
      </c>
      <c r="H3206" s="35">
        <v>4936.8999999999996</v>
      </c>
      <c r="I3206" s="37">
        <f t="shared" si="50"/>
        <v>6.0955628786653442E-2</v>
      </c>
      <c r="J3206" s="33" t="s">
        <v>116</v>
      </c>
    </row>
    <row r="3207" spans="1:10">
      <c r="A3207" s="33" t="s">
        <v>133</v>
      </c>
      <c r="B3207" s="34">
        <v>412.322</v>
      </c>
      <c r="C3207" s="35">
        <v>80991.7</v>
      </c>
      <c r="D3207" s="33" t="s">
        <v>277</v>
      </c>
      <c r="E3207" s="34">
        <v>412.47300000000001</v>
      </c>
      <c r="F3207" s="36">
        <v>0.15100000000001099</v>
      </c>
      <c r="G3207" s="34">
        <v>0.15100000000001099</v>
      </c>
      <c r="H3207" s="35">
        <v>578.5</v>
      </c>
      <c r="I3207" s="37">
        <f t="shared" si="50"/>
        <v>7.1427072156776562E-3</v>
      </c>
      <c r="J3207" s="33"/>
    </row>
    <row r="3208" spans="1:10">
      <c r="A3208" s="33" t="s">
        <v>133</v>
      </c>
      <c r="B3208" s="34">
        <v>412.322</v>
      </c>
      <c r="C3208" s="35">
        <v>80991.7</v>
      </c>
      <c r="D3208" s="33" t="s">
        <v>25</v>
      </c>
      <c r="E3208" s="34">
        <v>412.47899999999998</v>
      </c>
      <c r="F3208" s="36">
        <v>0.15699999999998199</v>
      </c>
      <c r="G3208" s="34">
        <v>0.15699999999998199</v>
      </c>
      <c r="H3208" s="35">
        <v>3104</v>
      </c>
      <c r="I3208" s="37">
        <f t="shared" si="50"/>
        <v>3.8324914775217711E-2</v>
      </c>
      <c r="J3208" s="33" t="s">
        <v>116</v>
      </c>
    </row>
    <row r="3209" spans="1:10">
      <c r="A3209" s="33" t="s">
        <v>133</v>
      </c>
      <c r="B3209" s="34">
        <v>412.322</v>
      </c>
      <c r="C3209" s="35">
        <v>80991.7</v>
      </c>
      <c r="D3209" s="33" t="s">
        <v>116</v>
      </c>
      <c r="E3209" s="34">
        <v>412.49099999999999</v>
      </c>
      <c r="F3209" s="36">
        <v>0.16900000000000001</v>
      </c>
      <c r="G3209" s="34">
        <v>0.16900000000000001</v>
      </c>
      <c r="H3209" s="35">
        <v>3902.8</v>
      </c>
      <c r="I3209" s="37">
        <f t="shared" si="50"/>
        <v>4.8187653796623611E-2</v>
      </c>
      <c r="J3209" s="33" t="s">
        <v>116</v>
      </c>
    </row>
    <row r="3210" spans="1:10">
      <c r="A3210" s="33" t="s">
        <v>133</v>
      </c>
      <c r="B3210" s="34">
        <v>492.178</v>
      </c>
      <c r="C3210" s="35">
        <v>96970.8</v>
      </c>
      <c r="D3210" s="33" t="s">
        <v>36</v>
      </c>
      <c r="E3210" s="34">
        <v>491.66</v>
      </c>
      <c r="F3210" s="36">
        <v>0.51800000000000002</v>
      </c>
      <c r="G3210" s="34">
        <v>0.51800000000000002</v>
      </c>
      <c r="H3210" s="35">
        <v>267.5</v>
      </c>
      <c r="I3210" s="37">
        <f t="shared" si="50"/>
        <v>2.7585623713530256E-3</v>
      </c>
      <c r="J3210" s="33" t="s">
        <v>116</v>
      </c>
    </row>
    <row r="3211" spans="1:10">
      <c r="A3211" s="33" t="s">
        <v>133</v>
      </c>
      <c r="B3211" s="34">
        <v>492.178</v>
      </c>
      <c r="C3211" s="35">
        <v>96970.8</v>
      </c>
      <c r="D3211" s="33" t="s">
        <v>116</v>
      </c>
      <c r="E3211" s="34">
        <v>491.709</v>
      </c>
      <c r="F3211" s="36">
        <v>0.46899999999999997</v>
      </c>
      <c r="G3211" s="34">
        <v>0.46899999999999997</v>
      </c>
      <c r="H3211" s="35">
        <v>24.5</v>
      </c>
      <c r="I3211" s="37">
        <f t="shared" si="50"/>
        <v>2.526533760678472E-4</v>
      </c>
      <c r="J3211" s="33" t="s">
        <v>116</v>
      </c>
    </row>
    <row r="3212" spans="1:10">
      <c r="A3212" s="33" t="s">
        <v>133</v>
      </c>
      <c r="B3212" s="34">
        <v>492.178</v>
      </c>
      <c r="C3212" s="35">
        <v>96970.8</v>
      </c>
      <c r="D3212" s="33" t="s">
        <v>278</v>
      </c>
      <c r="E3212" s="34">
        <v>491.78899999999999</v>
      </c>
      <c r="F3212" s="36">
        <v>0.38900000000001</v>
      </c>
      <c r="G3212" s="34">
        <v>0.38900000000001</v>
      </c>
      <c r="H3212" s="35">
        <v>824.5</v>
      </c>
      <c r="I3212" s="37">
        <f t="shared" si="50"/>
        <v>8.502559533385308E-3</v>
      </c>
      <c r="J3212" s="33"/>
    </row>
    <row r="3213" spans="1:10">
      <c r="A3213" s="33" t="s">
        <v>133</v>
      </c>
      <c r="B3213" s="34">
        <v>492.178</v>
      </c>
      <c r="C3213" s="35">
        <v>96970.8</v>
      </c>
      <c r="D3213" s="33" t="s">
        <v>165</v>
      </c>
      <c r="E3213" s="34">
        <v>491.83600000000001</v>
      </c>
      <c r="F3213" s="36">
        <v>0.34199999999998498</v>
      </c>
      <c r="G3213" s="34">
        <v>0.34199999999998498</v>
      </c>
      <c r="H3213" s="35">
        <v>93</v>
      </c>
      <c r="I3213" s="37">
        <f t="shared" si="50"/>
        <v>9.5905159078815477E-4</v>
      </c>
      <c r="J3213" s="33"/>
    </row>
    <row r="3214" spans="1:10">
      <c r="A3214" s="33" t="s">
        <v>133</v>
      </c>
      <c r="B3214" s="34">
        <v>492.178</v>
      </c>
      <c r="C3214" s="35">
        <v>96970.8</v>
      </c>
      <c r="D3214" s="33" t="s">
        <v>97</v>
      </c>
      <c r="E3214" s="34">
        <v>491.899</v>
      </c>
      <c r="F3214" s="36">
        <v>0.27899999999999597</v>
      </c>
      <c r="G3214" s="34">
        <v>0.27899999999999597</v>
      </c>
      <c r="H3214" s="35">
        <v>138.4</v>
      </c>
      <c r="I3214" s="37">
        <f t="shared" si="50"/>
        <v>1.4272337652159208E-3</v>
      </c>
      <c r="J3214" s="33"/>
    </row>
    <row r="3215" spans="1:10">
      <c r="A3215" s="33" t="s">
        <v>133</v>
      </c>
      <c r="B3215" s="34">
        <v>492.178</v>
      </c>
      <c r="C3215" s="35">
        <v>96970.8</v>
      </c>
      <c r="D3215" s="33" t="s">
        <v>270</v>
      </c>
      <c r="E3215" s="34">
        <v>491.9</v>
      </c>
      <c r="F3215" s="36">
        <v>0.27800000000002001</v>
      </c>
      <c r="G3215" s="34">
        <v>0.27800000000002001</v>
      </c>
      <c r="H3215" s="35">
        <v>315.60000000000002</v>
      </c>
      <c r="I3215" s="37">
        <f t="shared" si="50"/>
        <v>3.2545879790617381E-3</v>
      </c>
      <c r="J3215" s="33"/>
    </row>
    <row r="3216" spans="1:10">
      <c r="A3216" s="33" t="s">
        <v>133</v>
      </c>
      <c r="B3216" s="34">
        <v>492.178</v>
      </c>
      <c r="C3216" s="35">
        <v>96970.8</v>
      </c>
      <c r="D3216" s="33" t="s">
        <v>239</v>
      </c>
      <c r="E3216" s="34">
        <v>491.94400000000002</v>
      </c>
      <c r="F3216" s="36">
        <v>0.23399999999998</v>
      </c>
      <c r="G3216" s="34">
        <v>0.23399999999998</v>
      </c>
      <c r="H3216" s="35">
        <v>10.9</v>
      </c>
      <c r="I3216" s="37">
        <f t="shared" si="50"/>
        <v>1.1240497139345039E-4</v>
      </c>
      <c r="J3216" s="33"/>
    </row>
    <row r="3217" spans="1:10">
      <c r="A3217" s="33" t="s">
        <v>133</v>
      </c>
      <c r="B3217" s="34">
        <v>492.178</v>
      </c>
      <c r="C3217" s="35">
        <v>96970.8</v>
      </c>
      <c r="D3217" s="33" t="s">
        <v>271</v>
      </c>
      <c r="E3217" s="34">
        <v>491.98200000000003</v>
      </c>
      <c r="F3217" s="36">
        <v>0.19599999999997</v>
      </c>
      <c r="G3217" s="34">
        <v>0.19599999999997</v>
      </c>
      <c r="H3217" s="35">
        <v>13871</v>
      </c>
      <c r="I3217" s="37">
        <f t="shared" si="50"/>
        <v>0.1430430603851881</v>
      </c>
      <c r="J3217" s="33"/>
    </row>
    <row r="3218" spans="1:10">
      <c r="A3218" s="33" t="s">
        <v>133</v>
      </c>
      <c r="B3218" s="34">
        <v>492.178</v>
      </c>
      <c r="C3218" s="35">
        <v>96970.8</v>
      </c>
      <c r="D3218" s="33" t="s">
        <v>237</v>
      </c>
      <c r="E3218" s="34">
        <v>491.98700000000002</v>
      </c>
      <c r="F3218" s="36">
        <v>0.190999999999974</v>
      </c>
      <c r="G3218" s="34">
        <v>0.190999999999974</v>
      </c>
      <c r="H3218" s="35">
        <v>192.5</v>
      </c>
      <c r="I3218" s="37">
        <f t="shared" si="50"/>
        <v>1.985133669104514E-3</v>
      </c>
      <c r="J3218" s="33"/>
    </row>
    <row r="3219" spans="1:10">
      <c r="A3219" s="33" t="s">
        <v>133</v>
      </c>
      <c r="B3219" s="34">
        <v>492.178</v>
      </c>
      <c r="C3219" s="35">
        <v>96970.8</v>
      </c>
      <c r="D3219" s="33" t="s">
        <v>193</v>
      </c>
      <c r="E3219" s="34">
        <v>492.01299999999998</v>
      </c>
      <c r="F3219" s="36">
        <v>0.16500000000002099</v>
      </c>
      <c r="G3219" s="34">
        <v>0.16500000000002099</v>
      </c>
      <c r="H3219" s="35">
        <v>107.2</v>
      </c>
      <c r="I3219" s="37">
        <f t="shared" si="50"/>
        <v>1.1054874250805396E-3</v>
      </c>
      <c r="J3219" s="33"/>
    </row>
    <row r="3220" spans="1:10">
      <c r="A3220" s="33" t="s">
        <v>133</v>
      </c>
      <c r="B3220" s="34">
        <v>492.178</v>
      </c>
      <c r="C3220" s="35">
        <v>96970.8</v>
      </c>
      <c r="D3220" s="33" t="s">
        <v>270</v>
      </c>
      <c r="E3220" s="34">
        <v>492.03899999999999</v>
      </c>
      <c r="F3220" s="36">
        <v>0.13900000000001</v>
      </c>
      <c r="G3220" s="34">
        <v>0.13900000000001</v>
      </c>
      <c r="H3220" s="35">
        <v>2255.9</v>
      </c>
      <c r="I3220" s="37">
        <f t="shared" si="50"/>
        <v>2.3263704125365575E-2</v>
      </c>
      <c r="J3220" s="33"/>
    </row>
    <row r="3221" spans="1:10">
      <c r="A3221" s="33" t="s">
        <v>133</v>
      </c>
      <c r="B3221" s="34">
        <v>492.178</v>
      </c>
      <c r="C3221" s="35">
        <v>96970.8</v>
      </c>
      <c r="D3221" s="33" t="s">
        <v>97</v>
      </c>
      <c r="E3221" s="34">
        <v>492.05</v>
      </c>
      <c r="F3221" s="36">
        <v>0.12799999999998601</v>
      </c>
      <c r="G3221" s="34">
        <v>0.12799999999998601</v>
      </c>
      <c r="H3221" s="35">
        <v>395.9</v>
      </c>
      <c r="I3221" s="37">
        <f t="shared" si="50"/>
        <v>4.0826723096024781E-3</v>
      </c>
      <c r="J3221" s="33"/>
    </row>
    <row r="3222" spans="1:10">
      <c r="A3222" s="33" t="s">
        <v>133</v>
      </c>
      <c r="B3222" s="34">
        <v>492.178</v>
      </c>
      <c r="C3222" s="35">
        <v>96970.8</v>
      </c>
      <c r="D3222" s="33" t="s">
        <v>271</v>
      </c>
      <c r="E3222" s="34">
        <v>492.053</v>
      </c>
      <c r="F3222" s="36">
        <v>0.125</v>
      </c>
      <c r="G3222" s="34">
        <v>0.125</v>
      </c>
      <c r="H3222" s="35">
        <v>663</v>
      </c>
      <c r="I3222" s="37">
        <f t="shared" si="50"/>
        <v>6.8371097278768448E-3</v>
      </c>
      <c r="J3222" s="33"/>
    </row>
    <row r="3223" spans="1:10">
      <c r="A3223" s="33" t="s">
        <v>133</v>
      </c>
      <c r="B3223" s="34">
        <v>492.178</v>
      </c>
      <c r="C3223" s="35">
        <v>96970.8</v>
      </c>
      <c r="D3223" s="33" t="s">
        <v>27</v>
      </c>
      <c r="E3223" s="34">
        <v>492.06799999999998</v>
      </c>
      <c r="F3223" s="36">
        <v>0.110000000000014</v>
      </c>
      <c r="G3223" s="34">
        <v>0.110000000000014</v>
      </c>
      <c r="H3223" s="35">
        <v>11062.5</v>
      </c>
      <c r="I3223" s="37">
        <f t="shared" si="50"/>
        <v>0.11408073358165551</v>
      </c>
      <c r="J3223" s="33" t="s">
        <v>116</v>
      </c>
    </row>
    <row r="3224" spans="1:10">
      <c r="A3224" s="33" t="s">
        <v>133</v>
      </c>
      <c r="B3224" s="34">
        <v>492.178</v>
      </c>
      <c r="C3224" s="35">
        <v>96970.8</v>
      </c>
      <c r="D3224" s="33" t="s">
        <v>239</v>
      </c>
      <c r="E3224" s="34">
        <v>492.096</v>
      </c>
      <c r="F3224" s="36">
        <v>8.1999999999993606E-2</v>
      </c>
      <c r="G3224" s="34">
        <v>8.1999999999993606E-2</v>
      </c>
      <c r="H3224" s="35">
        <v>39.9</v>
      </c>
      <c r="I3224" s="37">
        <f t="shared" si="50"/>
        <v>4.114640695962083E-4</v>
      </c>
      <c r="J3224" s="33"/>
    </row>
    <row r="3225" spans="1:10">
      <c r="A3225" s="33" t="s">
        <v>133</v>
      </c>
      <c r="B3225" s="34">
        <v>492.178</v>
      </c>
      <c r="C3225" s="35">
        <v>96970.8</v>
      </c>
      <c r="D3225" s="33" t="s">
        <v>133</v>
      </c>
      <c r="E3225" s="34">
        <v>492.09800000000001</v>
      </c>
      <c r="F3225" s="36">
        <v>7.9999999999984098E-2</v>
      </c>
      <c r="G3225" s="34">
        <v>7.9999999999984098E-2</v>
      </c>
      <c r="H3225" s="35">
        <v>91448.6</v>
      </c>
      <c r="I3225" s="37">
        <f t="shared" si="50"/>
        <v>0.9430529602725769</v>
      </c>
      <c r="J3225" s="33"/>
    </row>
    <row r="3226" spans="1:10">
      <c r="A3226" s="33" t="s">
        <v>133</v>
      </c>
      <c r="B3226" s="34">
        <v>492.178</v>
      </c>
      <c r="C3226" s="35">
        <v>96970.8</v>
      </c>
      <c r="D3226" s="33" t="s">
        <v>268</v>
      </c>
      <c r="E3226" s="34">
        <v>492.10899999999998</v>
      </c>
      <c r="F3226" s="36">
        <v>6.9000000000016798E-2</v>
      </c>
      <c r="G3226" s="34">
        <v>6.9000000000016798E-2</v>
      </c>
      <c r="H3226" s="35">
        <v>170.2</v>
      </c>
      <c r="I3226" s="37">
        <f t="shared" si="50"/>
        <v>1.7551675349692895E-3</v>
      </c>
      <c r="J3226" s="33"/>
    </row>
    <row r="3227" spans="1:10">
      <c r="A3227" s="33" t="s">
        <v>133</v>
      </c>
      <c r="B3227" s="34">
        <v>492.178</v>
      </c>
      <c r="C3227" s="35">
        <v>96970.8</v>
      </c>
      <c r="D3227" s="33" t="s">
        <v>240</v>
      </c>
      <c r="E3227" s="34">
        <v>492.11099999999999</v>
      </c>
      <c r="F3227" s="36">
        <v>6.7000000000007304E-2</v>
      </c>
      <c r="G3227" s="34">
        <v>6.7000000000007304E-2</v>
      </c>
      <c r="H3227" s="35">
        <v>15.2</v>
      </c>
      <c r="I3227" s="37">
        <f t="shared" si="50"/>
        <v>1.5674821698903173E-4</v>
      </c>
      <c r="J3227" s="33"/>
    </row>
    <row r="3228" spans="1:10">
      <c r="A3228" s="33" t="s">
        <v>133</v>
      </c>
      <c r="B3228" s="34">
        <v>492.178</v>
      </c>
      <c r="C3228" s="35">
        <v>96970.8</v>
      </c>
      <c r="D3228" s="33" t="s">
        <v>193</v>
      </c>
      <c r="E3228" s="34">
        <v>492.12700000000001</v>
      </c>
      <c r="F3228" s="36">
        <v>5.0999999999987701E-2</v>
      </c>
      <c r="G3228" s="34">
        <v>5.0999999999987701E-2</v>
      </c>
      <c r="H3228" s="35">
        <v>72</v>
      </c>
      <c r="I3228" s="37">
        <f t="shared" si="50"/>
        <v>7.4249155415857142E-4</v>
      </c>
      <c r="J3228" s="33"/>
    </row>
    <row r="3229" spans="1:10">
      <c r="A3229" s="33" t="s">
        <v>133</v>
      </c>
      <c r="B3229" s="34">
        <v>492.178</v>
      </c>
      <c r="C3229" s="35">
        <v>96970.8</v>
      </c>
      <c r="D3229" s="33" t="s">
        <v>271</v>
      </c>
      <c r="E3229" s="34">
        <v>492.161</v>
      </c>
      <c r="F3229" s="36">
        <v>1.69999999999959E-2</v>
      </c>
      <c r="G3229" s="34">
        <v>1.69999999999959E-2</v>
      </c>
      <c r="H3229" s="35">
        <v>2159.5</v>
      </c>
      <c r="I3229" s="37">
        <f t="shared" si="50"/>
        <v>2.2269590433408818E-2</v>
      </c>
      <c r="J3229" s="33"/>
    </row>
    <row r="3230" spans="1:10">
      <c r="A3230" s="33" t="s">
        <v>133</v>
      </c>
      <c r="B3230" s="34">
        <v>492.178</v>
      </c>
      <c r="C3230" s="35">
        <v>96970.8</v>
      </c>
      <c r="D3230" s="33" t="s">
        <v>237</v>
      </c>
      <c r="E3230" s="34">
        <v>492.17700000000002</v>
      </c>
      <c r="F3230" s="36">
        <v>9.9999999997635292E-4</v>
      </c>
      <c r="G3230" s="34">
        <v>9.9999999997635292E-4</v>
      </c>
      <c r="H3230" s="35">
        <v>280.8</v>
      </c>
      <c r="I3230" s="37">
        <f t="shared" si="50"/>
        <v>2.8957170612184287E-3</v>
      </c>
      <c r="J3230" s="33"/>
    </row>
    <row r="3231" spans="1:10">
      <c r="A3231" s="33" t="s">
        <v>133</v>
      </c>
      <c r="B3231" s="34">
        <v>492.178</v>
      </c>
      <c r="C3231" s="35">
        <v>96970.8</v>
      </c>
      <c r="D3231" s="33" t="s">
        <v>278</v>
      </c>
      <c r="E3231" s="34">
        <v>492.18799999999999</v>
      </c>
      <c r="F3231" s="36">
        <v>9.9999999999909103E-3</v>
      </c>
      <c r="G3231" s="34">
        <v>9.9999999999909103E-3</v>
      </c>
      <c r="H3231" s="35">
        <v>262.60000000000002</v>
      </c>
      <c r="I3231" s="37">
        <f t="shared" si="50"/>
        <v>2.7080316961394565E-3</v>
      </c>
      <c r="J3231" s="33"/>
    </row>
    <row r="3232" spans="1:10">
      <c r="A3232" s="33" t="s">
        <v>133</v>
      </c>
      <c r="B3232" s="34">
        <v>492.178</v>
      </c>
      <c r="C3232" s="35">
        <v>96970.8</v>
      </c>
      <c r="D3232" s="33" t="s">
        <v>116</v>
      </c>
      <c r="E3232" s="34">
        <v>492.19600000000003</v>
      </c>
      <c r="F3232" s="36">
        <v>1.7999999999999999E-2</v>
      </c>
      <c r="G3232" s="34">
        <v>1.7999999999999999E-2</v>
      </c>
      <c r="H3232" s="35">
        <v>262.60000000000002</v>
      </c>
      <c r="I3232" s="37">
        <f t="shared" si="50"/>
        <v>2.7080316961394565E-3</v>
      </c>
      <c r="J3232" s="33" t="s">
        <v>116</v>
      </c>
    </row>
    <row r="3233" spans="1:10">
      <c r="A3233" s="33" t="s">
        <v>133</v>
      </c>
      <c r="B3233" s="34">
        <v>492.178</v>
      </c>
      <c r="C3233" s="35">
        <v>96970.8</v>
      </c>
      <c r="D3233" s="33" t="s">
        <v>33</v>
      </c>
      <c r="E3233" s="34">
        <v>492.22199999999998</v>
      </c>
      <c r="F3233" s="36">
        <v>4.3999999999982699E-2</v>
      </c>
      <c r="G3233" s="34">
        <v>4.3999999999982699E-2</v>
      </c>
      <c r="H3233" s="35">
        <v>881.6</v>
      </c>
      <c r="I3233" s="37">
        <f t="shared" si="50"/>
        <v>9.0913965853638406E-3</v>
      </c>
      <c r="J3233" s="33" t="s">
        <v>116</v>
      </c>
    </row>
    <row r="3234" spans="1:10">
      <c r="A3234" s="33" t="s">
        <v>133</v>
      </c>
      <c r="B3234" s="34">
        <v>492.178</v>
      </c>
      <c r="C3234" s="35">
        <v>96970.8</v>
      </c>
      <c r="D3234" s="33" t="s">
        <v>239</v>
      </c>
      <c r="E3234" s="34">
        <v>492.22800000000001</v>
      </c>
      <c r="F3234" s="36">
        <v>5.0000000000011403E-2</v>
      </c>
      <c r="G3234" s="34">
        <v>5.0000000000011403E-2</v>
      </c>
      <c r="H3234" s="35">
        <v>661.9</v>
      </c>
      <c r="I3234" s="37">
        <f t="shared" si="50"/>
        <v>6.8257661069105338E-3</v>
      </c>
      <c r="J3234" s="33"/>
    </row>
    <row r="3235" spans="1:10">
      <c r="A3235" s="33" t="s">
        <v>133</v>
      </c>
      <c r="B3235" s="34">
        <v>492.178</v>
      </c>
      <c r="C3235" s="35">
        <v>96970.8</v>
      </c>
      <c r="D3235" s="33" t="s">
        <v>278</v>
      </c>
      <c r="E3235" s="34">
        <v>492.23599999999999</v>
      </c>
      <c r="F3235" s="36">
        <v>5.7999999999992703E-2</v>
      </c>
      <c r="G3235" s="34">
        <v>5.7999999999992703E-2</v>
      </c>
      <c r="H3235" s="35">
        <v>22</v>
      </c>
      <c r="I3235" s="37">
        <f t="shared" si="50"/>
        <v>2.2687241932623016E-4</v>
      </c>
      <c r="J3235" s="33"/>
    </row>
    <row r="3236" spans="1:10">
      <c r="A3236" s="33" t="s">
        <v>133</v>
      </c>
      <c r="B3236" s="34">
        <v>492.178</v>
      </c>
      <c r="C3236" s="35">
        <v>96970.8</v>
      </c>
      <c r="D3236" s="33" t="s">
        <v>184</v>
      </c>
      <c r="E3236" s="34">
        <v>492.28300000000002</v>
      </c>
      <c r="F3236" s="36">
        <v>0.105000000000018</v>
      </c>
      <c r="G3236" s="34">
        <v>0.105000000000018</v>
      </c>
      <c r="H3236" s="35">
        <v>157.9</v>
      </c>
      <c r="I3236" s="37">
        <f t="shared" si="50"/>
        <v>1.6283252278005338E-3</v>
      </c>
      <c r="J3236" s="33"/>
    </row>
    <row r="3237" spans="1:10">
      <c r="A3237" s="33" t="s">
        <v>133</v>
      </c>
      <c r="B3237" s="34">
        <v>492.178</v>
      </c>
      <c r="C3237" s="35">
        <v>96970.8</v>
      </c>
      <c r="D3237" s="33" t="s">
        <v>33</v>
      </c>
      <c r="E3237" s="34">
        <v>492.31700000000001</v>
      </c>
      <c r="F3237" s="36">
        <v>0.13900000000001</v>
      </c>
      <c r="G3237" s="34">
        <v>0.13900000000001</v>
      </c>
      <c r="H3237" s="35">
        <v>607.1</v>
      </c>
      <c r="I3237" s="37">
        <f t="shared" si="50"/>
        <v>6.2606475351342878E-3</v>
      </c>
      <c r="J3237" s="33" t="s">
        <v>116</v>
      </c>
    </row>
    <row r="3238" spans="1:10">
      <c r="A3238" s="33" t="s">
        <v>133</v>
      </c>
      <c r="B3238" s="34">
        <v>492.178</v>
      </c>
      <c r="C3238" s="35">
        <v>96970.8</v>
      </c>
      <c r="D3238" s="33" t="s">
        <v>193</v>
      </c>
      <c r="E3238" s="34">
        <v>492.34500000000003</v>
      </c>
      <c r="F3238" s="36">
        <v>0.16700000000003001</v>
      </c>
      <c r="G3238" s="34">
        <v>0.16700000000003001</v>
      </c>
      <c r="H3238" s="35">
        <v>13.3</v>
      </c>
      <c r="I3238" s="37">
        <f t="shared" si="50"/>
        <v>1.3715468986540279E-4</v>
      </c>
      <c r="J3238" s="33"/>
    </row>
    <row r="3239" spans="1:10">
      <c r="A3239" s="33" t="s">
        <v>133</v>
      </c>
      <c r="B3239" s="34">
        <v>492.178</v>
      </c>
      <c r="C3239" s="35">
        <v>96970.8</v>
      </c>
      <c r="D3239" s="33" t="s">
        <v>36</v>
      </c>
      <c r="E3239" s="34">
        <v>492.35700000000003</v>
      </c>
      <c r="F3239" s="36">
        <v>0.17899999999999999</v>
      </c>
      <c r="G3239" s="34">
        <v>0.17899999999999999</v>
      </c>
      <c r="H3239" s="35">
        <v>4.5999999999999996</v>
      </c>
      <c r="I3239" s="37">
        <f t="shared" si="50"/>
        <v>4.7436960404575391E-5</v>
      </c>
      <c r="J3239" s="33" t="s">
        <v>116</v>
      </c>
    </row>
    <row r="3240" spans="1:10">
      <c r="A3240" s="33" t="s">
        <v>133</v>
      </c>
      <c r="B3240" s="34">
        <v>492.178</v>
      </c>
      <c r="C3240" s="35">
        <v>96970.8</v>
      </c>
      <c r="D3240" s="33" t="s">
        <v>270</v>
      </c>
      <c r="E3240" s="34">
        <v>492.38099999999997</v>
      </c>
      <c r="F3240" s="36">
        <v>0.20299999999997501</v>
      </c>
      <c r="G3240" s="34">
        <v>0.20299999999997501</v>
      </c>
      <c r="H3240" s="35">
        <v>1352.8</v>
      </c>
      <c r="I3240" s="37">
        <f t="shared" si="50"/>
        <v>1.3950591312023825E-2</v>
      </c>
      <c r="J3240" s="33"/>
    </row>
    <row r="3241" spans="1:10">
      <c r="A3241" s="33" t="s">
        <v>133</v>
      </c>
      <c r="B3241" s="34">
        <v>492.178</v>
      </c>
      <c r="C3241" s="35">
        <v>96970.8</v>
      </c>
      <c r="D3241" s="33" t="s">
        <v>279</v>
      </c>
      <c r="E3241" s="34">
        <v>492.39100000000002</v>
      </c>
      <c r="F3241" s="36">
        <v>0.21300000000002201</v>
      </c>
      <c r="G3241" s="34">
        <v>0.21300000000002201</v>
      </c>
      <c r="H3241" s="35">
        <v>60.7</v>
      </c>
      <c r="I3241" s="37">
        <f t="shared" si="50"/>
        <v>6.2596162968646233E-4</v>
      </c>
      <c r="J3241" s="33"/>
    </row>
    <row r="3242" spans="1:10">
      <c r="A3242" s="33" t="s">
        <v>133</v>
      </c>
      <c r="B3242" s="34">
        <v>492.178</v>
      </c>
      <c r="C3242" s="35">
        <v>96970.8</v>
      </c>
      <c r="D3242" s="33" t="s">
        <v>97</v>
      </c>
      <c r="E3242" s="34">
        <v>492.39299999999997</v>
      </c>
      <c r="F3242" s="36">
        <v>0.21499999999997499</v>
      </c>
      <c r="G3242" s="34">
        <v>0.21499999999997499</v>
      </c>
      <c r="H3242" s="35">
        <v>120.1</v>
      </c>
      <c r="I3242" s="37">
        <f t="shared" si="50"/>
        <v>1.2385171618672836E-3</v>
      </c>
      <c r="J3242" s="33"/>
    </row>
    <row r="3243" spans="1:10">
      <c r="A3243" s="33" t="s">
        <v>133</v>
      </c>
      <c r="B3243" s="34">
        <v>492.178</v>
      </c>
      <c r="C3243" s="35">
        <v>96970.8</v>
      </c>
      <c r="D3243" s="33" t="s">
        <v>271</v>
      </c>
      <c r="E3243" s="34">
        <v>492.44200000000001</v>
      </c>
      <c r="F3243" s="36">
        <v>0.26400000000001</v>
      </c>
      <c r="G3243" s="34">
        <v>0.26400000000001</v>
      </c>
      <c r="H3243" s="35">
        <v>325.2</v>
      </c>
      <c r="I3243" s="37">
        <f t="shared" si="50"/>
        <v>3.3535868529495473E-3</v>
      </c>
      <c r="J3243" s="33"/>
    </row>
    <row r="3244" spans="1:10">
      <c r="A3244" s="33" t="s">
        <v>133</v>
      </c>
      <c r="B3244" s="34">
        <v>492.178</v>
      </c>
      <c r="C3244" s="35">
        <v>96970.8</v>
      </c>
      <c r="D3244" s="33" t="s">
        <v>27</v>
      </c>
      <c r="E3244" s="34">
        <v>492.452</v>
      </c>
      <c r="F3244" s="36">
        <v>0.27400000000000102</v>
      </c>
      <c r="G3244" s="34">
        <v>0.27400000000000102</v>
      </c>
      <c r="H3244" s="35">
        <v>693.9</v>
      </c>
      <c r="I3244" s="37">
        <f t="shared" si="50"/>
        <v>7.1557623532032318E-3</v>
      </c>
      <c r="J3244" s="33" t="s">
        <v>116</v>
      </c>
    </row>
    <row r="3245" spans="1:10">
      <c r="A3245" s="33" t="s">
        <v>133</v>
      </c>
      <c r="B3245" s="34">
        <v>492.178</v>
      </c>
      <c r="C3245" s="35">
        <v>96970.8</v>
      </c>
      <c r="D3245" s="33" t="s">
        <v>173</v>
      </c>
      <c r="E3245" s="34">
        <v>492.46</v>
      </c>
      <c r="F3245" s="36">
        <v>0.28199999999998199</v>
      </c>
      <c r="G3245" s="34">
        <v>0.28199999999998199</v>
      </c>
      <c r="H3245" s="35">
        <v>230.6</v>
      </c>
      <c r="I3245" s="37">
        <f t="shared" si="50"/>
        <v>2.3780354498467581E-3</v>
      </c>
      <c r="J3245" s="33"/>
    </row>
    <row r="3246" spans="1:10">
      <c r="A3246" s="33" t="s">
        <v>133</v>
      </c>
      <c r="B3246" s="34">
        <v>492.178</v>
      </c>
      <c r="C3246" s="35">
        <v>96970.8</v>
      </c>
      <c r="D3246" s="33" t="s">
        <v>277</v>
      </c>
      <c r="E3246" s="34">
        <v>492.46499999999997</v>
      </c>
      <c r="F3246" s="36">
        <v>0.28699999999997799</v>
      </c>
      <c r="G3246" s="34">
        <v>0.28699999999997799</v>
      </c>
      <c r="H3246" s="35">
        <v>265</v>
      </c>
      <c r="I3246" s="37">
        <f t="shared" si="50"/>
        <v>2.7327814146114087E-3</v>
      </c>
      <c r="J3246" s="33"/>
    </row>
    <row r="3247" spans="1:10">
      <c r="A3247" s="33" t="s">
        <v>133</v>
      </c>
      <c r="B3247" s="34">
        <v>492.178</v>
      </c>
      <c r="C3247" s="35">
        <v>96970.8</v>
      </c>
      <c r="D3247" s="33" t="s">
        <v>275</v>
      </c>
      <c r="E3247" s="34">
        <v>492.483</v>
      </c>
      <c r="F3247" s="36">
        <v>0.30500000000000699</v>
      </c>
      <c r="G3247" s="34">
        <v>0.30500000000000699</v>
      </c>
      <c r="H3247" s="35">
        <v>14.2</v>
      </c>
      <c r="I3247" s="37">
        <f t="shared" si="50"/>
        <v>1.4643583429238492E-4</v>
      </c>
      <c r="J3247" s="33"/>
    </row>
    <row r="3248" spans="1:10">
      <c r="A3248" s="33" t="s">
        <v>133</v>
      </c>
      <c r="B3248" s="34">
        <v>492.178</v>
      </c>
      <c r="C3248" s="35">
        <v>96970.8</v>
      </c>
      <c r="D3248" s="33" t="s">
        <v>193</v>
      </c>
      <c r="E3248" s="34">
        <v>492.49599999999998</v>
      </c>
      <c r="F3248" s="36">
        <v>0.31799999999998402</v>
      </c>
      <c r="G3248" s="34">
        <v>0.31799999999998402</v>
      </c>
      <c r="H3248" s="35">
        <v>15.3</v>
      </c>
      <c r="I3248" s="37">
        <f t="shared" si="50"/>
        <v>1.5777945525869645E-4</v>
      </c>
      <c r="J3248" s="33"/>
    </row>
    <row r="3249" spans="1:10">
      <c r="A3249" s="33" t="s">
        <v>133</v>
      </c>
      <c r="B3249" s="34">
        <v>492.178</v>
      </c>
      <c r="C3249" s="35">
        <v>96970.8</v>
      </c>
      <c r="D3249" s="33" t="s">
        <v>54</v>
      </c>
      <c r="E3249" s="34">
        <v>492.49900000000002</v>
      </c>
      <c r="F3249" s="36">
        <v>0.32100000000002599</v>
      </c>
      <c r="G3249" s="34">
        <v>0.32100000000002599</v>
      </c>
      <c r="H3249" s="35">
        <v>5</v>
      </c>
      <c r="I3249" s="37">
        <f t="shared" si="50"/>
        <v>5.1561913483234127E-5</v>
      </c>
      <c r="J3249" s="33"/>
    </row>
    <row r="3250" spans="1:10">
      <c r="A3250" s="33" t="s">
        <v>133</v>
      </c>
      <c r="B3250" s="34">
        <v>492.178</v>
      </c>
      <c r="C3250" s="35">
        <v>96970.8</v>
      </c>
      <c r="D3250" s="33" t="s">
        <v>240</v>
      </c>
      <c r="E3250" s="34">
        <v>492.529</v>
      </c>
      <c r="F3250" s="36">
        <v>0.35099999999999898</v>
      </c>
      <c r="G3250" s="34">
        <v>0.35099999999999898</v>
      </c>
      <c r="H3250" s="35">
        <v>10.37</v>
      </c>
      <c r="I3250" s="37">
        <f t="shared" si="50"/>
        <v>1.0693940856422758E-4</v>
      </c>
      <c r="J3250" s="33"/>
    </row>
    <row r="3251" spans="1:10">
      <c r="A3251" s="33" t="s">
        <v>85</v>
      </c>
      <c r="B3251" s="34">
        <v>219.55600000000001</v>
      </c>
      <c r="C3251" s="35">
        <v>6745.4</v>
      </c>
      <c r="D3251" s="33" t="s">
        <v>290</v>
      </c>
      <c r="E3251" s="34">
        <v>219.16399999999999</v>
      </c>
      <c r="F3251" s="36">
        <v>0.392000000000024</v>
      </c>
      <c r="G3251" s="34">
        <v>0.392000000000024</v>
      </c>
      <c r="H3251" s="35">
        <v>26.4</v>
      </c>
      <c r="I3251" s="37">
        <f t="shared" si="50"/>
        <v>3.9137782785305542E-3</v>
      </c>
      <c r="J3251" s="33"/>
    </row>
    <row r="3252" spans="1:10">
      <c r="A3252" s="33" t="s">
        <v>85</v>
      </c>
      <c r="B3252" s="34">
        <v>219.55600000000001</v>
      </c>
      <c r="C3252" s="35">
        <v>6745.4</v>
      </c>
      <c r="D3252" s="33" t="s">
        <v>269</v>
      </c>
      <c r="E3252" s="34">
        <v>219.178</v>
      </c>
      <c r="F3252" s="36">
        <v>0.37800000000001399</v>
      </c>
      <c r="G3252" s="34">
        <v>0.37800000000001399</v>
      </c>
      <c r="H3252" s="35">
        <v>47.2</v>
      </c>
      <c r="I3252" s="37">
        <f t="shared" si="50"/>
        <v>6.9973611646455373E-3</v>
      </c>
      <c r="J3252" s="33"/>
    </row>
    <row r="3253" spans="1:10">
      <c r="A3253" s="33" t="s">
        <v>85</v>
      </c>
      <c r="B3253" s="34">
        <v>219.55600000000001</v>
      </c>
      <c r="C3253" s="35">
        <v>6745.4</v>
      </c>
      <c r="D3253" s="33" t="s">
        <v>97</v>
      </c>
      <c r="E3253" s="34">
        <v>219.184</v>
      </c>
      <c r="F3253" s="36">
        <v>0.37200000000001399</v>
      </c>
      <c r="G3253" s="34">
        <v>0.37200000000001399</v>
      </c>
      <c r="H3253" s="35">
        <v>102.4</v>
      </c>
      <c r="I3253" s="37">
        <f t="shared" si="50"/>
        <v>1.5180715747027606E-2</v>
      </c>
      <c r="J3253" s="33"/>
    </row>
    <row r="3254" spans="1:10">
      <c r="A3254" s="33" t="s">
        <v>85</v>
      </c>
      <c r="B3254" s="34">
        <v>219.55600000000001</v>
      </c>
      <c r="C3254" s="35">
        <v>6745.4</v>
      </c>
      <c r="D3254" s="33" t="s">
        <v>165</v>
      </c>
      <c r="E3254" s="34">
        <v>219.209</v>
      </c>
      <c r="F3254" s="36">
        <v>0.34700000000000802</v>
      </c>
      <c r="G3254" s="34">
        <v>0.34700000000000802</v>
      </c>
      <c r="H3254" s="35">
        <v>28</v>
      </c>
      <c r="I3254" s="37">
        <f t="shared" si="50"/>
        <v>4.1509769620778608E-3</v>
      </c>
      <c r="J3254" s="33"/>
    </row>
    <row r="3255" spans="1:10">
      <c r="A3255" s="33" t="s">
        <v>85</v>
      </c>
      <c r="B3255" s="34">
        <v>219.55600000000001</v>
      </c>
      <c r="C3255" s="35">
        <v>6745.4</v>
      </c>
      <c r="D3255" s="33" t="s">
        <v>286</v>
      </c>
      <c r="E3255" s="34">
        <v>219.227</v>
      </c>
      <c r="F3255" s="36">
        <v>0.32900000000000801</v>
      </c>
      <c r="G3255" s="34">
        <v>0.32900000000000801</v>
      </c>
      <c r="H3255" s="35">
        <v>2874.7</v>
      </c>
      <c r="I3255" s="37">
        <f t="shared" si="50"/>
        <v>0.42617190974590091</v>
      </c>
      <c r="J3255" s="33"/>
    </row>
    <row r="3256" spans="1:10">
      <c r="A3256" s="33" t="s">
        <v>85</v>
      </c>
      <c r="B3256" s="34">
        <v>219.55600000000001</v>
      </c>
      <c r="C3256" s="35">
        <v>6745.4</v>
      </c>
      <c r="D3256" s="33" t="s">
        <v>165</v>
      </c>
      <c r="E3256" s="34">
        <v>219.23400000000001</v>
      </c>
      <c r="F3256" s="36">
        <v>0.32200000000000301</v>
      </c>
      <c r="G3256" s="34">
        <v>0.32200000000000301</v>
      </c>
      <c r="H3256" s="35">
        <v>46.4</v>
      </c>
      <c r="I3256" s="37">
        <f t="shared" si="50"/>
        <v>6.8787618228718832E-3</v>
      </c>
      <c r="J3256" s="33"/>
    </row>
    <row r="3257" spans="1:10">
      <c r="A3257" s="33" t="s">
        <v>85</v>
      </c>
      <c r="B3257" s="34">
        <v>219.55600000000001</v>
      </c>
      <c r="C3257" s="35">
        <v>6745.4</v>
      </c>
      <c r="D3257" s="33" t="s">
        <v>54</v>
      </c>
      <c r="E3257" s="34">
        <v>219.25</v>
      </c>
      <c r="F3257" s="36">
        <v>0.30600000000001198</v>
      </c>
      <c r="G3257" s="34">
        <v>0.30600000000001198</v>
      </c>
      <c r="H3257" s="35">
        <v>76.7</v>
      </c>
      <c r="I3257" s="37">
        <f t="shared" si="50"/>
        <v>1.1370711892548997E-2</v>
      </c>
      <c r="J3257" s="33"/>
    </row>
    <row r="3258" spans="1:10">
      <c r="A3258" s="33" t="s">
        <v>85</v>
      </c>
      <c r="B3258" s="34">
        <v>219.55600000000001</v>
      </c>
      <c r="C3258" s="35">
        <v>6745.4</v>
      </c>
      <c r="D3258" s="33" t="s">
        <v>268</v>
      </c>
      <c r="E3258" s="34">
        <v>219.28899999999999</v>
      </c>
      <c r="F3258" s="36">
        <v>0.267000000000024</v>
      </c>
      <c r="G3258" s="34">
        <v>0.267000000000024</v>
      </c>
      <c r="H3258" s="35">
        <v>95</v>
      </c>
      <c r="I3258" s="37">
        <f t="shared" si="50"/>
        <v>1.4083671835621312E-2</v>
      </c>
      <c r="J3258" s="33"/>
    </row>
    <row r="3259" spans="1:10">
      <c r="A3259" s="33" t="s">
        <v>85</v>
      </c>
      <c r="B3259" s="34">
        <v>219.55600000000001</v>
      </c>
      <c r="C3259" s="35">
        <v>6745.4</v>
      </c>
      <c r="D3259" s="33" t="s">
        <v>193</v>
      </c>
      <c r="E3259" s="34">
        <v>219.322</v>
      </c>
      <c r="F3259" s="36">
        <v>0.23400000000000901</v>
      </c>
      <c r="G3259" s="34">
        <v>0.23400000000000901</v>
      </c>
      <c r="H3259" s="35">
        <v>415.3</v>
      </c>
      <c r="I3259" s="37">
        <f t="shared" si="50"/>
        <v>6.1567883298247701E-2</v>
      </c>
      <c r="J3259" s="33"/>
    </row>
    <row r="3260" spans="1:10">
      <c r="A3260" s="33" t="s">
        <v>85</v>
      </c>
      <c r="B3260" s="34">
        <v>219.55600000000001</v>
      </c>
      <c r="C3260" s="35">
        <v>6745.4</v>
      </c>
      <c r="D3260" s="33" t="s">
        <v>239</v>
      </c>
      <c r="E3260" s="34">
        <v>219.328</v>
      </c>
      <c r="F3260" s="36">
        <v>0.228000000000009</v>
      </c>
      <c r="G3260" s="34">
        <v>0.228000000000009</v>
      </c>
      <c r="H3260" s="35">
        <v>16</v>
      </c>
      <c r="I3260" s="37">
        <f t="shared" si="50"/>
        <v>2.3719868354730631E-3</v>
      </c>
      <c r="J3260" s="33"/>
    </row>
    <row r="3261" spans="1:10">
      <c r="A3261" s="33" t="s">
        <v>85</v>
      </c>
      <c r="B3261" s="34">
        <v>219.55600000000001</v>
      </c>
      <c r="C3261" s="35">
        <v>6745.4</v>
      </c>
      <c r="D3261" s="33" t="s">
        <v>274</v>
      </c>
      <c r="E3261" s="34">
        <v>219.34399999999999</v>
      </c>
      <c r="F3261" s="36">
        <v>0.21200000000001801</v>
      </c>
      <c r="G3261" s="34">
        <v>0.21200000000001801</v>
      </c>
      <c r="H3261" s="35">
        <v>195.6</v>
      </c>
      <c r="I3261" s="37">
        <f t="shared" si="50"/>
        <v>2.8997539063658196E-2</v>
      </c>
      <c r="J3261" s="33"/>
    </row>
    <row r="3262" spans="1:10">
      <c r="A3262" s="33" t="s">
        <v>85</v>
      </c>
      <c r="B3262" s="34">
        <v>219.55600000000001</v>
      </c>
      <c r="C3262" s="35">
        <v>6745.4</v>
      </c>
      <c r="D3262" s="33" t="s">
        <v>54</v>
      </c>
      <c r="E3262" s="34">
        <v>219.36099999999999</v>
      </c>
      <c r="F3262" s="36">
        <v>0.19500000000002199</v>
      </c>
      <c r="G3262" s="34">
        <v>0.19500000000002199</v>
      </c>
      <c r="H3262" s="35">
        <v>194.5</v>
      </c>
      <c r="I3262" s="37">
        <f t="shared" si="50"/>
        <v>2.8834464968719425E-2</v>
      </c>
      <c r="J3262" s="33"/>
    </row>
    <row r="3263" spans="1:10">
      <c r="A3263" s="33" t="s">
        <v>85</v>
      </c>
      <c r="B3263" s="34">
        <v>219.55600000000001</v>
      </c>
      <c r="C3263" s="35">
        <v>6745.4</v>
      </c>
      <c r="D3263" s="33" t="s">
        <v>240</v>
      </c>
      <c r="E3263" s="34">
        <v>219.37799999999999</v>
      </c>
      <c r="F3263" s="36">
        <v>0.178000000000026</v>
      </c>
      <c r="G3263" s="34">
        <v>0.178000000000026</v>
      </c>
      <c r="H3263" s="35">
        <v>1.2</v>
      </c>
      <c r="I3263" s="37">
        <f t="shared" si="50"/>
        <v>1.7789901266047973E-4</v>
      </c>
      <c r="J3263" s="33"/>
    </row>
    <row r="3264" spans="1:10">
      <c r="A3264" s="33" t="s">
        <v>85</v>
      </c>
      <c r="B3264" s="34">
        <v>219.55600000000001</v>
      </c>
      <c r="C3264" s="35">
        <v>6745.4</v>
      </c>
      <c r="D3264" s="33" t="s">
        <v>193</v>
      </c>
      <c r="E3264" s="34">
        <v>219.38900000000001</v>
      </c>
      <c r="F3264" s="36">
        <v>0.16700000000000201</v>
      </c>
      <c r="G3264" s="34">
        <v>0.16700000000000201</v>
      </c>
      <c r="H3264" s="35">
        <v>542.5</v>
      </c>
      <c r="I3264" s="37">
        <f t="shared" si="50"/>
        <v>8.0425178640258554E-2</v>
      </c>
      <c r="J3264" s="33"/>
    </row>
    <row r="3265" spans="1:10">
      <c r="A3265" s="33" t="s">
        <v>85</v>
      </c>
      <c r="B3265" s="34">
        <v>219.55600000000001</v>
      </c>
      <c r="C3265" s="35">
        <v>6745.4</v>
      </c>
      <c r="D3265" s="33" t="s">
        <v>284</v>
      </c>
      <c r="E3265" s="34">
        <v>219.44</v>
      </c>
      <c r="F3265" s="36">
        <v>0.11600000000001399</v>
      </c>
      <c r="G3265" s="34">
        <v>0.11600000000001399</v>
      </c>
      <c r="H3265" s="35">
        <v>97.2</v>
      </c>
      <c r="I3265" s="37">
        <f t="shared" si="50"/>
        <v>1.440982002549886E-2</v>
      </c>
      <c r="J3265" s="33"/>
    </row>
    <row r="3266" spans="1:10">
      <c r="A3266" s="33" t="s">
        <v>85</v>
      </c>
      <c r="B3266" s="34">
        <v>219.55600000000001</v>
      </c>
      <c r="C3266" s="35">
        <v>6745.4</v>
      </c>
      <c r="D3266" s="33" t="s">
        <v>272</v>
      </c>
      <c r="E3266" s="34">
        <v>219.45</v>
      </c>
      <c r="F3266" s="36">
        <v>0.10600000000002301</v>
      </c>
      <c r="G3266" s="34">
        <v>0.10600000000002301</v>
      </c>
      <c r="H3266" s="35">
        <v>58.7</v>
      </c>
      <c r="I3266" s="37">
        <f t="shared" ref="I3266:I3329" si="51">H3266/C3266</f>
        <v>8.7022267026418011E-3</v>
      </c>
      <c r="J3266" s="33"/>
    </row>
    <row r="3267" spans="1:10">
      <c r="A3267" s="33" t="s">
        <v>85</v>
      </c>
      <c r="B3267" s="34">
        <v>219.55600000000001</v>
      </c>
      <c r="C3267" s="35">
        <v>6745.4</v>
      </c>
      <c r="D3267" s="33" t="s">
        <v>274</v>
      </c>
      <c r="E3267" s="34">
        <v>219.453</v>
      </c>
      <c r="F3267" s="36">
        <v>0.103000000000009</v>
      </c>
      <c r="G3267" s="34">
        <v>0.103000000000009</v>
      </c>
      <c r="H3267" s="35">
        <v>399.4</v>
      </c>
      <c r="I3267" s="37">
        <f t="shared" si="51"/>
        <v>5.9210721380496337E-2</v>
      </c>
      <c r="J3267" s="33"/>
    </row>
    <row r="3268" spans="1:10">
      <c r="A3268" s="33" t="s">
        <v>85</v>
      </c>
      <c r="B3268" s="34">
        <v>219.55600000000001</v>
      </c>
      <c r="C3268" s="35">
        <v>6745.4</v>
      </c>
      <c r="D3268" s="33" t="s">
        <v>292</v>
      </c>
      <c r="E3268" s="34">
        <v>219.46299999999999</v>
      </c>
      <c r="F3268" s="36">
        <v>9.3000000000017694E-2</v>
      </c>
      <c r="G3268" s="34">
        <v>9.3000000000017694E-2</v>
      </c>
      <c r="H3268" s="35">
        <v>36</v>
      </c>
      <c r="I3268" s="37">
        <f t="shared" si="51"/>
        <v>5.3369703798143925E-3</v>
      </c>
      <c r="J3268" s="33"/>
    </row>
    <row r="3269" spans="1:10">
      <c r="A3269" s="33" t="s">
        <v>85</v>
      </c>
      <c r="B3269" s="34">
        <v>219.55600000000001</v>
      </c>
      <c r="C3269" s="35">
        <v>6745.4</v>
      </c>
      <c r="D3269" s="33" t="s">
        <v>193</v>
      </c>
      <c r="E3269" s="34">
        <v>219.465</v>
      </c>
      <c r="F3269" s="36">
        <v>9.1000000000008199E-2</v>
      </c>
      <c r="G3269" s="34">
        <v>9.1000000000008199E-2</v>
      </c>
      <c r="H3269" s="35">
        <v>0.3</v>
      </c>
      <c r="I3269" s="37">
        <f t="shared" si="51"/>
        <v>4.4474753165119933E-5</v>
      </c>
      <c r="J3269" s="33"/>
    </row>
    <row r="3270" spans="1:10">
      <c r="A3270" s="33" t="s">
        <v>85</v>
      </c>
      <c r="B3270" s="34">
        <v>219.55600000000001</v>
      </c>
      <c r="C3270" s="35">
        <v>6745.4</v>
      </c>
      <c r="D3270" s="33" t="s">
        <v>310</v>
      </c>
      <c r="E3270" s="34">
        <v>219.53399999999999</v>
      </c>
      <c r="F3270" s="36">
        <v>2.2000000000019799E-2</v>
      </c>
      <c r="G3270" s="34">
        <v>2.2000000000019799E-2</v>
      </c>
      <c r="H3270" s="35">
        <v>17</v>
      </c>
      <c r="I3270" s="37">
        <f t="shared" si="51"/>
        <v>2.5202360126901297E-3</v>
      </c>
      <c r="J3270" s="33"/>
    </row>
    <row r="3271" spans="1:10">
      <c r="A3271" s="33" t="s">
        <v>85</v>
      </c>
      <c r="B3271" s="34">
        <v>219.55600000000001</v>
      </c>
      <c r="C3271" s="35">
        <v>6745.4</v>
      </c>
      <c r="D3271" s="33" t="s">
        <v>290</v>
      </c>
      <c r="E3271" s="34">
        <v>219.57400000000001</v>
      </c>
      <c r="F3271" s="36">
        <v>1.8000000000000699E-2</v>
      </c>
      <c r="G3271" s="34">
        <v>1.8000000000000699E-2</v>
      </c>
      <c r="H3271" s="35">
        <v>14.5</v>
      </c>
      <c r="I3271" s="37">
        <f t="shared" si="51"/>
        <v>2.1496130696474634E-3</v>
      </c>
      <c r="J3271" s="33"/>
    </row>
    <row r="3272" spans="1:10">
      <c r="A3272" s="33" t="s">
        <v>85</v>
      </c>
      <c r="B3272" s="34">
        <v>219.55600000000001</v>
      </c>
      <c r="C3272" s="35">
        <v>6745.4</v>
      </c>
      <c r="D3272" s="33" t="s">
        <v>97</v>
      </c>
      <c r="E3272" s="34">
        <v>219.60400000000001</v>
      </c>
      <c r="F3272" s="36">
        <v>4.8000000000001798E-2</v>
      </c>
      <c r="G3272" s="34">
        <v>4.8000000000001798E-2</v>
      </c>
      <c r="H3272" s="35">
        <v>96.2</v>
      </c>
      <c r="I3272" s="37">
        <f t="shared" si="51"/>
        <v>1.4261570848281793E-2</v>
      </c>
      <c r="J3272" s="33"/>
    </row>
    <row r="3273" spans="1:10">
      <c r="A3273" s="33" t="s">
        <v>85</v>
      </c>
      <c r="B3273" s="34">
        <v>219.55600000000001</v>
      </c>
      <c r="C3273" s="35">
        <v>6745.4</v>
      </c>
      <c r="D3273" s="33" t="s">
        <v>193</v>
      </c>
      <c r="E3273" s="34">
        <v>219.60599999999999</v>
      </c>
      <c r="F3273" s="36">
        <v>4.9999999999983002E-2</v>
      </c>
      <c r="G3273" s="34">
        <v>4.9999999999983002E-2</v>
      </c>
      <c r="H3273" s="35">
        <v>1633.1</v>
      </c>
      <c r="I3273" s="37">
        <f t="shared" si="51"/>
        <v>0.24210573131319121</v>
      </c>
      <c r="J3273" s="33"/>
    </row>
    <row r="3274" spans="1:10">
      <c r="A3274" s="33" t="s">
        <v>85</v>
      </c>
      <c r="B3274" s="34">
        <v>219.55600000000001</v>
      </c>
      <c r="C3274" s="35">
        <v>6745.4</v>
      </c>
      <c r="D3274" s="33" t="s">
        <v>269</v>
      </c>
      <c r="E3274" s="34">
        <v>219.64</v>
      </c>
      <c r="F3274" s="36">
        <v>8.3999999999974803E-2</v>
      </c>
      <c r="G3274" s="34">
        <v>8.3999999999974803E-2</v>
      </c>
      <c r="H3274" s="35">
        <v>43.8</v>
      </c>
      <c r="I3274" s="37">
        <f t="shared" si="51"/>
        <v>6.4933139621075105E-3</v>
      </c>
      <c r="J3274" s="33"/>
    </row>
    <row r="3275" spans="1:10">
      <c r="A3275" s="33" t="s">
        <v>85</v>
      </c>
      <c r="B3275" s="34">
        <v>219.55600000000001</v>
      </c>
      <c r="C3275" s="35">
        <v>6745.4</v>
      </c>
      <c r="D3275" s="33" t="s">
        <v>278</v>
      </c>
      <c r="E3275" s="34">
        <v>219.64099999999999</v>
      </c>
      <c r="F3275" s="36">
        <v>8.4999999999979495E-2</v>
      </c>
      <c r="G3275" s="34">
        <v>8.4999999999979495E-2</v>
      </c>
      <c r="H3275" s="35">
        <v>3.4</v>
      </c>
      <c r="I3275" s="37">
        <f t="shared" si="51"/>
        <v>5.0404720253802594E-4</v>
      </c>
      <c r="J3275" s="33"/>
    </row>
    <row r="3276" spans="1:10">
      <c r="A3276" s="33" t="s">
        <v>85</v>
      </c>
      <c r="B3276" s="34">
        <v>219.55600000000001</v>
      </c>
      <c r="C3276" s="35">
        <v>6745.4</v>
      </c>
      <c r="D3276" s="33" t="s">
        <v>290</v>
      </c>
      <c r="E3276" s="34">
        <v>219.64400000000001</v>
      </c>
      <c r="F3276" s="36">
        <v>8.7999999999993903E-2</v>
      </c>
      <c r="G3276" s="34">
        <v>8.7999999999993903E-2</v>
      </c>
      <c r="H3276" s="35">
        <v>122.2</v>
      </c>
      <c r="I3276" s="37">
        <f t="shared" si="51"/>
        <v>1.8116049455925522E-2</v>
      </c>
      <c r="J3276" s="33"/>
    </row>
    <row r="3277" spans="1:10">
      <c r="A3277" s="33" t="s">
        <v>85</v>
      </c>
      <c r="B3277" s="34">
        <v>219.55600000000001</v>
      </c>
      <c r="C3277" s="35">
        <v>6745.4</v>
      </c>
      <c r="D3277" s="33" t="s">
        <v>54</v>
      </c>
      <c r="E3277" s="34">
        <v>219.64599999999999</v>
      </c>
      <c r="F3277" s="36">
        <v>8.9999999999975003E-2</v>
      </c>
      <c r="G3277" s="34">
        <v>8.9999999999975003E-2</v>
      </c>
      <c r="H3277" s="35">
        <v>64.8</v>
      </c>
      <c r="I3277" s="37">
        <f t="shared" si="51"/>
        <v>9.6065466836659057E-3</v>
      </c>
      <c r="J3277" s="33"/>
    </row>
    <row r="3278" spans="1:10">
      <c r="A3278" s="33" t="s">
        <v>85</v>
      </c>
      <c r="B3278" s="34">
        <v>219.55600000000001</v>
      </c>
      <c r="C3278" s="35">
        <v>6745.4</v>
      </c>
      <c r="D3278" s="33" t="s">
        <v>239</v>
      </c>
      <c r="E3278" s="34">
        <v>219.68199999999999</v>
      </c>
      <c r="F3278" s="36">
        <v>0.12599999999997599</v>
      </c>
      <c r="G3278" s="34">
        <v>0.12599999999997599</v>
      </c>
      <c r="H3278" s="35">
        <v>13.4</v>
      </c>
      <c r="I3278" s="37">
        <f t="shared" si="51"/>
        <v>1.9865389747086904E-3</v>
      </c>
      <c r="J3278" s="33"/>
    </row>
    <row r="3279" spans="1:10">
      <c r="A3279" s="33" t="s">
        <v>85</v>
      </c>
      <c r="B3279" s="34">
        <v>219.55600000000001</v>
      </c>
      <c r="C3279" s="35">
        <v>6745.4</v>
      </c>
      <c r="D3279" s="33" t="s">
        <v>275</v>
      </c>
      <c r="E3279" s="34">
        <v>219.726</v>
      </c>
      <c r="F3279" s="36">
        <v>0.16999999999998799</v>
      </c>
      <c r="G3279" s="34">
        <v>0.16999999999998799</v>
      </c>
      <c r="H3279" s="35">
        <v>110.3</v>
      </c>
      <c r="I3279" s="37">
        <f t="shared" si="51"/>
        <v>1.6351884247042429E-2</v>
      </c>
      <c r="J3279" s="33"/>
    </row>
    <row r="3280" spans="1:10">
      <c r="A3280" s="33" t="s">
        <v>85</v>
      </c>
      <c r="B3280" s="34">
        <v>219.55600000000001</v>
      </c>
      <c r="C3280" s="35">
        <v>6745.4</v>
      </c>
      <c r="D3280" s="33" t="s">
        <v>165</v>
      </c>
      <c r="E3280" s="34">
        <v>219.73500000000001</v>
      </c>
      <c r="F3280" s="36">
        <v>0.17900000000000199</v>
      </c>
      <c r="G3280" s="34">
        <v>0.17900000000000199</v>
      </c>
      <c r="H3280" s="35">
        <v>117.7</v>
      </c>
      <c r="I3280" s="37">
        <f t="shared" si="51"/>
        <v>1.7448928158448722E-2</v>
      </c>
      <c r="J3280" s="33"/>
    </row>
    <row r="3281" spans="1:10">
      <c r="A3281" s="33" t="s">
        <v>85</v>
      </c>
      <c r="B3281" s="34">
        <v>219.55600000000001</v>
      </c>
      <c r="C3281" s="35">
        <v>6745.4</v>
      </c>
      <c r="D3281" s="33" t="s">
        <v>290</v>
      </c>
      <c r="E3281" s="34">
        <v>219.75</v>
      </c>
      <c r="F3281" s="36">
        <v>0.19399999999998799</v>
      </c>
      <c r="G3281" s="34">
        <v>0.19399999999998799</v>
      </c>
      <c r="H3281" s="35">
        <v>255.2</v>
      </c>
      <c r="I3281" s="37">
        <f t="shared" si="51"/>
        <v>3.7833190025795355E-2</v>
      </c>
      <c r="J3281" s="33"/>
    </row>
    <row r="3282" spans="1:10">
      <c r="A3282" s="33" t="s">
        <v>85</v>
      </c>
      <c r="B3282" s="34">
        <v>219.55600000000001</v>
      </c>
      <c r="C3282" s="35">
        <v>6745.4</v>
      </c>
      <c r="D3282" s="33" t="s">
        <v>238</v>
      </c>
      <c r="E3282" s="34">
        <v>219.779</v>
      </c>
      <c r="F3282" s="36">
        <v>0.22299999999998499</v>
      </c>
      <c r="G3282" s="34">
        <v>0.22299999999998499</v>
      </c>
      <c r="H3282" s="35">
        <v>103.5</v>
      </c>
      <c r="I3282" s="37">
        <f t="shared" si="51"/>
        <v>1.5343789841966379E-2</v>
      </c>
      <c r="J3282" s="33"/>
    </row>
    <row r="3283" spans="1:10">
      <c r="A3283" s="33" t="s">
        <v>85</v>
      </c>
      <c r="B3283" s="34">
        <v>219.55600000000001</v>
      </c>
      <c r="C3283" s="35">
        <v>6745.4</v>
      </c>
      <c r="D3283" s="33" t="s">
        <v>240</v>
      </c>
      <c r="E3283" s="34">
        <v>219.81399999999999</v>
      </c>
      <c r="F3283" s="36">
        <v>0.25799999999998102</v>
      </c>
      <c r="G3283" s="34">
        <v>0.25799999999998102</v>
      </c>
      <c r="H3283" s="35">
        <v>0.8</v>
      </c>
      <c r="I3283" s="37">
        <f t="shared" si="51"/>
        <v>1.1859934177365317E-4</v>
      </c>
      <c r="J3283" s="33"/>
    </row>
    <row r="3284" spans="1:10">
      <c r="A3284" s="33" t="s">
        <v>85</v>
      </c>
      <c r="B3284" s="34">
        <v>219.55600000000001</v>
      </c>
      <c r="C3284" s="35">
        <v>6745.4</v>
      </c>
      <c r="D3284" s="33" t="s">
        <v>275</v>
      </c>
      <c r="E3284" s="34">
        <v>219.81399999999999</v>
      </c>
      <c r="F3284" s="36">
        <v>0.25799999999998102</v>
      </c>
      <c r="G3284" s="34">
        <v>0.25799999999998102</v>
      </c>
      <c r="H3284" s="35">
        <v>168.1</v>
      </c>
      <c r="I3284" s="37">
        <f t="shared" si="51"/>
        <v>2.4920686690188869E-2</v>
      </c>
      <c r="J3284" s="33"/>
    </row>
    <row r="3285" spans="1:10">
      <c r="A3285" s="33" t="s">
        <v>85</v>
      </c>
      <c r="B3285" s="34">
        <v>219.55600000000001</v>
      </c>
      <c r="C3285" s="35">
        <v>6745.4</v>
      </c>
      <c r="D3285" s="33" t="s">
        <v>54</v>
      </c>
      <c r="E3285" s="34">
        <v>219.82599999999999</v>
      </c>
      <c r="F3285" s="36">
        <v>0.26999999999998198</v>
      </c>
      <c r="G3285" s="34">
        <v>0.26999999999998198</v>
      </c>
      <c r="H3285" s="35">
        <v>32.6</v>
      </c>
      <c r="I3285" s="37">
        <f t="shared" si="51"/>
        <v>4.8329231772763666E-3</v>
      </c>
      <c r="J3285" s="33"/>
    </row>
    <row r="3286" spans="1:10">
      <c r="A3286" s="33" t="s">
        <v>85</v>
      </c>
      <c r="B3286" s="34">
        <v>219.55600000000001</v>
      </c>
      <c r="C3286" s="35">
        <v>6745.4</v>
      </c>
      <c r="D3286" s="33" t="s">
        <v>239</v>
      </c>
      <c r="E3286" s="34">
        <v>219.83099999999999</v>
      </c>
      <c r="F3286" s="36">
        <v>0.27499999999997699</v>
      </c>
      <c r="G3286" s="34">
        <v>0.27499999999997699</v>
      </c>
      <c r="H3286" s="35">
        <v>3.3</v>
      </c>
      <c r="I3286" s="37">
        <f t="shared" si="51"/>
        <v>4.8922228481631928E-4</v>
      </c>
      <c r="J3286" s="33"/>
    </row>
    <row r="3287" spans="1:10">
      <c r="A3287" s="33" t="s">
        <v>85</v>
      </c>
      <c r="B3287" s="34">
        <v>219.55600000000001</v>
      </c>
      <c r="C3287" s="35">
        <v>6745.4</v>
      </c>
      <c r="D3287" s="33" t="s">
        <v>278</v>
      </c>
      <c r="E3287" s="34">
        <v>219.85300000000001</v>
      </c>
      <c r="F3287" s="36">
        <v>0.29699999999999699</v>
      </c>
      <c r="G3287" s="34">
        <v>0.29699999999999699</v>
      </c>
      <c r="H3287" s="35">
        <v>13.4</v>
      </c>
      <c r="I3287" s="37">
        <f t="shared" si="51"/>
        <v>1.9865389747086904E-3</v>
      </c>
      <c r="J3287" s="33"/>
    </row>
    <row r="3288" spans="1:10">
      <c r="A3288" s="33" t="s">
        <v>85</v>
      </c>
      <c r="B3288" s="34">
        <v>219.55600000000001</v>
      </c>
      <c r="C3288" s="35">
        <v>6745.4</v>
      </c>
      <c r="D3288" s="33" t="s">
        <v>274</v>
      </c>
      <c r="E3288" s="34">
        <v>219.86799999999999</v>
      </c>
      <c r="F3288" s="36">
        <v>0.31199999999998301</v>
      </c>
      <c r="G3288" s="34">
        <v>0.31199999999998301</v>
      </c>
      <c r="H3288" s="35">
        <v>219.4</v>
      </c>
      <c r="I3288" s="37">
        <f t="shared" si="51"/>
        <v>3.2525869481424378E-2</v>
      </c>
      <c r="J3288" s="33"/>
    </row>
    <row r="3289" spans="1:10">
      <c r="A3289" s="33" t="s">
        <v>85</v>
      </c>
      <c r="B3289" s="34">
        <v>219.55600000000001</v>
      </c>
      <c r="C3289" s="35">
        <v>6745.4</v>
      </c>
      <c r="D3289" s="33" t="s">
        <v>297</v>
      </c>
      <c r="E3289" s="34">
        <v>219.87100000000001</v>
      </c>
      <c r="F3289" s="36">
        <v>0.314999999999998</v>
      </c>
      <c r="G3289" s="34">
        <v>0.314999999999998</v>
      </c>
      <c r="H3289" s="35">
        <v>1534.2</v>
      </c>
      <c r="I3289" s="37">
        <f t="shared" si="51"/>
        <v>0.22744388768642335</v>
      </c>
      <c r="J3289" s="33"/>
    </row>
    <row r="3290" spans="1:10">
      <c r="A3290" s="33" t="s">
        <v>85</v>
      </c>
      <c r="B3290" s="34">
        <v>261.541</v>
      </c>
      <c r="C3290" s="35">
        <v>192560.2</v>
      </c>
      <c r="D3290" s="33" t="s">
        <v>284</v>
      </c>
      <c r="E3290" s="34">
        <v>261.40499999999997</v>
      </c>
      <c r="F3290" s="36">
        <v>0.13600000000002399</v>
      </c>
      <c r="G3290" s="34">
        <v>0.13600000000002399</v>
      </c>
      <c r="H3290" s="35">
        <v>0.4</v>
      </c>
      <c r="I3290" s="37">
        <f t="shared" si="51"/>
        <v>2.0772724581715223E-6</v>
      </c>
      <c r="J3290" s="33"/>
    </row>
    <row r="3291" spans="1:10">
      <c r="A3291" s="33" t="s">
        <v>85</v>
      </c>
      <c r="B3291" s="34">
        <v>261.541</v>
      </c>
      <c r="C3291" s="35">
        <v>192560.2</v>
      </c>
      <c r="D3291" s="33" t="s">
        <v>268</v>
      </c>
      <c r="E3291" s="34">
        <v>261.40699999999998</v>
      </c>
      <c r="F3291" s="36">
        <v>0.134000000000015</v>
      </c>
      <c r="G3291" s="34">
        <v>0.134000000000015</v>
      </c>
      <c r="H3291" s="35">
        <v>5.4</v>
      </c>
      <c r="I3291" s="37">
        <f t="shared" si="51"/>
        <v>2.8043178185315555E-5</v>
      </c>
      <c r="J3291" s="33"/>
    </row>
    <row r="3292" spans="1:10">
      <c r="A3292" s="33" t="s">
        <v>85</v>
      </c>
      <c r="B3292" s="34">
        <v>261.541</v>
      </c>
      <c r="C3292" s="35">
        <v>192560.2</v>
      </c>
      <c r="D3292" s="33" t="s">
        <v>300</v>
      </c>
      <c r="E3292" s="34">
        <v>261.41699999999997</v>
      </c>
      <c r="F3292" s="36">
        <v>0.12400000000002399</v>
      </c>
      <c r="G3292" s="34">
        <v>0.12400000000002399</v>
      </c>
      <c r="H3292" s="35">
        <v>874.1</v>
      </c>
      <c r="I3292" s="37">
        <f t="shared" si="51"/>
        <v>4.5393596392193196E-3</v>
      </c>
      <c r="J3292" s="33"/>
    </row>
    <row r="3293" spans="1:10">
      <c r="A3293" s="33" t="s">
        <v>85</v>
      </c>
      <c r="B3293" s="34">
        <v>261.541</v>
      </c>
      <c r="C3293" s="35">
        <v>192560.2</v>
      </c>
      <c r="D3293" s="33" t="s">
        <v>269</v>
      </c>
      <c r="E3293" s="34">
        <v>261.42899999999997</v>
      </c>
      <c r="F3293" s="36">
        <v>0.112000000000023</v>
      </c>
      <c r="G3293" s="34">
        <v>0.112000000000023</v>
      </c>
      <c r="H3293" s="35">
        <v>73.7</v>
      </c>
      <c r="I3293" s="37">
        <f t="shared" si="51"/>
        <v>3.8273745041810301E-4</v>
      </c>
      <c r="J3293" s="33"/>
    </row>
    <row r="3294" spans="1:10">
      <c r="A3294" s="33" t="s">
        <v>85</v>
      </c>
      <c r="B3294" s="34">
        <v>261.541</v>
      </c>
      <c r="C3294" s="35">
        <v>192560.2</v>
      </c>
      <c r="D3294" s="33" t="s">
        <v>273</v>
      </c>
      <c r="E3294" s="34">
        <v>261.43099999999998</v>
      </c>
      <c r="F3294" s="36">
        <v>0.110000000000014</v>
      </c>
      <c r="G3294" s="34">
        <v>0.110000000000014</v>
      </c>
      <c r="H3294" s="35">
        <v>53.6</v>
      </c>
      <c r="I3294" s="37">
        <f t="shared" si="51"/>
        <v>2.7835450939498401E-4</v>
      </c>
      <c r="J3294" s="33"/>
    </row>
    <row r="3295" spans="1:10">
      <c r="A3295" s="33" t="s">
        <v>85</v>
      </c>
      <c r="B3295" s="34">
        <v>261.541</v>
      </c>
      <c r="C3295" s="35">
        <v>192560.2</v>
      </c>
      <c r="D3295" s="33" t="s">
        <v>54</v>
      </c>
      <c r="E3295" s="34">
        <v>261.43599999999998</v>
      </c>
      <c r="F3295" s="36">
        <v>0.105000000000018</v>
      </c>
      <c r="G3295" s="34">
        <v>0.105000000000018</v>
      </c>
      <c r="H3295" s="35">
        <v>373.1</v>
      </c>
      <c r="I3295" s="37">
        <f t="shared" si="51"/>
        <v>1.9375758853594875E-3</v>
      </c>
      <c r="J3295" s="33"/>
    </row>
    <row r="3296" spans="1:10">
      <c r="A3296" s="33" t="s">
        <v>85</v>
      </c>
      <c r="B3296" s="34">
        <v>261.541</v>
      </c>
      <c r="C3296" s="35">
        <v>192560.2</v>
      </c>
      <c r="D3296" s="33" t="s">
        <v>278</v>
      </c>
      <c r="E3296" s="34">
        <v>261.44</v>
      </c>
      <c r="F3296" s="36">
        <v>0.10099999999999899</v>
      </c>
      <c r="G3296" s="34">
        <v>0.10099999999999899</v>
      </c>
      <c r="H3296" s="35">
        <v>31.7</v>
      </c>
      <c r="I3296" s="37">
        <f t="shared" si="51"/>
        <v>1.6462384231009315E-4</v>
      </c>
      <c r="J3296" s="33"/>
    </row>
    <row r="3297" spans="1:10">
      <c r="A3297" s="33" t="s">
        <v>85</v>
      </c>
      <c r="B3297" s="34">
        <v>261.541</v>
      </c>
      <c r="C3297" s="35">
        <v>192560.2</v>
      </c>
      <c r="D3297" s="33" t="s">
        <v>239</v>
      </c>
      <c r="E3297" s="34">
        <v>261.45400000000001</v>
      </c>
      <c r="F3297" s="36">
        <v>8.69999999999891E-2</v>
      </c>
      <c r="G3297" s="34">
        <v>8.69999999999891E-2</v>
      </c>
      <c r="H3297" s="35">
        <v>14.8</v>
      </c>
      <c r="I3297" s="37">
        <f t="shared" si="51"/>
        <v>7.6859080952346325E-5</v>
      </c>
      <c r="J3297" s="33"/>
    </row>
    <row r="3298" spans="1:10">
      <c r="A3298" s="33" t="s">
        <v>85</v>
      </c>
      <c r="B3298" s="34">
        <v>261.541</v>
      </c>
      <c r="C3298" s="35">
        <v>192560.2</v>
      </c>
      <c r="D3298" s="33" t="s">
        <v>84</v>
      </c>
      <c r="E3298" s="34">
        <v>261.45499999999998</v>
      </c>
      <c r="F3298" s="36">
        <v>8.5999999999999993E-2</v>
      </c>
      <c r="G3298" s="34">
        <v>8.5999999999999993E-2</v>
      </c>
      <c r="H3298" s="35">
        <v>161.6</v>
      </c>
      <c r="I3298" s="37">
        <f t="shared" si="51"/>
        <v>8.3921807310129496E-4</v>
      </c>
      <c r="J3298" s="33" t="s">
        <v>116</v>
      </c>
    </row>
    <row r="3299" spans="1:10">
      <c r="A3299" s="33" t="s">
        <v>85</v>
      </c>
      <c r="B3299" s="34">
        <v>261.541</v>
      </c>
      <c r="C3299" s="35">
        <v>192560.2</v>
      </c>
      <c r="D3299" s="33" t="s">
        <v>279</v>
      </c>
      <c r="E3299" s="34">
        <v>261.45600000000002</v>
      </c>
      <c r="F3299" s="36">
        <v>8.4999999999979495E-2</v>
      </c>
      <c r="G3299" s="34">
        <v>8.4999999999979495E-2</v>
      </c>
      <c r="H3299" s="35">
        <v>12.2</v>
      </c>
      <c r="I3299" s="37">
        <f t="shared" si="51"/>
        <v>6.3356809974231425E-5</v>
      </c>
      <c r="J3299" s="33"/>
    </row>
    <row r="3300" spans="1:10">
      <c r="A3300" s="33" t="s">
        <v>85</v>
      </c>
      <c r="B3300" s="34">
        <v>261.541</v>
      </c>
      <c r="C3300" s="35">
        <v>192560.2</v>
      </c>
      <c r="D3300" s="33" t="s">
        <v>268</v>
      </c>
      <c r="E3300" s="34">
        <v>261.45999999999998</v>
      </c>
      <c r="F3300" s="36">
        <v>8.1000000000017294E-2</v>
      </c>
      <c r="G3300" s="34">
        <v>8.1000000000017294E-2</v>
      </c>
      <c r="H3300" s="35">
        <v>13.4</v>
      </c>
      <c r="I3300" s="37">
        <f t="shared" si="51"/>
        <v>6.9588627348746003E-5</v>
      </c>
      <c r="J3300" s="33"/>
    </row>
    <row r="3301" spans="1:10">
      <c r="A3301" s="33" t="s">
        <v>85</v>
      </c>
      <c r="B3301" s="34">
        <v>261.541</v>
      </c>
      <c r="C3301" s="35">
        <v>192560.2</v>
      </c>
      <c r="D3301" s="33" t="s">
        <v>239</v>
      </c>
      <c r="E3301" s="34">
        <v>261.49099999999999</v>
      </c>
      <c r="F3301" s="36">
        <v>5.0000000000011403E-2</v>
      </c>
      <c r="G3301" s="34">
        <v>5.0000000000011403E-2</v>
      </c>
      <c r="H3301" s="35">
        <v>27</v>
      </c>
      <c r="I3301" s="37">
        <f t="shared" si="51"/>
        <v>1.4021589092657775E-4</v>
      </c>
      <c r="J3301" s="33"/>
    </row>
    <row r="3302" spans="1:10">
      <c r="A3302" s="33" t="s">
        <v>85</v>
      </c>
      <c r="B3302" s="34">
        <v>261.541</v>
      </c>
      <c r="C3302" s="35">
        <v>192560.2</v>
      </c>
      <c r="D3302" s="33" t="s">
        <v>290</v>
      </c>
      <c r="E3302" s="34">
        <v>261.49799999999999</v>
      </c>
      <c r="F3302" s="36">
        <v>4.3000000000006401E-2</v>
      </c>
      <c r="G3302" s="34">
        <v>4.3000000000006401E-2</v>
      </c>
      <c r="H3302" s="35">
        <v>11.7</v>
      </c>
      <c r="I3302" s="37">
        <f t="shared" si="51"/>
        <v>6.0760219401517022E-5</v>
      </c>
      <c r="J3302" s="33"/>
    </row>
    <row r="3303" spans="1:10">
      <c r="A3303" s="33" t="s">
        <v>85</v>
      </c>
      <c r="B3303" s="34">
        <v>261.541</v>
      </c>
      <c r="C3303" s="35">
        <v>192560.2</v>
      </c>
      <c r="D3303" s="33" t="s">
        <v>268</v>
      </c>
      <c r="E3303" s="34">
        <v>261.50900000000001</v>
      </c>
      <c r="F3303" s="36">
        <v>3.19999999999823E-2</v>
      </c>
      <c r="G3303" s="34">
        <v>3.19999999999823E-2</v>
      </c>
      <c r="H3303" s="35">
        <v>27</v>
      </c>
      <c r="I3303" s="37">
        <f t="shared" si="51"/>
        <v>1.4021589092657775E-4</v>
      </c>
      <c r="J3303" s="33"/>
    </row>
    <row r="3304" spans="1:10">
      <c r="A3304" s="33" t="s">
        <v>85</v>
      </c>
      <c r="B3304" s="34">
        <v>261.541</v>
      </c>
      <c r="C3304" s="35">
        <v>192560.2</v>
      </c>
      <c r="D3304" s="33" t="s">
        <v>274</v>
      </c>
      <c r="E3304" s="34">
        <v>261.512</v>
      </c>
      <c r="F3304" s="36">
        <v>2.89999999999964E-2</v>
      </c>
      <c r="G3304" s="34">
        <v>2.89999999999964E-2</v>
      </c>
      <c r="H3304" s="35">
        <v>21.7</v>
      </c>
      <c r="I3304" s="37">
        <f t="shared" si="51"/>
        <v>1.1269203085580508E-4</v>
      </c>
      <c r="J3304" s="33"/>
    </row>
    <row r="3305" spans="1:10">
      <c r="A3305" s="33" t="s">
        <v>85</v>
      </c>
      <c r="B3305" s="34">
        <v>261.541</v>
      </c>
      <c r="C3305" s="35">
        <v>192560.2</v>
      </c>
      <c r="D3305" s="33" t="s">
        <v>63</v>
      </c>
      <c r="E3305" s="34">
        <v>261.52499999999998</v>
      </c>
      <c r="F3305" s="36">
        <v>1.6E-2</v>
      </c>
      <c r="G3305" s="34">
        <v>1.6E-2</v>
      </c>
      <c r="H3305" s="35">
        <v>85.3</v>
      </c>
      <c r="I3305" s="37">
        <f t="shared" si="51"/>
        <v>4.4297835170507713E-4</v>
      </c>
      <c r="J3305" s="33" t="s">
        <v>116</v>
      </c>
    </row>
    <row r="3306" spans="1:10">
      <c r="A3306" s="33" t="s">
        <v>85</v>
      </c>
      <c r="B3306" s="34">
        <v>261.541</v>
      </c>
      <c r="C3306" s="35">
        <v>192560.2</v>
      </c>
      <c r="D3306" s="33" t="s">
        <v>54</v>
      </c>
      <c r="E3306" s="34">
        <v>261.53300000000002</v>
      </c>
      <c r="F3306" s="36">
        <v>7.9999999999813606E-3</v>
      </c>
      <c r="G3306" s="34">
        <v>7.9999999999813606E-3</v>
      </c>
      <c r="H3306" s="35">
        <v>2</v>
      </c>
      <c r="I3306" s="37">
        <f t="shared" si="51"/>
        <v>1.0386362290857611E-5</v>
      </c>
      <c r="J3306" s="33"/>
    </row>
    <row r="3307" spans="1:10">
      <c r="A3307" s="33" t="s">
        <v>85</v>
      </c>
      <c r="B3307" s="34">
        <v>261.541</v>
      </c>
      <c r="C3307" s="35">
        <v>192560.2</v>
      </c>
      <c r="D3307" s="33" t="s">
        <v>271</v>
      </c>
      <c r="E3307" s="34">
        <v>261.53399999999999</v>
      </c>
      <c r="F3307" s="36">
        <v>7.0000000000049996E-3</v>
      </c>
      <c r="G3307" s="34">
        <v>7.0000000000049996E-3</v>
      </c>
      <c r="H3307" s="35">
        <v>53.7</v>
      </c>
      <c r="I3307" s="37">
        <f t="shared" si="51"/>
        <v>2.788738275095269E-4</v>
      </c>
      <c r="J3307" s="33"/>
    </row>
    <row r="3308" spans="1:10">
      <c r="A3308" s="33" t="s">
        <v>85</v>
      </c>
      <c r="B3308" s="34">
        <v>261.541</v>
      </c>
      <c r="C3308" s="35">
        <v>192560.2</v>
      </c>
      <c r="D3308" s="33" t="s">
        <v>278</v>
      </c>
      <c r="E3308" s="34">
        <v>261.53800000000001</v>
      </c>
      <c r="F3308" s="36">
        <v>2.9999999999858998E-3</v>
      </c>
      <c r="G3308" s="34">
        <v>2.9999999999858998E-3</v>
      </c>
      <c r="H3308" s="35">
        <v>29.3</v>
      </c>
      <c r="I3308" s="37">
        <f t="shared" si="51"/>
        <v>1.5216020756106402E-4</v>
      </c>
      <c r="J3308" s="33"/>
    </row>
    <row r="3309" spans="1:10">
      <c r="A3309" s="33" t="s">
        <v>85</v>
      </c>
      <c r="B3309" s="34">
        <v>261.541</v>
      </c>
      <c r="C3309" s="35">
        <v>192560.2</v>
      </c>
      <c r="D3309" s="33" t="s">
        <v>275</v>
      </c>
      <c r="E3309" s="34">
        <v>261.53899999999999</v>
      </c>
      <c r="F3309" s="36">
        <v>2.0000000000095501E-3</v>
      </c>
      <c r="G3309" s="34">
        <v>2.0000000000095501E-3</v>
      </c>
      <c r="H3309" s="35">
        <v>13.3</v>
      </c>
      <c r="I3309" s="37">
        <f t="shared" si="51"/>
        <v>6.9069309234203117E-5</v>
      </c>
      <c r="J3309" s="33"/>
    </row>
    <row r="3310" spans="1:10">
      <c r="A3310" s="33" t="s">
        <v>85</v>
      </c>
      <c r="B3310" s="34">
        <v>261.541</v>
      </c>
      <c r="C3310" s="35">
        <v>192560.2</v>
      </c>
      <c r="D3310" s="33" t="s">
        <v>274</v>
      </c>
      <c r="E3310" s="34">
        <v>261.54500000000002</v>
      </c>
      <c r="F3310" s="36">
        <v>4.0000000000191003E-3</v>
      </c>
      <c r="G3310" s="34">
        <v>4.0000000000191003E-3</v>
      </c>
      <c r="H3310" s="35">
        <v>159.19999999999999</v>
      </c>
      <c r="I3310" s="37">
        <f t="shared" si="51"/>
        <v>8.267544383522658E-4</v>
      </c>
      <c r="J3310" s="33"/>
    </row>
    <row r="3311" spans="1:10">
      <c r="A3311" s="33" t="s">
        <v>85</v>
      </c>
      <c r="B3311" s="34">
        <v>261.541</v>
      </c>
      <c r="C3311" s="35">
        <v>192560.2</v>
      </c>
      <c r="D3311" s="33" t="s">
        <v>193</v>
      </c>
      <c r="E3311" s="34">
        <v>261.54599999999999</v>
      </c>
      <c r="F3311" s="36">
        <v>4.9999999999954499E-3</v>
      </c>
      <c r="G3311" s="34">
        <v>4.9999999999954499E-3</v>
      </c>
      <c r="H3311" s="35">
        <v>81.099999999999994</v>
      </c>
      <c r="I3311" s="37">
        <f t="shared" si="51"/>
        <v>4.2116699089427614E-4</v>
      </c>
      <c r="J3311" s="33"/>
    </row>
    <row r="3312" spans="1:10">
      <c r="A3312" s="33" t="s">
        <v>85</v>
      </c>
      <c r="B3312" s="34">
        <v>261.541</v>
      </c>
      <c r="C3312" s="35">
        <v>192560.2</v>
      </c>
      <c r="D3312" s="33" t="s">
        <v>193</v>
      </c>
      <c r="E3312" s="34">
        <v>261.56599999999997</v>
      </c>
      <c r="F3312" s="36">
        <v>2.4999999999977301E-2</v>
      </c>
      <c r="G3312" s="34">
        <v>2.4999999999977301E-2</v>
      </c>
      <c r="H3312" s="35">
        <v>33.299999999999997</v>
      </c>
      <c r="I3312" s="37">
        <f t="shared" si="51"/>
        <v>1.7293293214277921E-4</v>
      </c>
      <c r="J3312" s="33"/>
    </row>
    <row r="3313" spans="1:10">
      <c r="A3313" s="33" t="s">
        <v>85</v>
      </c>
      <c r="B3313" s="34">
        <v>261.541</v>
      </c>
      <c r="C3313" s="35">
        <v>192560.2</v>
      </c>
      <c r="D3313" s="33" t="s">
        <v>173</v>
      </c>
      <c r="E3313" s="34">
        <v>261.57499999999999</v>
      </c>
      <c r="F3313" s="36">
        <v>3.3999999999991801E-2</v>
      </c>
      <c r="G3313" s="34">
        <v>3.3999999999991801E-2</v>
      </c>
      <c r="H3313" s="35">
        <v>53.1</v>
      </c>
      <c r="I3313" s="37">
        <f t="shared" si="51"/>
        <v>2.7575791882226958E-4</v>
      </c>
      <c r="J3313" s="33"/>
    </row>
    <row r="3314" spans="1:10">
      <c r="A3314" s="33" t="s">
        <v>85</v>
      </c>
      <c r="B3314" s="34">
        <v>261.541</v>
      </c>
      <c r="C3314" s="35">
        <v>192560.2</v>
      </c>
      <c r="D3314" s="33" t="s">
        <v>284</v>
      </c>
      <c r="E3314" s="34">
        <v>261.59699999999998</v>
      </c>
      <c r="F3314" s="36">
        <v>5.5999999999983202E-2</v>
      </c>
      <c r="G3314" s="34">
        <v>5.5999999999983202E-2</v>
      </c>
      <c r="H3314" s="35">
        <v>0.3</v>
      </c>
      <c r="I3314" s="37">
        <f t="shared" si="51"/>
        <v>1.5579543436286416E-6</v>
      </c>
      <c r="J3314" s="33"/>
    </row>
    <row r="3315" spans="1:10">
      <c r="A3315" s="33" t="s">
        <v>85</v>
      </c>
      <c r="B3315" s="34">
        <v>261.541</v>
      </c>
      <c r="C3315" s="35">
        <v>192560.2</v>
      </c>
      <c r="D3315" s="33" t="s">
        <v>277</v>
      </c>
      <c r="E3315" s="34">
        <v>261.60700000000003</v>
      </c>
      <c r="F3315" s="36">
        <v>6.6000000000030895E-2</v>
      </c>
      <c r="G3315" s="34">
        <v>6.6000000000030895E-2</v>
      </c>
      <c r="H3315" s="35">
        <v>83.6</v>
      </c>
      <c r="I3315" s="37">
        <f t="shared" si="51"/>
        <v>4.3414994375784812E-4</v>
      </c>
      <c r="J3315" s="33"/>
    </row>
    <row r="3316" spans="1:10">
      <c r="A3316" s="33" t="s">
        <v>85</v>
      </c>
      <c r="B3316" s="34">
        <v>261.541</v>
      </c>
      <c r="C3316" s="35">
        <v>192560.2</v>
      </c>
      <c r="D3316" s="33" t="s">
        <v>239</v>
      </c>
      <c r="E3316" s="34">
        <v>261.61399999999998</v>
      </c>
      <c r="F3316" s="36">
        <v>7.2999999999979095E-2</v>
      </c>
      <c r="G3316" s="34">
        <v>7.2999999999979095E-2</v>
      </c>
      <c r="H3316" s="35">
        <v>17.7</v>
      </c>
      <c r="I3316" s="37">
        <f t="shared" si="51"/>
        <v>9.1919306274089856E-5</v>
      </c>
      <c r="J3316" s="33"/>
    </row>
    <row r="3317" spans="1:10">
      <c r="A3317" s="33" t="s">
        <v>85</v>
      </c>
      <c r="B3317" s="34">
        <v>261.541</v>
      </c>
      <c r="C3317" s="35">
        <v>192560.2</v>
      </c>
      <c r="D3317" s="33" t="s">
        <v>278</v>
      </c>
      <c r="E3317" s="34">
        <v>261.625</v>
      </c>
      <c r="F3317" s="36">
        <v>8.4000000000003197E-2</v>
      </c>
      <c r="G3317" s="34">
        <v>8.4000000000003197E-2</v>
      </c>
      <c r="H3317" s="35">
        <v>117.7</v>
      </c>
      <c r="I3317" s="37">
        <f t="shared" si="51"/>
        <v>6.1123742081697051E-4</v>
      </c>
      <c r="J3317" s="33"/>
    </row>
    <row r="3318" spans="1:10">
      <c r="A3318" s="33" t="s">
        <v>85</v>
      </c>
      <c r="B3318" s="34">
        <v>261.541</v>
      </c>
      <c r="C3318" s="35">
        <v>192560.2</v>
      </c>
      <c r="D3318" s="33" t="s">
        <v>54</v>
      </c>
      <c r="E3318" s="34">
        <v>261.62599999999998</v>
      </c>
      <c r="F3318" s="36">
        <v>8.4999999999979495E-2</v>
      </c>
      <c r="G3318" s="34">
        <v>8.4999999999979495E-2</v>
      </c>
      <c r="H3318" s="35">
        <v>42</v>
      </c>
      <c r="I3318" s="37">
        <f t="shared" si="51"/>
        <v>2.1811360810800983E-4</v>
      </c>
      <c r="J3318" s="33"/>
    </row>
    <row r="3319" spans="1:10">
      <c r="A3319" s="33" t="s">
        <v>85</v>
      </c>
      <c r="B3319" s="34">
        <v>261.541</v>
      </c>
      <c r="C3319" s="35">
        <v>192560.2</v>
      </c>
      <c r="D3319" s="33" t="s">
        <v>273</v>
      </c>
      <c r="E3319" s="34">
        <v>261.64800000000002</v>
      </c>
      <c r="F3319" s="36">
        <v>0.107000000000028</v>
      </c>
      <c r="G3319" s="34">
        <v>0.107000000000028</v>
      </c>
      <c r="H3319" s="35">
        <v>30.6</v>
      </c>
      <c r="I3319" s="37">
        <f t="shared" si="51"/>
        <v>1.5891134305012146E-4</v>
      </c>
      <c r="J3319" s="33"/>
    </row>
    <row r="3320" spans="1:10">
      <c r="A3320" s="33" t="s">
        <v>85</v>
      </c>
      <c r="B3320" s="34">
        <v>261.541</v>
      </c>
      <c r="C3320" s="35">
        <v>192560.2</v>
      </c>
      <c r="D3320" s="33" t="s">
        <v>240</v>
      </c>
      <c r="E3320" s="34">
        <v>261.65199999999999</v>
      </c>
      <c r="F3320" s="36">
        <v>0.11099999999999</v>
      </c>
      <c r="G3320" s="34">
        <v>0.11099999999999</v>
      </c>
      <c r="H3320" s="35">
        <v>21.9</v>
      </c>
      <c r="I3320" s="37">
        <f t="shared" si="51"/>
        <v>1.1373066708489084E-4</v>
      </c>
      <c r="J3320" s="33"/>
    </row>
    <row r="3321" spans="1:10">
      <c r="A3321" s="33" t="s">
        <v>85</v>
      </c>
      <c r="B3321" s="34">
        <v>261.541</v>
      </c>
      <c r="C3321" s="35">
        <v>192560.2</v>
      </c>
      <c r="D3321" s="33" t="s">
        <v>269</v>
      </c>
      <c r="E3321" s="34">
        <v>261.661</v>
      </c>
      <c r="F3321" s="36">
        <v>0.12000000000000501</v>
      </c>
      <c r="G3321" s="34">
        <v>0.12000000000000501</v>
      </c>
      <c r="H3321" s="35">
        <v>20.6</v>
      </c>
      <c r="I3321" s="37">
        <f t="shared" si="51"/>
        <v>1.0697953159583341E-4</v>
      </c>
      <c r="J3321" s="33"/>
    </row>
    <row r="3322" spans="1:10">
      <c r="A3322" s="33" t="s">
        <v>85</v>
      </c>
      <c r="B3322" s="34">
        <v>261.541</v>
      </c>
      <c r="C3322" s="35">
        <v>192560.2</v>
      </c>
      <c r="D3322" s="33" t="s">
        <v>278</v>
      </c>
      <c r="E3322" s="34">
        <v>261.66300000000001</v>
      </c>
      <c r="F3322" s="36">
        <v>0.122000000000014</v>
      </c>
      <c r="G3322" s="34">
        <v>0.122000000000014</v>
      </c>
      <c r="H3322" s="35">
        <v>20.3</v>
      </c>
      <c r="I3322" s="37">
        <f t="shared" si="51"/>
        <v>1.0542157725220477E-4</v>
      </c>
      <c r="J3322" s="33"/>
    </row>
    <row r="3323" spans="1:10">
      <c r="A3323" s="33" t="s">
        <v>85</v>
      </c>
      <c r="B3323" s="34">
        <v>261.541</v>
      </c>
      <c r="C3323" s="35">
        <v>192560.2</v>
      </c>
      <c r="D3323" s="33" t="s">
        <v>279</v>
      </c>
      <c r="E3323" s="34">
        <v>261.67200000000003</v>
      </c>
      <c r="F3323" s="36">
        <v>0.13100000000002901</v>
      </c>
      <c r="G3323" s="34">
        <v>0.13100000000002901</v>
      </c>
      <c r="H3323" s="35">
        <v>118.3</v>
      </c>
      <c r="I3323" s="37">
        <f t="shared" si="51"/>
        <v>6.1435332950422771E-4</v>
      </c>
      <c r="J3323" s="33"/>
    </row>
    <row r="3324" spans="1:10">
      <c r="A3324" s="33" t="s">
        <v>85</v>
      </c>
      <c r="B3324" s="34">
        <v>261.541</v>
      </c>
      <c r="C3324" s="35">
        <v>192560.2</v>
      </c>
      <c r="D3324" s="33" t="s">
        <v>294</v>
      </c>
      <c r="E3324" s="34">
        <v>261.67599999999999</v>
      </c>
      <c r="F3324" s="36">
        <v>0.13499999999999099</v>
      </c>
      <c r="G3324" s="34">
        <v>0.13499999999999099</v>
      </c>
      <c r="H3324" s="35">
        <v>10.6</v>
      </c>
      <c r="I3324" s="37">
        <f t="shared" si="51"/>
        <v>5.5047720141545338E-5</v>
      </c>
      <c r="J3324" s="33"/>
    </row>
    <row r="3325" spans="1:10">
      <c r="A3325" s="33" t="s">
        <v>85</v>
      </c>
      <c r="B3325" s="34">
        <v>261.541</v>
      </c>
      <c r="C3325" s="35">
        <v>192560.2</v>
      </c>
      <c r="D3325" s="33" t="s">
        <v>275</v>
      </c>
      <c r="E3325" s="34">
        <v>261.67899999999997</v>
      </c>
      <c r="F3325" s="36">
        <v>0.137999999999977</v>
      </c>
      <c r="G3325" s="34">
        <v>0.137999999999977</v>
      </c>
      <c r="H3325" s="35">
        <v>411</v>
      </c>
      <c r="I3325" s="37">
        <f t="shared" si="51"/>
        <v>2.134397450771239E-3</v>
      </c>
      <c r="J3325" s="33"/>
    </row>
    <row r="3326" spans="1:10">
      <c r="A3326" s="33" t="s">
        <v>85</v>
      </c>
      <c r="B3326" s="34">
        <v>261.541</v>
      </c>
      <c r="C3326" s="35">
        <v>192560.2</v>
      </c>
      <c r="D3326" s="33" t="s">
        <v>84</v>
      </c>
      <c r="E3326" s="34">
        <v>261.69799999999998</v>
      </c>
      <c r="F3326" s="36">
        <v>0.157</v>
      </c>
      <c r="G3326" s="34">
        <v>0.157</v>
      </c>
      <c r="H3326" s="35">
        <v>156.6</v>
      </c>
      <c r="I3326" s="37">
        <f t="shared" si="51"/>
        <v>8.1325216737415098E-4</v>
      </c>
      <c r="J3326" s="33" t="s">
        <v>116</v>
      </c>
    </row>
    <row r="3327" spans="1:10">
      <c r="A3327" s="33" t="s">
        <v>85</v>
      </c>
      <c r="B3327" s="34">
        <v>261.541</v>
      </c>
      <c r="C3327" s="35">
        <v>192560.2</v>
      </c>
      <c r="D3327" s="33" t="s">
        <v>109</v>
      </c>
      <c r="E3327" s="34">
        <v>261.7</v>
      </c>
      <c r="F3327" s="36">
        <v>0.15899999999999201</v>
      </c>
      <c r="G3327" s="34">
        <v>0.15899999999999201</v>
      </c>
      <c r="H3327" s="35">
        <v>63.47</v>
      </c>
      <c r="I3327" s="37">
        <f t="shared" si="51"/>
        <v>3.2961120730036632E-4</v>
      </c>
      <c r="J3327" s="33" t="s">
        <v>116</v>
      </c>
    </row>
    <row r="3328" spans="1:10">
      <c r="A3328" s="33" t="s">
        <v>85</v>
      </c>
      <c r="B3328" s="34">
        <v>289.48399999999998</v>
      </c>
      <c r="C3328" s="35">
        <v>38564.9</v>
      </c>
      <c r="D3328" s="33" t="s">
        <v>294</v>
      </c>
      <c r="E3328" s="34">
        <v>289.38600000000002</v>
      </c>
      <c r="F3328" s="36">
        <v>9.7999999999956303E-2</v>
      </c>
      <c r="G3328" s="34">
        <v>9.7999999999956303E-2</v>
      </c>
      <c r="H3328" s="35">
        <v>428.8</v>
      </c>
      <c r="I3328" s="37">
        <f t="shared" si="51"/>
        <v>1.1118919017033624E-2</v>
      </c>
      <c r="J3328" s="33"/>
    </row>
    <row r="3329" spans="1:10">
      <c r="A3329" s="33" t="s">
        <v>85</v>
      </c>
      <c r="B3329" s="34">
        <v>289.48399999999998</v>
      </c>
      <c r="C3329" s="35">
        <v>38564.9</v>
      </c>
      <c r="D3329" s="33" t="s">
        <v>97</v>
      </c>
      <c r="E3329" s="34">
        <v>289.38799999999998</v>
      </c>
      <c r="F3329" s="36">
        <v>9.6000000000003596E-2</v>
      </c>
      <c r="G3329" s="34">
        <v>9.6000000000003596E-2</v>
      </c>
      <c r="H3329" s="35">
        <v>28</v>
      </c>
      <c r="I3329" s="37">
        <f t="shared" si="51"/>
        <v>7.260488164107776E-4</v>
      </c>
      <c r="J3329" s="33"/>
    </row>
    <row r="3330" spans="1:10">
      <c r="A3330" s="33" t="s">
        <v>85</v>
      </c>
      <c r="B3330" s="34">
        <v>289.48399999999998</v>
      </c>
      <c r="C3330" s="35">
        <v>38564.9</v>
      </c>
      <c r="D3330" s="33" t="s">
        <v>25</v>
      </c>
      <c r="E3330" s="34">
        <v>289.40899999999999</v>
      </c>
      <c r="F3330" s="36">
        <v>7.4999999999988604E-2</v>
      </c>
      <c r="G3330" s="34">
        <v>7.4999999999988604E-2</v>
      </c>
      <c r="H3330" s="35">
        <v>110.6</v>
      </c>
      <c r="I3330" s="37">
        <f t="shared" ref="I3330:I3393" si="52">H3330/C3330</f>
        <v>2.8678928248225717E-3</v>
      </c>
      <c r="J3330" s="33" t="s">
        <v>116</v>
      </c>
    </row>
    <row r="3331" spans="1:10">
      <c r="A3331" s="33" t="s">
        <v>85</v>
      </c>
      <c r="B3331" s="34">
        <v>289.48399999999998</v>
      </c>
      <c r="C3331" s="35">
        <v>38564.9</v>
      </c>
      <c r="D3331" s="33" t="s">
        <v>184</v>
      </c>
      <c r="E3331" s="34">
        <v>289.41199999999998</v>
      </c>
      <c r="F3331" s="36">
        <v>7.2000000000002701E-2</v>
      </c>
      <c r="G3331" s="34">
        <v>7.2000000000002701E-2</v>
      </c>
      <c r="H3331" s="35">
        <v>5.3</v>
      </c>
      <c r="I3331" s="37">
        <f t="shared" si="52"/>
        <v>1.3743066882061149E-4</v>
      </c>
      <c r="J3331" s="33"/>
    </row>
    <row r="3332" spans="1:10">
      <c r="A3332" s="33" t="s">
        <v>85</v>
      </c>
      <c r="B3332" s="34">
        <v>289.48399999999998</v>
      </c>
      <c r="C3332" s="35">
        <v>38564.9</v>
      </c>
      <c r="D3332" s="33" t="s">
        <v>277</v>
      </c>
      <c r="E3332" s="34">
        <v>289.41399999999999</v>
      </c>
      <c r="F3332" s="36">
        <v>6.9999999999993207E-2</v>
      </c>
      <c r="G3332" s="34">
        <v>6.9999999999993207E-2</v>
      </c>
      <c r="H3332" s="35">
        <v>516.20000000000005</v>
      </c>
      <c r="I3332" s="37">
        <f t="shared" si="52"/>
        <v>1.3385228536830123E-2</v>
      </c>
      <c r="J3332" s="33"/>
    </row>
    <row r="3333" spans="1:10">
      <c r="A3333" s="33" t="s">
        <v>85</v>
      </c>
      <c r="B3333" s="34">
        <v>289.48399999999998</v>
      </c>
      <c r="C3333" s="35">
        <v>38564.9</v>
      </c>
      <c r="D3333" s="33" t="s">
        <v>193</v>
      </c>
      <c r="E3333" s="34">
        <v>289.41500000000002</v>
      </c>
      <c r="F3333" s="36">
        <v>6.8999999999959996E-2</v>
      </c>
      <c r="G3333" s="34">
        <v>6.8999999999959996E-2</v>
      </c>
      <c r="H3333" s="35">
        <v>13.3</v>
      </c>
      <c r="I3333" s="37">
        <f t="shared" si="52"/>
        <v>3.448731877951194E-4</v>
      </c>
      <c r="J3333" s="33"/>
    </row>
    <row r="3334" spans="1:10">
      <c r="A3334" s="33" t="s">
        <v>85</v>
      </c>
      <c r="B3334" s="34">
        <v>289.48399999999998</v>
      </c>
      <c r="C3334" s="35">
        <v>38564.9</v>
      </c>
      <c r="D3334" s="33" t="s">
        <v>239</v>
      </c>
      <c r="E3334" s="34">
        <v>289.42500000000001</v>
      </c>
      <c r="F3334" s="36">
        <v>5.8999999999969098E-2</v>
      </c>
      <c r="G3334" s="34">
        <v>5.8999999999969098E-2</v>
      </c>
      <c r="H3334" s="35">
        <v>163</v>
      </c>
      <c r="I3334" s="37">
        <f t="shared" si="52"/>
        <v>4.2266413241055989E-3</v>
      </c>
      <c r="J3334" s="33"/>
    </row>
    <row r="3335" spans="1:10">
      <c r="A3335" s="33" t="s">
        <v>85</v>
      </c>
      <c r="B3335" s="34">
        <v>289.48399999999998</v>
      </c>
      <c r="C3335" s="35">
        <v>38564.9</v>
      </c>
      <c r="D3335" s="33" t="s">
        <v>274</v>
      </c>
      <c r="E3335" s="34">
        <v>289.42500000000001</v>
      </c>
      <c r="F3335" s="36">
        <v>5.8999999999969098E-2</v>
      </c>
      <c r="G3335" s="34">
        <v>5.8999999999969098E-2</v>
      </c>
      <c r="H3335" s="35">
        <v>5.3</v>
      </c>
      <c r="I3335" s="37">
        <f t="shared" si="52"/>
        <v>1.3743066882061149E-4</v>
      </c>
      <c r="J3335" s="33"/>
    </row>
    <row r="3336" spans="1:10">
      <c r="A3336" s="33" t="s">
        <v>85</v>
      </c>
      <c r="B3336" s="34">
        <v>289.48399999999998</v>
      </c>
      <c r="C3336" s="35">
        <v>38564.9</v>
      </c>
      <c r="D3336" s="33" t="s">
        <v>279</v>
      </c>
      <c r="E3336" s="34">
        <v>289.43200000000002</v>
      </c>
      <c r="F3336" s="36">
        <v>5.1999999999964103E-2</v>
      </c>
      <c r="G3336" s="34">
        <v>5.1999999999964103E-2</v>
      </c>
      <c r="H3336" s="35">
        <v>5.0999999999999996</v>
      </c>
      <c r="I3336" s="37">
        <f t="shared" si="52"/>
        <v>1.3224460584624877E-4</v>
      </c>
      <c r="J3336" s="33"/>
    </row>
    <row r="3337" spans="1:10">
      <c r="A3337" s="33" t="s">
        <v>85</v>
      </c>
      <c r="B3337" s="34">
        <v>289.48399999999998</v>
      </c>
      <c r="C3337" s="35">
        <v>38564.9</v>
      </c>
      <c r="D3337" s="33" t="s">
        <v>273</v>
      </c>
      <c r="E3337" s="34">
        <v>289.44200000000001</v>
      </c>
      <c r="F3337" s="36">
        <v>4.1999999999973198E-2</v>
      </c>
      <c r="G3337" s="34">
        <v>4.1999999999973198E-2</v>
      </c>
      <c r="H3337" s="35">
        <v>197.8</v>
      </c>
      <c r="I3337" s="37">
        <f t="shared" si="52"/>
        <v>5.1290162816447077E-3</v>
      </c>
      <c r="J3337" s="33"/>
    </row>
    <row r="3338" spans="1:10">
      <c r="A3338" s="33" t="s">
        <v>85</v>
      </c>
      <c r="B3338" s="34">
        <v>289.48399999999998</v>
      </c>
      <c r="C3338" s="35">
        <v>38564.9</v>
      </c>
      <c r="D3338" s="33" t="s">
        <v>275</v>
      </c>
      <c r="E3338" s="34">
        <v>289.44499999999999</v>
      </c>
      <c r="F3338" s="36">
        <v>3.8999999999987302E-2</v>
      </c>
      <c r="G3338" s="34">
        <v>3.8999999999987302E-2</v>
      </c>
      <c r="H3338" s="35">
        <v>5633.3</v>
      </c>
      <c r="I3338" s="37">
        <f t="shared" si="52"/>
        <v>0.14607324276738692</v>
      </c>
      <c r="J3338" s="33"/>
    </row>
    <row r="3339" spans="1:10">
      <c r="A3339" s="33" t="s">
        <v>85</v>
      </c>
      <c r="B3339" s="34">
        <v>289.48399999999998</v>
      </c>
      <c r="C3339" s="35">
        <v>38564.9</v>
      </c>
      <c r="D3339" s="33" t="s">
        <v>201</v>
      </c>
      <c r="E3339" s="34">
        <v>289.44499999999999</v>
      </c>
      <c r="F3339" s="36">
        <v>3.8999999999987302E-2</v>
      </c>
      <c r="G3339" s="34">
        <v>3.8999999999987302E-2</v>
      </c>
      <c r="H3339" s="35">
        <v>440.8</v>
      </c>
      <c r="I3339" s="37">
        <f t="shared" si="52"/>
        <v>1.1430082795495386E-2</v>
      </c>
      <c r="J3339" s="33"/>
    </row>
    <row r="3340" spans="1:10">
      <c r="A3340" s="33" t="s">
        <v>85</v>
      </c>
      <c r="B3340" s="34">
        <v>289.48399999999998</v>
      </c>
      <c r="C3340" s="35">
        <v>38564.9</v>
      </c>
      <c r="D3340" s="33" t="s">
        <v>97</v>
      </c>
      <c r="E3340" s="34">
        <v>289.45</v>
      </c>
      <c r="F3340" s="36">
        <v>3.3999999999991801E-2</v>
      </c>
      <c r="G3340" s="34">
        <v>3.3999999999991801E-2</v>
      </c>
      <c r="H3340" s="35">
        <v>30.9</v>
      </c>
      <c r="I3340" s="37">
        <f t="shared" si="52"/>
        <v>8.0124672953903674E-4</v>
      </c>
      <c r="J3340" s="33"/>
    </row>
    <row r="3341" spans="1:10">
      <c r="A3341" s="33" t="s">
        <v>85</v>
      </c>
      <c r="B3341" s="34">
        <v>289.48399999999998</v>
      </c>
      <c r="C3341" s="35">
        <v>38564.9</v>
      </c>
      <c r="D3341" s="33" t="s">
        <v>271</v>
      </c>
      <c r="E3341" s="34">
        <v>289.45</v>
      </c>
      <c r="F3341" s="36">
        <v>3.3999999999991801E-2</v>
      </c>
      <c r="G3341" s="34">
        <v>3.3999999999991801E-2</v>
      </c>
      <c r="H3341" s="35">
        <v>168</v>
      </c>
      <c r="I3341" s="37">
        <f t="shared" si="52"/>
        <v>4.3562928984646658E-3</v>
      </c>
      <c r="J3341" s="33"/>
    </row>
    <row r="3342" spans="1:10">
      <c r="A3342" s="33" t="s">
        <v>85</v>
      </c>
      <c r="B3342" s="34">
        <v>289.48399999999998</v>
      </c>
      <c r="C3342" s="35">
        <v>38564.9</v>
      </c>
      <c r="D3342" s="33" t="s">
        <v>277</v>
      </c>
      <c r="E3342" s="34">
        <v>289.45100000000002</v>
      </c>
      <c r="F3342" s="36">
        <v>3.2999999999958597E-2</v>
      </c>
      <c r="G3342" s="34">
        <v>3.2999999999958597E-2</v>
      </c>
      <c r="H3342" s="35">
        <v>582.20000000000005</v>
      </c>
      <c r="I3342" s="37">
        <f t="shared" si="52"/>
        <v>1.5096629318369813E-2</v>
      </c>
      <c r="J3342" s="33"/>
    </row>
    <row r="3343" spans="1:10">
      <c r="A3343" s="33" t="s">
        <v>85</v>
      </c>
      <c r="B3343" s="34">
        <v>289.48399999999998</v>
      </c>
      <c r="C3343" s="35">
        <v>38564.9</v>
      </c>
      <c r="D3343" s="33" t="s">
        <v>278</v>
      </c>
      <c r="E3343" s="34">
        <v>289.46199999999999</v>
      </c>
      <c r="F3343" s="36">
        <v>2.1999999999991401E-2</v>
      </c>
      <c r="G3343" s="34">
        <v>2.1999999999991401E-2</v>
      </c>
      <c r="H3343" s="35">
        <v>24.7</v>
      </c>
      <c r="I3343" s="37">
        <f t="shared" si="52"/>
        <v>6.4047877733379313E-4</v>
      </c>
      <c r="J3343" s="33"/>
    </row>
    <row r="3344" spans="1:10">
      <c r="A3344" s="33" t="s">
        <v>85</v>
      </c>
      <c r="B3344" s="34">
        <v>289.48399999999998</v>
      </c>
      <c r="C3344" s="35">
        <v>38564.9</v>
      </c>
      <c r="D3344" s="33" t="s">
        <v>97</v>
      </c>
      <c r="E3344" s="34">
        <v>289.47800000000001</v>
      </c>
      <c r="F3344" s="36">
        <v>5.99999999997181E-3</v>
      </c>
      <c r="G3344" s="34">
        <v>5.99999999997181E-3</v>
      </c>
      <c r="H3344" s="35">
        <v>22</v>
      </c>
      <c r="I3344" s="37">
        <f t="shared" si="52"/>
        <v>5.7046692717989671E-4</v>
      </c>
      <c r="J3344" s="33"/>
    </row>
    <row r="3345" spans="1:10">
      <c r="A3345" s="33" t="s">
        <v>85</v>
      </c>
      <c r="B3345" s="34">
        <v>289.48399999999998</v>
      </c>
      <c r="C3345" s="35">
        <v>38564.9</v>
      </c>
      <c r="D3345" s="33" t="s">
        <v>278</v>
      </c>
      <c r="E3345" s="34">
        <v>289.483</v>
      </c>
      <c r="F3345" s="36">
        <v>9.9999999997635292E-4</v>
      </c>
      <c r="G3345" s="34">
        <v>9.9999999997635292E-4</v>
      </c>
      <c r="H3345" s="35">
        <v>64.3</v>
      </c>
      <c r="I3345" s="37">
        <f t="shared" si="52"/>
        <v>1.6673192462576072E-3</v>
      </c>
      <c r="J3345" s="33"/>
    </row>
    <row r="3346" spans="1:10">
      <c r="A3346" s="33" t="s">
        <v>85</v>
      </c>
      <c r="B3346" s="34">
        <v>289.48399999999998</v>
      </c>
      <c r="C3346" s="35">
        <v>38564.9</v>
      </c>
      <c r="D3346" s="33" t="s">
        <v>239</v>
      </c>
      <c r="E3346" s="34">
        <v>289.48399999999998</v>
      </c>
      <c r="F3346" s="36">
        <v>0</v>
      </c>
      <c r="G3346" s="34">
        <v>0</v>
      </c>
      <c r="H3346" s="35">
        <v>89.4</v>
      </c>
      <c r="I3346" s="37">
        <f t="shared" si="52"/>
        <v>2.318170149540126E-3</v>
      </c>
      <c r="J3346" s="33"/>
    </row>
    <row r="3347" spans="1:10">
      <c r="A3347" s="33" t="s">
        <v>85</v>
      </c>
      <c r="B3347" s="34">
        <v>289.48399999999998</v>
      </c>
      <c r="C3347" s="35">
        <v>38564.9</v>
      </c>
      <c r="D3347" s="33" t="s">
        <v>269</v>
      </c>
      <c r="E3347" s="34">
        <v>289.48399999999998</v>
      </c>
      <c r="F3347" s="36">
        <v>0</v>
      </c>
      <c r="G3347" s="34">
        <v>0</v>
      </c>
      <c r="H3347" s="35">
        <v>46</v>
      </c>
      <c r="I3347" s="37">
        <f t="shared" si="52"/>
        <v>1.1927944841034204E-3</v>
      </c>
      <c r="J3347" s="33"/>
    </row>
    <row r="3348" spans="1:10">
      <c r="A3348" s="33" t="s">
        <v>85</v>
      </c>
      <c r="B3348" s="34">
        <v>289.48399999999998</v>
      </c>
      <c r="C3348" s="35">
        <v>38564.9</v>
      </c>
      <c r="D3348" s="33" t="s">
        <v>240</v>
      </c>
      <c r="E3348" s="34">
        <v>289.49099999999999</v>
      </c>
      <c r="F3348" s="36">
        <v>7.0000000000049996E-3</v>
      </c>
      <c r="G3348" s="34">
        <v>7.0000000000049996E-3</v>
      </c>
      <c r="H3348" s="35">
        <v>70.400000000000006</v>
      </c>
      <c r="I3348" s="37">
        <f t="shared" si="52"/>
        <v>1.8254941669756696E-3</v>
      </c>
      <c r="J3348" s="33"/>
    </row>
    <row r="3349" spans="1:10">
      <c r="A3349" s="33" t="s">
        <v>85</v>
      </c>
      <c r="B3349" s="34">
        <v>289.48399999999998</v>
      </c>
      <c r="C3349" s="35">
        <v>38564.9</v>
      </c>
      <c r="D3349" s="33" t="s">
        <v>239</v>
      </c>
      <c r="E3349" s="34">
        <v>289.5</v>
      </c>
      <c r="F3349" s="36">
        <v>1.6000000000019599E-2</v>
      </c>
      <c r="G3349" s="34">
        <v>1.6000000000019599E-2</v>
      </c>
      <c r="H3349" s="35">
        <v>113.5</v>
      </c>
      <c r="I3349" s="37">
        <f t="shared" si="52"/>
        <v>2.9430907379508309E-3</v>
      </c>
      <c r="J3349" s="33"/>
    </row>
    <row r="3350" spans="1:10">
      <c r="A3350" s="33" t="s">
        <v>85</v>
      </c>
      <c r="B3350" s="34">
        <v>289.48399999999998</v>
      </c>
      <c r="C3350" s="35">
        <v>38564.9</v>
      </c>
      <c r="D3350" s="33" t="s">
        <v>284</v>
      </c>
      <c r="E3350" s="34">
        <v>289.50700000000001</v>
      </c>
      <c r="F3350" s="36">
        <v>2.3000000000024601E-2</v>
      </c>
      <c r="G3350" s="34">
        <v>2.3000000000024601E-2</v>
      </c>
      <c r="H3350" s="35">
        <v>0.7</v>
      </c>
      <c r="I3350" s="37">
        <f t="shared" si="52"/>
        <v>1.8151220410269439E-5</v>
      </c>
      <c r="J3350" s="33"/>
    </row>
    <row r="3351" spans="1:10">
      <c r="A3351" s="33" t="s">
        <v>85</v>
      </c>
      <c r="B3351" s="34">
        <v>289.48399999999998</v>
      </c>
      <c r="C3351" s="35">
        <v>38564.9</v>
      </c>
      <c r="D3351" s="33" t="s">
        <v>193</v>
      </c>
      <c r="E3351" s="34">
        <v>289.50900000000001</v>
      </c>
      <c r="F3351" s="36">
        <v>2.5000000000034099E-2</v>
      </c>
      <c r="G3351" s="34">
        <v>2.5000000000034099E-2</v>
      </c>
      <c r="H3351" s="35">
        <v>33.299999999999997</v>
      </c>
      <c r="I3351" s="37">
        <f t="shared" si="52"/>
        <v>8.6347948523138904E-4</v>
      </c>
      <c r="J3351" s="33"/>
    </row>
    <row r="3352" spans="1:10">
      <c r="A3352" s="33" t="s">
        <v>85</v>
      </c>
      <c r="B3352" s="34">
        <v>289.48399999999998</v>
      </c>
      <c r="C3352" s="35">
        <v>38564.9</v>
      </c>
      <c r="D3352" s="33" t="s">
        <v>271</v>
      </c>
      <c r="E3352" s="34">
        <v>289.51400000000001</v>
      </c>
      <c r="F3352" s="36">
        <v>3.00000000000296E-2</v>
      </c>
      <c r="G3352" s="34">
        <v>3.00000000000296E-2</v>
      </c>
      <c r="H3352" s="35">
        <v>1322.5</v>
      </c>
      <c r="I3352" s="37">
        <f t="shared" si="52"/>
        <v>3.4292841417973334E-2</v>
      </c>
      <c r="J3352" s="33"/>
    </row>
    <row r="3353" spans="1:10">
      <c r="A3353" s="33" t="s">
        <v>85</v>
      </c>
      <c r="B3353" s="34">
        <v>289.48399999999998</v>
      </c>
      <c r="C3353" s="35">
        <v>38564.9</v>
      </c>
      <c r="D3353" s="33" t="s">
        <v>97</v>
      </c>
      <c r="E3353" s="34">
        <v>289.52199999999999</v>
      </c>
      <c r="F3353" s="36">
        <v>3.80000000000109E-2</v>
      </c>
      <c r="G3353" s="34">
        <v>3.80000000000109E-2</v>
      </c>
      <c r="H3353" s="35">
        <v>12.2</v>
      </c>
      <c r="I3353" s="37">
        <f t="shared" si="52"/>
        <v>3.163498414361245E-4</v>
      </c>
      <c r="J3353" s="33"/>
    </row>
    <row r="3354" spans="1:10">
      <c r="A3354" s="33" t="s">
        <v>85</v>
      </c>
      <c r="B3354" s="34">
        <v>289.48399999999998</v>
      </c>
      <c r="C3354" s="35">
        <v>38564.9</v>
      </c>
      <c r="D3354" s="33" t="s">
        <v>54</v>
      </c>
      <c r="E3354" s="34">
        <v>289.53300000000002</v>
      </c>
      <c r="F3354" s="36">
        <v>4.9000000000035002E-2</v>
      </c>
      <c r="G3354" s="34">
        <v>4.9000000000035002E-2</v>
      </c>
      <c r="H3354" s="35">
        <v>11.2</v>
      </c>
      <c r="I3354" s="37">
        <f t="shared" si="52"/>
        <v>2.9041952656431102E-4</v>
      </c>
      <c r="J3354" s="33"/>
    </row>
    <row r="3355" spans="1:10">
      <c r="A3355" s="33" t="s">
        <v>85</v>
      </c>
      <c r="B3355" s="34">
        <v>289.48399999999998</v>
      </c>
      <c r="C3355" s="35">
        <v>38564.9</v>
      </c>
      <c r="D3355" s="33" t="s">
        <v>277</v>
      </c>
      <c r="E3355" s="34">
        <v>289.55399999999997</v>
      </c>
      <c r="F3355" s="36">
        <v>6.9999999999993207E-2</v>
      </c>
      <c r="G3355" s="34">
        <v>6.9999999999993207E-2</v>
      </c>
      <c r="H3355" s="35">
        <v>281</v>
      </c>
      <c r="I3355" s="37">
        <f t="shared" si="52"/>
        <v>7.2864184789795897E-3</v>
      </c>
      <c r="J3355" s="33"/>
    </row>
    <row r="3356" spans="1:10">
      <c r="A3356" s="33" t="s">
        <v>85</v>
      </c>
      <c r="B3356" s="34">
        <v>289.48399999999998</v>
      </c>
      <c r="C3356" s="35">
        <v>38564.9</v>
      </c>
      <c r="D3356" s="33" t="s">
        <v>278</v>
      </c>
      <c r="E3356" s="34">
        <v>289.56</v>
      </c>
      <c r="F3356" s="36">
        <v>7.60000000000218E-2</v>
      </c>
      <c r="G3356" s="34">
        <v>7.60000000000218E-2</v>
      </c>
      <c r="H3356" s="35">
        <v>59.1</v>
      </c>
      <c r="I3356" s="37">
        <f t="shared" si="52"/>
        <v>1.5324816089241772E-3</v>
      </c>
      <c r="J3356" s="33"/>
    </row>
    <row r="3357" spans="1:10">
      <c r="A3357" s="33" t="s">
        <v>85</v>
      </c>
      <c r="B3357" s="34">
        <v>289.48399999999998</v>
      </c>
      <c r="C3357" s="35">
        <v>38564.9</v>
      </c>
      <c r="D3357" s="33" t="s">
        <v>279</v>
      </c>
      <c r="E3357" s="34">
        <v>289.565</v>
      </c>
      <c r="F3357" s="36">
        <v>8.1000000000017294E-2</v>
      </c>
      <c r="G3357" s="34">
        <v>8.1000000000017294E-2</v>
      </c>
      <c r="H3357" s="35">
        <v>40</v>
      </c>
      <c r="I3357" s="37">
        <f t="shared" si="52"/>
        <v>1.0372125948725395E-3</v>
      </c>
      <c r="J3357" s="33"/>
    </row>
    <row r="3358" spans="1:10">
      <c r="A3358" s="33" t="s">
        <v>85</v>
      </c>
      <c r="B3358" s="34">
        <v>289.48399999999998</v>
      </c>
      <c r="C3358" s="35">
        <v>38564.9</v>
      </c>
      <c r="D3358" s="33" t="s">
        <v>239</v>
      </c>
      <c r="E3358" s="34">
        <v>289.56799999999998</v>
      </c>
      <c r="F3358" s="36">
        <v>8.4000000000003197E-2</v>
      </c>
      <c r="G3358" s="34">
        <v>8.4000000000003197E-2</v>
      </c>
      <c r="H3358" s="35">
        <v>23</v>
      </c>
      <c r="I3358" s="37">
        <f t="shared" si="52"/>
        <v>5.9639724205171019E-4</v>
      </c>
      <c r="J3358" s="33"/>
    </row>
    <row r="3359" spans="1:10">
      <c r="A3359" s="33" t="s">
        <v>85</v>
      </c>
      <c r="B3359" s="34">
        <v>289.48399999999998</v>
      </c>
      <c r="C3359" s="35">
        <v>38564.9</v>
      </c>
      <c r="D3359" s="33" t="s">
        <v>237</v>
      </c>
      <c r="E3359" s="34">
        <v>289.57799999999997</v>
      </c>
      <c r="F3359" s="36">
        <v>9.3999999999994102E-2</v>
      </c>
      <c r="G3359" s="34">
        <v>9.3999999999994102E-2</v>
      </c>
      <c r="H3359" s="35">
        <v>29.2</v>
      </c>
      <c r="I3359" s="37">
        <f t="shared" si="52"/>
        <v>7.571651942569538E-4</v>
      </c>
      <c r="J3359" s="33"/>
    </row>
    <row r="3360" spans="1:10">
      <c r="A3360" s="33" t="s">
        <v>85</v>
      </c>
      <c r="B3360" s="34">
        <v>289.48399999999998</v>
      </c>
      <c r="C3360" s="35">
        <v>38564.9</v>
      </c>
      <c r="D3360" s="33" t="s">
        <v>54</v>
      </c>
      <c r="E3360" s="34">
        <v>289.58800000000002</v>
      </c>
      <c r="F3360" s="36">
        <v>0.104000000000042</v>
      </c>
      <c r="G3360" s="34">
        <v>0.104000000000042</v>
      </c>
      <c r="H3360" s="35">
        <v>1.2</v>
      </c>
      <c r="I3360" s="37">
        <f t="shared" si="52"/>
        <v>3.1116377846176186E-5</v>
      </c>
      <c r="J3360" s="33"/>
    </row>
    <row r="3361" spans="1:10">
      <c r="A3361" s="33" t="s">
        <v>85</v>
      </c>
      <c r="B3361" s="34">
        <v>289.48399999999998</v>
      </c>
      <c r="C3361" s="35">
        <v>38564.9</v>
      </c>
      <c r="D3361" s="33" t="s">
        <v>279</v>
      </c>
      <c r="E3361" s="34">
        <v>289.60000000000002</v>
      </c>
      <c r="F3361" s="36">
        <v>0.116000000000042</v>
      </c>
      <c r="G3361" s="34">
        <v>0.116000000000042</v>
      </c>
      <c r="H3361" s="35">
        <v>24.4</v>
      </c>
      <c r="I3361" s="37">
        <f t="shared" si="52"/>
        <v>6.32699682872249E-4</v>
      </c>
      <c r="J3361" s="33"/>
    </row>
    <row r="3362" spans="1:10">
      <c r="A3362" s="33" t="s">
        <v>85</v>
      </c>
      <c r="B3362" s="34">
        <v>289.48399999999998</v>
      </c>
      <c r="C3362" s="35">
        <v>38564.9</v>
      </c>
      <c r="D3362" s="33" t="s">
        <v>274</v>
      </c>
      <c r="E3362" s="34">
        <v>289.601</v>
      </c>
      <c r="F3362" s="36">
        <v>0.11700000000001901</v>
      </c>
      <c r="G3362" s="34">
        <v>0.11700000000001901</v>
      </c>
      <c r="H3362" s="35">
        <v>193.9</v>
      </c>
      <c r="I3362" s="37">
        <f t="shared" si="52"/>
        <v>5.0278880536446351E-3</v>
      </c>
      <c r="J3362" s="33"/>
    </row>
    <row r="3363" spans="1:10">
      <c r="A3363" s="33" t="s">
        <v>85</v>
      </c>
      <c r="B3363" s="34">
        <v>290.02999999999997</v>
      </c>
      <c r="C3363" s="35">
        <v>20693.099999999999</v>
      </c>
      <c r="D3363" s="33" t="s">
        <v>278</v>
      </c>
      <c r="E3363" s="34">
        <v>289.88</v>
      </c>
      <c r="F3363" s="36">
        <v>0.14999999999997701</v>
      </c>
      <c r="G3363" s="34">
        <v>0.14999999999997701</v>
      </c>
      <c r="H3363" s="35">
        <v>148.30000000000001</v>
      </c>
      <c r="I3363" s="37">
        <f t="shared" si="52"/>
        <v>7.1666400877587223E-3</v>
      </c>
      <c r="J3363" s="33"/>
    </row>
    <row r="3364" spans="1:10">
      <c r="A3364" s="33" t="s">
        <v>85</v>
      </c>
      <c r="B3364" s="34">
        <v>290.02999999999997</v>
      </c>
      <c r="C3364" s="35">
        <v>20693.099999999999</v>
      </c>
      <c r="D3364" s="33" t="s">
        <v>201</v>
      </c>
      <c r="E3364" s="34">
        <v>289.88600000000002</v>
      </c>
      <c r="F3364" s="36">
        <v>0.143999999999949</v>
      </c>
      <c r="G3364" s="34">
        <v>0.143999999999949</v>
      </c>
      <c r="H3364" s="35">
        <v>496.3</v>
      </c>
      <c r="I3364" s="37">
        <f t="shared" si="52"/>
        <v>2.3983840023969343E-2</v>
      </c>
      <c r="J3364" s="33"/>
    </row>
    <row r="3365" spans="1:10">
      <c r="A3365" s="33" t="s">
        <v>85</v>
      </c>
      <c r="B3365" s="34">
        <v>290.02999999999997</v>
      </c>
      <c r="C3365" s="35">
        <v>20693.099999999999</v>
      </c>
      <c r="D3365" s="33" t="s">
        <v>240</v>
      </c>
      <c r="E3365" s="34">
        <v>289.89600000000002</v>
      </c>
      <c r="F3365" s="36">
        <v>0.13399999999995801</v>
      </c>
      <c r="G3365" s="34">
        <v>0.13399999999995801</v>
      </c>
      <c r="H3365" s="35">
        <v>16.100000000000001</v>
      </c>
      <c r="I3365" s="37">
        <f t="shared" si="52"/>
        <v>7.7803712348560648E-4</v>
      </c>
      <c r="J3365" s="33"/>
    </row>
    <row r="3366" spans="1:10">
      <c r="A3366" s="33" t="s">
        <v>85</v>
      </c>
      <c r="B3366" s="34">
        <v>290.02999999999997</v>
      </c>
      <c r="C3366" s="35">
        <v>20693.099999999999</v>
      </c>
      <c r="D3366" s="33" t="s">
        <v>193</v>
      </c>
      <c r="E3366" s="34">
        <v>289.904</v>
      </c>
      <c r="F3366" s="36">
        <v>0.12599999999997599</v>
      </c>
      <c r="G3366" s="34">
        <v>0.12599999999997599</v>
      </c>
      <c r="H3366" s="35">
        <v>51.4</v>
      </c>
      <c r="I3366" s="37">
        <f t="shared" si="52"/>
        <v>2.4839197606931779E-3</v>
      </c>
      <c r="J3366" s="33"/>
    </row>
    <row r="3367" spans="1:10">
      <c r="A3367" s="33" t="s">
        <v>85</v>
      </c>
      <c r="B3367" s="34">
        <v>290.02999999999997</v>
      </c>
      <c r="C3367" s="35">
        <v>20693.099999999999</v>
      </c>
      <c r="D3367" s="33" t="s">
        <v>239</v>
      </c>
      <c r="E3367" s="34">
        <v>289.91399999999999</v>
      </c>
      <c r="F3367" s="36">
        <v>0.115999999999985</v>
      </c>
      <c r="G3367" s="34">
        <v>0.115999999999985</v>
      </c>
      <c r="H3367" s="35">
        <v>158.80000000000001</v>
      </c>
      <c r="I3367" s="37">
        <f t="shared" si="52"/>
        <v>7.674055603075422E-3</v>
      </c>
      <c r="J3367" s="33"/>
    </row>
    <row r="3368" spans="1:10">
      <c r="A3368" s="33" t="s">
        <v>85</v>
      </c>
      <c r="B3368" s="34">
        <v>290.02999999999997</v>
      </c>
      <c r="C3368" s="35">
        <v>20693.099999999999</v>
      </c>
      <c r="D3368" s="33" t="s">
        <v>278</v>
      </c>
      <c r="E3368" s="34">
        <v>289.91699999999997</v>
      </c>
      <c r="F3368" s="36">
        <v>0.113</v>
      </c>
      <c r="G3368" s="34">
        <v>0.113</v>
      </c>
      <c r="H3368" s="35">
        <v>85.5</v>
      </c>
      <c r="I3368" s="37">
        <f t="shared" si="52"/>
        <v>4.1318120532931272E-3</v>
      </c>
      <c r="J3368" s="33"/>
    </row>
    <row r="3369" spans="1:10">
      <c r="A3369" s="33" t="s">
        <v>85</v>
      </c>
      <c r="B3369" s="34">
        <v>290.02999999999997</v>
      </c>
      <c r="C3369" s="35">
        <v>20693.099999999999</v>
      </c>
      <c r="D3369" s="33" t="s">
        <v>273</v>
      </c>
      <c r="E3369" s="34">
        <v>289.923</v>
      </c>
      <c r="F3369" s="36">
        <v>0.10699999999997099</v>
      </c>
      <c r="G3369" s="34">
        <v>0.10699999999997099</v>
      </c>
      <c r="H3369" s="35">
        <v>4277.5</v>
      </c>
      <c r="I3369" s="37">
        <f t="shared" si="52"/>
        <v>0.2067114158825889</v>
      </c>
      <c r="J3369" s="33"/>
    </row>
    <row r="3370" spans="1:10">
      <c r="A3370" s="33" t="s">
        <v>85</v>
      </c>
      <c r="B3370" s="34">
        <v>290.02999999999997</v>
      </c>
      <c r="C3370" s="35">
        <v>20693.099999999999</v>
      </c>
      <c r="D3370" s="33" t="s">
        <v>271</v>
      </c>
      <c r="E3370" s="34">
        <v>289.93700000000001</v>
      </c>
      <c r="F3370" s="36">
        <v>9.2999999999960906E-2</v>
      </c>
      <c r="G3370" s="34">
        <v>9.2999999999960906E-2</v>
      </c>
      <c r="H3370" s="35">
        <v>337.2</v>
      </c>
      <c r="I3370" s="37">
        <f t="shared" si="52"/>
        <v>1.6295286834742018E-2</v>
      </c>
      <c r="J3370" s="33"/>
    </row>
    <row r="3371" spans="1:10">
      <c r="A3371" s="33" t="s">
        <v>85</v>
      </c>
      <c r="B3371" s="34">
        <v>290.02999999999997</v>
      </c>
      <c r="C3371" s="35">
        <v>20693.099999999999</v>
      </c>
      <c r="D3371" s="33" t="s">
        <v>97</v>
      </c>
      <c r="E3371" s="34">
        <v>289.94099999999997</v>
      </c>
      <c r="F3371" s="36">
        <v>8.8999999999998594E-2</v>
      </c>
      <c r="G3371" s="34">
        <v>8.8999999999998594E-2</v>
      </c>
      <c r="H3371" s="35">
        <v>13.2</v>
      </c>
      <c r="I3371" s="37">
        <f t="shared" si="52"/>
        <v>6.3789379068385113E-4</v>
      </c>
      <c r="J3371" s="33"/>
    </row>
    <row r="3372" spans="1:10">
      <c r="A3372" s="33" t="s">
        <v>85</v>
      </c>
      <c r="B3372" s="34">
        <v>290.02999999999997</v>
      </c>
      <c r="C3372" s="35">
        <v>20693.099999999999</v>
      </c>
      <c r="D3372" s="33" t="s">
        <v>239</v>
      </c>
      <c r="E3372" s="34">
        <v>289.94799999999998</v>
      </c>
      <c r="F3372" s="36">
        <v>8.1999999999993606E-2</v>
      </c>
      <c r="G3372" s="34">
        <v>8.1999999999993606E-2</v>
      </c>
      <c r="H3372" s="35">
        <v>203.9</v>
      </c>
      <c r="I3372" s="37">
        <f t="shared" si="52"/>
        <v>9.8535260545785808E-3</v>
      </c>
      <c r="J3372" s="33"/>
    </row>
    <row r="3373" spans="1:10">
      <c r="A3373" s="33" t="s">
        <v>85</v>
      </c>
      <c r="B3373" s="34">
        <v>290.02999999999997</v>
      </c>
      <c r="C3373" s="35">
        <v>20693.099999999999</v>
      </c>
      <c r="D3373" s="33" t="s">
        <v>278</v>
      </c>
      <c r="E3373" s="34">
        <v>289.95999999999998</v>
      </c>
      <c r="F3373" s="36">
        <v>6.9999999999993207E-2</v>
      </c>
      <c r="G3373" s="34">
        <v>6.9999999999993207E-2</v>
      </c>
      <c r="H3373" s="35">
        <v>61.3</v>
      </c>
      <c r="I3373" s="37">
        <f t="shared" si="52"/>
        <v>2.9623401037060662E-3</v>
      </c>
      <c r="J3373" s="33"/>
    </row>
    <row r="3374" spans="1:10">
      <c r="A3374" s="33" t="s">
        <v>85</v>
      </c>
      <c r="B3374" s="34">
        <v>290.02999999999997</v>
      </c>
      <c r="C3374" s="35">
        <v>20693.099999999999</v>
      </c>
      <c r="D3374" s="33" t="s">
        <v>290</v>
      </c>
      <c r="E3374" s="34">
        <v>289.96300000000002</v>
      </c>
      <c r="F3374" s="36">
        <v>6.6999999999950405E-2</v>
      </c>
      <c r="G3374" s="34">
        <v>6.6999999999950405E-2</v>
      </c>
      <c r="H3374" s="35">
        <v>11.6</v>
      </c>
      <c r="I3374" s="37">
        <f t="shared" si="52"/>
        <v>5.6057333120702077E-4</v>
      </c>
      <c r="J3374" s="33"/>
    </row>
    <row r="3375" spans="1:10">
      <c r="A3375" s="33" t="s">
        <v>85</v>
      </c>
      <c r="B3375" s="34">
        <v>290.02999999999997</v>
      </c>
      <c r="C3375" s="35">
        <v>20693.099999999999</v>
      </c>
      <c r="D3375" s="33" t="s">
        <v>201</v>
      </c>
      <c r="E3375" s="34">
        <v>289.971</v>
      </c>
      <c r="F3375" s="36">
        <v>5.8999999999969098E-2</v>
      </c>
      <c r="G3375" s="34">
        <v>5.8999999999969098E-2</v>
      </c>
      <c r="H3375" s="35">
        <v>471.8</v>
      </c>
      <c r="I3375" s="37">
        <f t="shared" si="52"/>
        <v>2.279987048823038E-2</v>
      </c>
      <c r="J3375" s="33"/>
    </row>
    <row r="3376" spans="1:10">
      <c r="A3376" s="33" t="s">
        <v>85</v>
      </c>
      <c r="B3376" s="34">
        <v>290.02999999999997</v>
      </c>
      <c r="C3376" s="35">
        <v>20693.099999999999</v>
      </c>
      <c r="D3376" s="33" t="s">
        <v>271</v>
      </c>
      <c r="E3376" s="34">
        <v>289.97199999999998</v>
      </c>
      <c r="F3376" s="36">
        <v>5.7999999999992703E-2</v>
      </c>
      <c r="G3376" s="34">
        <v>5.7999999999992703E-2</v>
      </c>
      <c r="H3376" s="35">
        <v>2491.5</v>
      </c>
      <c r="I3376" s="37">
        <f t="shared" si="52"/>
        <v>0.12040245299157691</v>
      </c>
      <c r="J3376" s="33"/>
    </row>
    <row r="3377" spans="1:10">
      <c r="A3377" s="33" t="s">
        <v>85</v>
      </c>
      <c r="B3377" s="34">
        <v>290.02999999999997</v>
      </c>
      <c r="C3377" s="35">
        <v>20693.099999999999</v>
      </c>
      <c r="D3377" s="33" t="s">
        <v>54</v>
      </c>
      <c r="E3377" s="34">
        <v>289.98099999999999</v>
      </c>
      <c r="F3377" s="36">
        <v>4.89999999999782E-2</v>
      </c>
      <c r="G3377" s="34">
        <v>4.89999999999782E-2</v>
      </c>
      <c r="H3377" s="35">
        <v>9.5</v>
      </c>
      <c r="I3377" s="37">
        <f t="shared" si="52"/>
        <v>4.5909022814368076E-4</v>
      </c>
      <c r="J3377" s="33"/>
    </row>
    <row r="3378" spans="1:10">
      <c r="A3378" s="33" t="s">
        <v>85</v>
      </c>
      <c r="B3378" s="34">
        <v>290.02999999999997</v>
      </c>
      <c r="C3378" s="35">
        <v>20693.099999999999</v>
      </c>
      <c r="D3378" s="33" t="s">
        <v>282</v>
      </c>
      <c r="E3378" s="34">
        <v>289.995</v>
      </c>
      <c r="F3378" s="36">
        <v>3.4999999999968202E-2</v>
      </c>
      <c r="G3378" s="34">
        <v>3.4999999999968202E-2</v>
      </c>
      <c r="H3378" s="35">
        <v>10.4</v>
      </c>
      <c r="I3378" s="37">
        <f t="shared" si="52"/>
        <v>5.0258298659939789E-4</v>
      </c>
      <c r="J3378" s="33"/>
    </row>
    <row r="3379" spans="1:10">
      <c r="A3379" s="33" t="s">
        <v>85</v>
      </c>
      <c r="B3379" s="34">
        <v>290.02999999999997</v>
      </c>
      <c r="C3379" s="35">
        <v>20693.099999999999</v>
      </c>
      <c r="D3379" s="33" t="s">
        <v>278</v>
      </c>
      <c r="E3379" s="34">
        <v>289.99700000000001</v>
      </c>
      <c r="F3379" s="36">
        <v>3.2999999999958597E-2</v>
      </c>
      <c r="G3379" s="34">
        <v>3.2999999999958597E-2</v>
      </c>
      <c r="H3379" s="35">
        <v>39.6</v>
      </c>
      <c r="I3379" s="37">
        <f t="shared" si="52"/>
        <v>1.9136813720515536E-3</v>
      </c>
      <c r="J3379" s="33"/>
    </row>
    <row r="3380" spans="1:10">
      <c r="A3380" s="33" t="s">
        <v>85</v>
      </c>
      <c r="B3380" s="34">
        <v>290.02999999999997</v>
      </c>
      <c r="C3380" s="35">
        <v>20693.099999999999</v>
      </c>
      <c r="D3380" s="33" t="s">
        <v>193</v>
      </c>
      <c r="E3380" s="34">
        <v>290.00299999999999</v>
      </c>
      <c r="F3380" s="36">
        <v>2.6999999999986798E-2</v>
      </c>
      <c r="G3380" s="34">
        <v>2.6999999999986798E-2</v>
      </c>
      <c r="H3380" s="35">
        <v>1.4</v>
      </c>
      <c r="I3380" s="37">
        <f t="shared" si="52"/>
        <v>6.7655402042226634E-5</v>
      </c>
      <c r="J3380" s="33"/>
    </row>
    <row r="3381" spans="1:10">
      <c r="A3381" s="33" t="s">
        <v>85</v>
      </c>
      <c r="B3381" s="34">
        <v>290.02999999999997</v>
      </c>
      <c r="C3381" s="35">
        <v>20693.099999999999</v>
      </c>
      <c r="D3381" s="33" t="s">
        <v>277</v>
      </c>
      <c r="E3381" s="34">
        <v>290.01100000000002</v>
      </c>
      <c r="F3381" s="36">
        <v>1.89999999999486E-2</v>
      </c>
      <c r="G3381" s="34">
        <v>1.89999999999486E-2</v>
      </c>
      <c r="H3381" s="35">
        <v>80.099999999999994</v>
      </c>
      <c r="I3381" s="37">
        <f t="shared" si="52"/>
        <v>3.8708555025588239E-3</v>
      </c>
      <c r="J3381" s="33"/>
    </row>
    <row r="3382" spans="1:10">
      <c r="A3382" s="33" t="s">
        <v>85</v>
      </c>
      <c r="B3382" s="34">
        <v>290.02999999999997</v>
      </c>
      <c r="C3382" s="35">
        <v>20693.099999999999</v>
      </c>
      <c r="D3382" s="33" t="s">
        <v>240</v>
      </c>
      <c r="E3382" s="34">
        <v>290.01600000000002</v>
      </c>
      <c r="F3382" s="36">
        <v>1.3999999999953199E-2</v>
      </c>
      <c r="G3382" s="34">
        <v>1.3999999999953199E-2</v>
      </c>
      <c r="H3382" s="35">
        <v>313.10000000000002</v>
      </c>
      <c r="I3382" s="37">
        <f t="shared" si="52"/>
        <v>1.513064741387226E-2</v>
      </c>
      <c r="J3382" s="33"/>
    </row>
    <row r="3383" spans="1:10">
      <c r="A3383" s="33" t="s">
        <v>85</v>
      </c>
      <c r="B3383" s="34">
        <v>290.02999999999997</v>
      </c>
      <c r="C3383" s="35">
        <v>20693.099999999999</v>
      </c>
      <c r="D3383" s="33" t="s">
        <v>193</v>
      </c>
      <c r="E3383" s="34">
        <v>290.03699999999998</v>
      </c>
      <c r="F3383" s="36">
        <v>7.0000000000049996E-3</v>
      </c>
      <c r="G3383" s="34">
        <v>7.0000000000049996E-3</v>
      </c>
      <c r="H3383" s="35">
        <v>32.5</v>
      </c>
      <c r="I3383" s="37">
        <f t="shared" si="52"/>
        <v>1.5705718331231184E-3</v>
      </c>
      <c r="J3383" s="33"/>
    </row>
    <row r="3384" spans="1:10">
      <c r="A3384" s="33" t="s">
        <v>85</v>
      </c>
      <c r="B3384" s="34">
        <v>290.02999999999997</v>
      </c>
      <c r="C3384" s="35">
        <v>20693.099999999999</v>
      </c>
      <c r="D3384" s="33" t="s">
        <v>290</v>
      </c>
      <c r="E3384" s="34">
        <v>290.03899999999999</v>
      </c>
      <c r="F3384" s="36">
        <v>9.0000000000145502E-3</v>
      </c>
      <c r="G3384" s="34">
        <v>9.0000000000145502E-3</v>
      </c>
      <c r="H3384" s="35">
        <v>5.5</v>
      </c>
      <c r="I3384" s="37">
        <f t="shared" si="52"/>
        <v>2.6578907945160464E-4</v>
      </c>
      <c r="J3384" s="33"/>
    </row>
    <row r="3385" spans="1:10">
      <c r="A3385" s="33" t="s">
        <v>85</v>
      </c>
      <c r="B3385" s="34">
        <v>290.02999999999997</v>
      </c>
      <c r="C3385" s="35">
        <v>20693.099999999999</v>
      </c>
      <c r="D3385" s="33" t="s">
        <v>239</v>
      </c>
      <c r="E3385" s="34">
        <v>290.04700000000003</v>
      </c>
      <c r="F3385" s="36">
        <v>1.7000000000052799E-2</v>
      </c>
      <c r="G3385" s="34">
        <v>1.7000000000052799E-2</v>
      </c>
      <c r="H3385" s="35">
        <v>8</v>
      </c>
      <c r="I3385" s="37">
        <f t="shared" si="52"/>
        <v>3.8660229738415224E-4</v>
      </c>
      <c r="J3385" s="33"/>
    </row>
    <row r="3386" spans="1:10">
      <c r="A3386" s="33" t="s">
        <v>85</v>
      </c>
      <c r="B3386" s="34">
        <v>290.02999999999997</v>
      </c>
      <c r="C3386" s="35">
        <v>20693.099999999999</v>
      </c>
      <c r="D3386" s="33" t="s">
        <v>274</v>
      </c>
      <c r="E3386" s="34">
        <v>290.05099999999999</v>
      </c>
      <c r="F3386" s="36">
        <v>2.1000000000015E-2</v>
      </c>
      <c r="G3386" s="34">
        <v>2.1000000000015E-2</v>
      </c>
      <c r="H3386" s="35">
        <v>6.9</v>
      </c>
      <c r="I3386" s="37">
        <f t="shared" si="52"/>
        <v>3.3344448149383131E-4</v>
      </c>
      <c r="J3386" s="33"/>
    </row>
    <row r="3387" spans="1:10">
      <c r="A3387" s="33" t="s">
        <v>85</v>
      </c>
      <c r="B3387" s="34">
        <v>290.02999999999997</v>
      </c>
      <c r="C3387" s="35">
        <v>20693.099999999999</v>
      </c>
      <c r="D3387" s="33" t="s">
        <v>193</v>
      </c>
      <c r="E3387" s="34">
        <v>290.077</v>
      </c>
      <c r="F3387" s="36">
        <v>4.7000000000025501E-2</v>
      </c>
      <c r="G3387" s="34">
        <v>4.7000000000025501E-2</v>
      </c>
      <c r="H3387" s="35">
        <v>201.7</v>
      </c>
      <c r="I3387" s="37">
        <f t="shared" si="52"/>
        <v>9.7472104227979382E-3</v>
      </c>
      <c r="J3387" s="33"/>
    </row>
    <row r="3388" spans="1:10">
      <c r="A3388" s="33" t="s">
        <v>85</v>
      </c>
      <c r="B3388" s="34">
        <v>290.02999999999997</v>
      </c>
      <c r="C3388" s="35">
        <v>20693.099999999999</v>
      </c>
      <c r="D3388" s="33" t="s">
        <v>275</v>
      </c>
      <c r="E3388" s="34">
        <v>290.07799999999997</v>
      </c>
      <c r="F3388" s="36">
        <v>4.8000000000001798E-2</v>
      </c>
      <c r="G3388" s="34">
        <v>4.8000000000001798E-2</v>
      </c>
      <c r="H3388" s="35">
        <v>175.6</v>
      </c>
      <c r="I3388" s="37">
        <f t="shared" si="52"/>
        <v>8.4859204275821408E-3</v>
      </c>
      <c r="J3388" s="33"/>
    </row>
    <row r="3389" spans="1:10">
      <c r="A3389" s="33" t="s">
        <v>85</v>
      </c>
      <c r="B3389" s="34">
        <v>290.02999999999997</v>
      </c>
      <c r="C3389" s="35">
        <v>20693.099999999999</v>
      </c>
      <c r="D3389" s="33" t="s">
        <v>33</v>
      </c>
      <c r="E3389" s="34">
        <v>290.08199999999999</v>
      </c>
      <c r="F3389" s="36">
        <v>5.2000000000020898E-2</v>
      </c>
      <c r="G3389" s="34">
        <v>5.2000000000020898E-2</v>
      </c>
      <c r="H3389" s="35">
        <v>223</v>
      </c>
      <c r="I3389" s="37">
        <f t="shared" si="52"/>
        <v>1.0776539039583243E-2</v>
      </c>
      <c r="J3389" s="33" t="s">
        <v>116</v>
      </c>
    </row>
    <row r="3390" spans="1:10">
      <c r="A3390" s="33" t="s">
        <v>85</v>
      </c>
      <c r="B3390" s="34">
        <v>290.02999999999997</v>
      </c>
      <c r="C3390" s="35">
        <v>20693.099999999999</v>
      </c>
      <c r="D3390" s="33" t="s">
        <v>239</v>
      </c>
      <c r="E3390" s="34">
        <v>290.10000000000002</v>
      </c>
      <c r="F3390" s="36">
        <v>7.0000000000049994E-2</v>
      </c>
      <c r="G3390" s="34">
        <v>7.0000000000049994E-2</v>
      </c>
      <c r="H3390" s="35">
        <v>411</v>
      </c>
      <c r="I3390" s="37">
        <f t="shared" si="52"/>
        <v>1.9861693028110822E-2</v>
      </c>
      <c r="J3390" s="33"/>
    </row>
    <row r="3391" spans="1:10">
      <c r="A3391" s="33" t="s">
        <v>85</v>
      </c>
      <c r="B3391" s="34">
        <v>290.02999999999997</v>
      </c>
      <c r="C3391" s="35">
        <v>20693.099999999999</v>
      </c>
      <c r="D3391" s="33" t="s">
        <v>277</v>
      </c>
      <c r="E3391" s="34">
        <v>290.12200000000001</v>
      </c>
      <c r="F3391" s="36">
        <v>9.2000000000041396E-2</v>
      </c>
      <c r="G3391" s="34">
        <v>9.2000000000041396E-2</v>
      </c>
      <c r="H3391" s="35">
        <v>148.19999999999999</v>
      </c>
      <c r="I3391" s="37">
        <f t="shared" si="52"/>
        <v>7.1618075590414191E-3</v>
      </c>
      <c r="J3391" s="33"/>
    </row>
    <row r="3392" spans="1:10">
      <c r="A3392" s="33" t="s">
        <v>85</v>
      </c>
      <c r="B3392" s="34">
        <v>290.02999999999997</v>
      </c>
      <c r="C3392" s="35">
        <v>20693.099999999999</v>
      </c>
      <c r="D3392" s="33" t="s">
        <v>97</v>
      </c>
      <c r="E3392" s="34">
        <v>290.13799999999998</v>
      </c>
      <c r="F3392" s="36">
        <v>0.108000000000004</v>
      </c>
      <c r="G3392" s="34">
        <v>0.108000000000004</v>
      </c>
      <c r="H3392" s="35">
        <v>42</v>
      </c>
      <c r="I3392" s="37">
        <f t="shared" si="52"/>
        <v>2.0296620612667991E-3</v>
      </c>
      <c r="J3392" s="33"/>
    </row>
    <row r="3393" spans="1:10">
      <c r="A3393" s="33" t="s">
        <v>85</v>
      </c>
      <c r="B3393" s="34">
        <v>290.02999999999997</v>
      </c>
      <c r="C3393" s="35">
        <v>20693.099999999999</v>
      </c>
      <c r="D3393" s="33" t="s">
        <v>201</v>
      </c>
      <c r="E3393" s="34">
        <v>290.154</v>
      </c>
      <c r="F3393" s="36">
        <v>0.12400000000002399</v>
      </c>
      <c r="G3393" s="34">
        <v>0.12400000000002399</v>
      </c>
      <c r="H3393" s="35">
        <v>233.7</v>
      </c>
      <c r="I3393" s="37">
        <f t="shared" si="52"/>
        <v>1.1293619612334547E-2</v>
      </c>
      <c r="J3393" s="33"/>
    </row>
    <row r="3394" spans="1:10">
      <c r="A3394" s="33" t="s">
        <v>85</v>
      </c>
      <c r="B3394" s="34">
        <v>290.02999999999997</v>
      </c>
      <c r="C3394" s="35">
        <v>20693.099999999999</v>
      </c>
      <c r="D3394" s="33" t="s">
        <v>274</v>
      </c>
      <c r="E3394" s="34">
        <v>290.17899999999997</v>
      </c>
      <c r="F3394" s="36">
        <v>0.14900000000000099</v>
      </c>
      <c r="G3394" s="34">
        <v>0.14900000000000099</v>
      </c>
      <c r="H3394" s="35">
        <v>6.4</v>
      </c>
      <c r="I3394" s="37">
        <f t="shared" ref="I3394:I3457" si="53">H3394/C3394</f>
        <v>3.0928183790732182E-4</v>
      </c>
      <c r="J3394" s="33"/>
    </row>
    <row r="3395" spans="1:10">
      <c r="A3395" s="33" t="s">
        <v>85</v>
      </c>
      <c r="B3395" s="34">
        <v>290.02999999999997</v>
      </c>
      <c r="C3395" s="35">
        <v>20693.099999999999</v>
      </c>
      <c r="D3395" s="33" t="s">
        <v>236</v>
      </c>
      <c r="E3395" s="34">
        <v>290.18</v>
      </c>
      <c r="F3395" s="36">
        <v>0.150000000000034</v>
      </c>
      <c r="G3395" s="34">
        <v>0.150000000000034</v>
      </c>
      <c r="H3395" s="35">
        <v>359.2</v>
      </c>
      <c r="I3395" s="37">
        <f t="shared" si="53"/>
        <v>1.7358443152548433E-2</v>
      </c>
      <c r="J3395" s="33"/>
    </row>
    <row r="3396" spans="1:10">
      <c r="A3396" s="33" t="s">
        <v>85</v>
      </c>
      <c r="B3396" s="34">
        <v>290.02999999999997</v>
      </c>
      <c r="C3396" s="35">
        <v>20693.099999999999</v>
      </c>
      <c r="D3396" s="33" t="s">
        <v>97</v>
      </c>
      <c r="E3396" s="34">
        <v>290.19099999999997</v>
      </c>
      <c r="F3396" s="36">
        <v>0.161000000000001</v>
      </c>
      <c r="G3396" s="34">
        <v>0.161000000000001</v>
      </c>
      <c r="H3396" s="35">
        <v>5.5</v>
      </c>
      <c r="I3396" s="37">
        <f t="shared" si="53"/>
        <v>2.6578907945160464E-4</v>
      </c>
      <c r="J3396" s="33"/>
    </row>
    <row r="3397" spans="1:10">
      <c r="A3397" s="33" t="s">
        <v>85</v>
      </c>
      <c r="B3397" s="34">
        <v>290.02999999999997</v>
      </c>
      <c r="C3397" s="35">
        <v>20693.099999999999</v>
      </c>
      <c r="D3397" s="33" t="s">
        <v>290</v>
      </c>
      <c r="E3397" s="34">
        <v>290.19600000000003</v>
      </c>
      <c r="F3397" s="36">
        <v>0.16600000000005399</v>
      </c>
      <c r="G3397" s="34">
        <v>0.16600000000005399</v>
      </c>
      <c r="H3397" s="35">
        <v>36.9</v>
      </c>
      <c r="I3397" s="37">
        <f t="shared" si="53"/>
        <v>1.7832030966844022E-3</v>
      </c>
      <c r="J3397" s="33"/>
    </row>
    <row r="3398" spans="1:10">
      <c r="A3398" s="33" t="s">
        <v>85</v>
      </c>
      <c r="B3398" s="34">
        <v>290.02999999999997</v>
      </c>
      <c r="C3398" s="35">
        <v>20693.099999999999</v>
      </c>
      <c r="D3398" s="33" t="s">
        <v>268</v>
      </c>
      <c r="E3398" s="34">
        <v>290.209</v>
      </c>
      <c r="F3398" s="36">
        <v>0.179000000000031</v>
      </c>
      <c r="G3398" s="34">
        <v>0.179000000000031</v>
      </c>
      <c r="H3398" s="35">
        <v>68.400000000000006</v>
      </c>
      <c r="I3398" s="37">
        <f t="shared" si="53"/>
        <v>3.3054496426345018E-3</v>
      </c>
      <c r="J3398" s="33"/>
    </row>
    <row r="3399" spans="1:10">
      <c r="A3399" s="33" t="s">
        <v>85</v>
      </c>
      <c r="B3399" s="34">
        <v>290.02999999999997</v>
      </c>
      <c r="C3399" s="35">
        <v>20693.099999999999</v>
      </c>
      <c r="D3399" s="33" t="s">
        <v>240</v>
      </c>
      <c r="E3399" s="34">
        <v>290.22000000000003</v>
      </c>
      <c r="F3399" s="36">
        <v>0.19000000000005501</v>
      </c>
      <c r="G3399" s="34">
        <v>0.19000000000005501</v>
      </c>
      <c r="H3399" s="35">
        <v>5.7</v>
      </c>
      <c r="I3399" s="37">
        <f t="shared" si="53"/>
        <v>2.7545413688620849E-4</v>
      </c>
      <c r="J3399" s="33"/>
    </row>
    <row r="3400" spans="1:10">
      <c r="A3400" s="33" t="s">
        <v>85</v>
      </c>
      <c r="B3400" s="34">
        <v>290.02999999999997</v>
      </c>
      <c r="C3400" s="35">
        <v>20693.099999999999</v>
      </c>
      <c r="D3400" s="33" t="s">
        <v>277</v>
      </c>
      <c r="E3400" s="34">
        <v>290.24099999999999</v>
      </c>
      <c r="F3400" s="36">
        <v>0.21100000000001301</v>
      </c>
      <c r="G3400" s="34">
        <v>0.21100000000001301</v>
      </c>
      <c r="H3400" s="35">
        <v>99.8</v>
      </c>
      <c r="I3400" s="37">
        <f t="shared" si="53"/>
        <v>4.822863659867299E-3</v>
      </c>
      <c r="J3400" s="33"/>
    </row>
    <row r="3401" spans="1:10">
      <c r="A3401" s="33" t="s">
        <v>85</v>
      </c>
      <c r="B3401" s="34">
        <v>291.13900000000001</v>
      </c>
      <c r="C3401" s="35">
        <v>25808.2</v>
      </c>
      <c r="D3401" s="33" t="s">
        <v>269</v>
      </c>
      <c r="E3401" s="34">
        <v>290.99200000000002</v>
      </c>
      <c r="F3401" s="36">
        <v>0.146999999999991</v>
      </c>
      <c r="G3401" s="34">
        <v>0.146999999999991</v>
      </c>
      <c r="H3401" s="35">
        <v>615.5</v>
      </c>
      <c r="I3401" s="37">
        <f t="shared" si="53"/>
        <v>2.3849009229624692E-2</v>
      </c>
      <c r="J3401" s="33"/>
    </row>
    <row r="3402" spans="1:10">
      <c r="A3402" s="33" t="s">
        <v>85</v>
      </c>
      <c r="B3402" s="34">
        <v>291.13900000000001</v>
      </c>
      <c r="C3402" s="35">
        <v>25808.2</v>
      </c>
      <c r="D3402" s="33" t="s">
        <v>278</v>
      </c>
      <c r="E3402" s="34">
        <v>291.00099999999998</v>
      </c>
      <c r="F3402" s="36">
        <v>0.13800000000003401</v>
      </c>
      <c r="G3402" s="34">
        <v>0.13800000000003401</v>
      </c>
      <c r="H3402" s="35">
        <v>6250.2</v>
      </c>
      <c r="I3402" s="37">
        <f t="shared" si="53"/>
        <v>0.24217884238342852</v>
      </c>
      <c r="J3402" s="33"/>
    </row>
    <row r="3403" spans="1:10">
      <c r="A3403" s="33" t="s">
        <v>85</v>
      </c>
      <c r="B3403" s="34">
        <v>291.13900000000001</v>
      </c>
      <c r="C3403" s="35">
        <v>25808.2</v>
      </c>
      <c r="D3403" s="33" t="s">
        <v>282</v>
      </c>
      <c r="E3403" s="34">
        <v>291.01400000000001</v>
      </c>
      <c r="F3403" s="36">
        <v>0.125</v>
      </c>
      <c r="G3403" s="34">
        <v>0.125</v>
      </c>
      <c r="H3403" s="35">
        <v>222.4</v>
      </c>
      <c r="I3403" s="37">
        <f t="shared" si="53"/>
        <v>8.6174161700544784E-3</v>
      </c>
      <c r="J3403" s="33"/>
    </row>
    <row r="3404" spans="1:10">
      <c r="A3404" s="33" t="s">
        <v>85</v>
      </c>
      <c r="B3404" s="34">
        <v>291.13900000000001</v>
      </c>
      <c r="C3404" s="35">
        <v>25808.2</v>
      </c>
      <c r="D3404" s="33" t="s">
        <v>236</v>
      </c>
      <c r="E3404" s="34">
        <v>291.024</v>
      </c>
      <c r="F3404" s="36">
        <v>0.115000000000009</v>
      </c>
      <c r="G3404" s="34">
        <v>0.115000000000009</v>
      </c>
      <c r="H3404" s="35">
        <v>313.2</v>
      </c>
      <c r="I3404" s="37">
        <f t="shared" si="53"/>
        <v>1.2135677807828519E-2</v>
      </c>
      <c r="J3404" s="33"/>
    </row>
    <row r="3405" spans="1:10">
      <c r="A3405" s="33" t="s">
        <v>85</v>
      </c>
      <c r="B3405" s="34">
        <v>291.13900000000001</v>
      </c>
      <c r="C3405" s="35">
        <v>25808.2</v>
      </c>
      <c r="D3405" s="33" t="s">
        <v>270</v>
      </c>
      <c r="E3405" s="34">
        <v>291.02800000000002</v>
      </c>
      <c r="F3405" s="36">
        <v>0.11099999999999</v>
      </c>
      <c r="G3405" s="34">
        <v>0.11099999999999</v>
      </c>
      <c r="H3405" s="35">
        <v>113.4</v>
      </c>
      <c r="I3405" s="37">
        <f t="shared" si="53"/>
        <v>4.3939523097310156E-3</v>
      </c>
      <c r="J3405" s="33"/>
    </row>
    <row r="3406" spans="1:10">
      <c r="A3406" s="33" t="s">
        <v>85</v>
      </c>
      <c r="B3406" s="34">
        <v>291.13900000000001</v>
      </c>
      <c r="C3406" s="35">
        <v>25808.2</v>
      </c>
      <c r="D3406" s="33" t="s">
        <v>201</v>
      </c>
      <c r="E3406" s="34">
        <v>291.02999999999997</v>
      </c>
      <c r="F3406" s="36">
        <v>0.109000000000037</v>
      </c>
      <c r="G3406" s="34">
        <v>0.109000000000037</v>
      </c>
      <c r="H3406" s="35">
        <v>174.4</v>
      </c>
      <c r="I3406" s="37">
        <f t="shared" si="53"/>
        <v>6.7575421765175411E-3</v>
      </c>
      <c r="J3406" s="33"/>
    </row>
    <row r="3407" spans="1:10">
      <c r="A3407" s="33" t="s">
        <v>85</v>
      </c>
      <c r="B3407" s="34">
        <v>291.13900000000001</v>
      </c>
      <c r="C3407" s="35">
        <v>25808.2</v>
      </c>
      <c r="D3407" s="33" t="s">
        <v>84</v>
      </c>
      <c r="E3407" s="34">
        <v>291.036</v>
      </c>
      <c r="F3407" s="36">
        <v>0.10299999999999999</v>
      </c>
      <c r="G3407" s="34">
        <v>0.10299999999999999</v>
      </c>
      <c r="H3407" s="35">
        <v>5866.7</v>
      </c>
      <c r="I3407" s="37">
        <f t="shared" si="53"/>
        <v>0.22731922412256569</v>
      </c>
      <c r="J3407" s="33" t="s">
        <v>116</v>
      </c>
    </row>
    <row r="3408" spans="1:10">
      <c r="A3408" s="33" t="s">
        <v>85</v>
      </c>
      <c r="B3408" s="34">
        <v>291.13900000000001</v>
      </c>
      <c r="C3408" s="35">
        <v>25808.2</v>
      </c>
      <c r="D3408" s="33" t="s">
        <v>278</v>
      </c>
      <c r="E3408" s="34">
        <v>291.03699999999998</v>
      </c>
      <c r="F3408" s="36">
        <v>0.102000000000032</v>
      </c>
      <c r="G3408" s="34">
        <v>0.102000000000032</v>
      </c>
      <c r="H3408" s="35">
        <v>4757.7</v>
      </c>
      <c r="I3408" s="37">
        <f t="shared" si="53"/>
        <v>0.18434838539688936</v>
      </c>
      <c r="J3408" s="33"/>
    </row>
    <row r="3409" spans="1:10">
      <c r="A3409" s="33" t="s">
        <v>85</v>
      </c>
      <c r="B3409" s="34">
        <v>291.13900000000001</v>
      </c>
      <c r="C3409" s="35">
        <v>25808.2</v>
      </c>
      <c r="D3409" s="33" t="s">
        <v>274</v>
      </c>
      <c r="E3409" s="34">
        <v>291.048</v>
      </c>
      <c r="F3409" s="36">
        <v>9.1000000000008199E-2</v>
      </c>
      <c r="G3409" s="34">
        <v>9.1000000000008199E-2</v>
      </c>
      <c r="H3409" s="35">
        <v>39.200000000000003</v>
      </c>
      <c r="I3409" s="37">
        <f t="shared" si="53"/>
        <v>1.5188970947218328E-3</v>
      </c>
      <c r="J3409" s="33"/>
    </row>
    <row r="3410" spans="1:10">
      <c r="A3410" s="33" t="s">
        <v>85</v>
      </c>
      <c r="B3410" s="34">
        <v>291.13900000000001</v>
      </c>
      <c r="C3410" s="35">
        <v>25808.2</v>
      </c>
      <c r="D3410" s="33" t="s">
        <v>36</v>
      </c>
      <c r="E3410" s="34">
        <v>291.05200000000002</v>
      </c>
      <c r="F3410" s="36">
        <v>8.6999999999999994E-2</v>
      </c>
      <c r="G3410" s="34">
        <v>8.6999999999999994E-2</v>
      </c>
      <c r="H3410" s="35">
        <v>308.60000000000002</v>
      </c>
      <c r="I3410" s="37">
        <f t="shared" si="53"/>
        <v>1.1957439883447897E-2</v>
      </c>
      <c r="J3410" s="33" t="s">
        <v>116</v>
      </c>
    </row>
    <row r="3411" spans="1:10">
      <c r="A3411" s="33" t="s">
        <v>85</v>
      </c>
      <c r="B3411" s="34">
        <v>291.13900000000001</v>
      </c>
      <c r="C3411" s="35">
        <v>25808.2</v>
      </c>
      <c r="D3411" s="33" t="s">
        <v>273</v>
      </c>
      <c r="E3411" s="34">
        <v>291.05799999999999</v>
      </c>
      <c r="F3411" s="36">
        <v>8.1000000000017294E-2</v>
      </c>
      <c r="G3411" s="34">
        <v>8.1000000000017294E-2</v>
      </c>
      <c r="H3411" s="35">
        <v>4190.6000000000004</v>
      </c>
      <c r="I3411" s="37">
        <f t="shared" si="53"/>
        <v>0.16237474911074776</v>
      </c>
      <c r="J3411" s="33"/>
    </row>
    <row r="3412" spans="1:10">
      <c r="A3412" s="33" t="s">
        <v>85</v>
      </c>
      <c r="B3412" s="34">
        <v>291.13900000000001</v>
      </c>
      <c r="C3412" s="35">
        <v>25808.2</v>
      </c>
      <c r="D3412" s="33" t="s">
        <v>271</v>
      </c>
      <c r="E3412" s="34">
        <v>291.05900000000003</v>
      </c>
      <c r="F3412" s="36">
        <v>7.9999999999984098E-2</v>
      </c>
      <c r="G3412" s="34">
        <v>7.9999999999984098E-2</v>
      </c>
      <c r="H3412" s="35">
        <v>685</v>
      </c>
      <c r="I3412" s="37">
        <f t="shared" si="53"/>
        <v>2.6541951782766717E-2</v>
      </c>
      <c r="J3412" s="33"/>
    </row>
    <row r="3413" spans="1:10">
      <c r="A3413" s="33" t="s">
        <v>85</v>
      </c>
      <c r="B3413" s="34">
        <v>291.13900000000001</v>
      </c>
      <c r="C3413" s="35">
        <v>25808.2</v>
      </c>
      <c r="D3413" s="33" t="s">
        <v>239</v>
      </c>
      <c r="E3413" s="34">
        <v>291.065</v>
      </c>
      <c r="F3413" s="36">
        <v>7.4000000000012306E-2</v>
      </c>
      <c r="G3413" s="34">
        <v>7.4000000000012306E-2</v>
      </c>
      <c r="H3413" s="35">
        <v>39.200000000000003</v>
      </c>
      <c r="I3413" s="37">
        <f t="shared" si="53"/>
        <v>1.5188970947218328E-3</v>
      </c>
      <c r="J3413" s="33"/>
    </row>
    <row r="3414" spans="1:10">
      <c r="A3414" s="33" t="s">
        <v>85</v>
      </c>
      <c r="B3414" s="34">
        <v>291.13900000000001</v>
      </c>
      <c r="C3414" s="35">
        <v>25808.2</v>
      </c>
      <c r="D3414" s="33" t="s">
        <v>277</v>
      </c>
      <c r="E3414" s="34">
        <v>291.08199999999999</v>
      </c>
      <c r="F3414" s="36">
        <v>5.7000000000016399E-2</v>
      </c>
      <c r="G3414" s="34">
        <v>5.7000000000016399E-2</v>
      </c>
      <c r="H3414" s="35">
        <v>65.7</v>
      </c>
      <c r="I3414" s="37">
        <f t="shared" si="53"/>
        <v>2.5457025286536837E-3</v>
      </c>
      <c r="J3414" s="33"/>
    </row>
    <row r="3415" spans="1:10">
      <c r="A3415" s="33" t="s">
        <v>85</v>
      </c>
      <c r="B3415" s="34">
        <v>291.13900000000001</v>
      </c>
      <c r="C3415" s="35">
        <v>25808.2</v>
      </c>
      <c r="D3415" s="33" t="s">
        <v>239</v>
      </c>
      <c r="E3415" s="34">
        <v>291.08999999999997</v>
      </c>
      <c r="F3415" s="36">
        <v>4.9000000000035002E-2</v>
      </c>
      <c r="G3415" s="34">
        <v>4.9000000000035002E-2</v>
      </c>
      <c r="H3415" s="35">
        <v>58</v>
      </c>
      <c r="I3415" s="37">
        <f t="shared" si="53"/>
        <v>2.2473477421904664E-3</v>
      </c>
      <c r="J3415" s="33"/>
    </row>
    <row r="3416" spans="1:10">
      <c r="A3416" s="33" t="s">
        <v>85</v>
      </c>
      <c r="B3416" s="34">
        <v>291.13900000000001</v>
      </c>
      <c r="C3416" s="35">
        <v>25808.2</v>
      </c>
      <c r="D3416" s="33" t="s">
        <v>274</v>
      </c>
      <c r="E3416" s="34">
        <v>291.10000000000002</v>
      </c>
      <c r="F3416" s="36">
        <v>3.8999999999987302E-2</v>
      </c>
      <c r="G3416" s="34">
        <v>3.8999999999987302E-2</v>
      </c>
      <c r="H3416" s="35">
        <v>28.1</v>
      </c>
      <c r="I3416" s="37">
        <f t="shared" si="53"/>
        <v>1.0888012337164157E-3</v>
      </c>
      <c r="J3416" s="33"/>
    </row>
    <row r="3417" spans="1:10">
      <c r="A3417" s="33" t="s">
        <v>85</v>
      </c>
      <c r="B3417" s="34">
        <v>291.13900000000001</v>
      </c>
      <c r="C3417" s="35">
        <v>25808.2</v>
      </c>
      <c r="D3417" s="33" t="s">
        <v>278</v>
      </c>
      <c r="E3417" s="34">
        <v>291.10500000000002</v>
      </c>
      <c r="F3417" s="36">
        <v>3.3999999999991801E-2</v>
      </c>
      <c r="G3417" s="34">
        <v>3.3999999999991801E-2</v>
      </c>
      <c r="H3417" s="35">
        <v>4408.3</v>
      </c>
      <c r="I3417" s="37">
        <f t="shared" si="53"/>
        <v>0.17081005261893506</v>
      </c>
      <c r="J3417" s="33"/>
    </row>
    <row r="3418" spans="1:10">
      <c r="A3418" s="33" t="s">
        <v>85</v>
      </c>
      <c r="B3418" s="34">
        <v>291.13900000000001</v>
      </c>
      <c r="C3418" s="35">
        <v>25808.2</v>
      </c>
      <c r="D3418" s="33" t="s">
        <v>84</v>
      </c>
      <c r="E3418" s="34">
        <v>291.10700000000003</v>
      </c>
      <c r="F3418" s="36">
        <v>3.2000000000000001E-2</v>
      </c>
      <c r="G3418" s="34">
        <v>3.2000000000000001E-2</v>
      </c>
      <c r="H3418" s="35">
        <v>130</v>
      </c>
      <c r="I3418" s="37">
        <f t="shared" si="53"/>
        <v>5.0371587324958729E-3</v>
      </c>
      <c r="J3418" s="33" t="s">
        <v>116</v>
      </c>
    </row>
    <row r="3419" spans="1:10">
      <c r="A3419" s="33" t="s">
        <v>85</v>
      </c>
      <c r="B3419" s="34">
        <v>291.13900000000001</v>
      </c>
      <c r="C3419" s="35">
        <v>25808.2</v>
      </c>
      <c r="D3419" s="33" t="s">
        <v>271</v>
      </c>
      <c r="E3419" s="34">
        <v>291.13200000000001</v>
      </c>
      <c r="F3419" s="36">
        <v>7.0000000000049996E-3</v>
      </c>
      <c r="G3419" s="34">
        <v>7.0000000000049996E-3</v>
      </c>
      <c r="H3419" s="35">
        <v>199.1</v>
      </c>
      <c r="I3419" s="37">
        <f t="shared" si="53"/>
        <v>7.7146023356917566E-3</v>
      </c>
      <c r="J3419" s="33"/>
    </row>
    <row r="3420" spans="1:10">
      <c r="A3420" s="33" t="s">
        <v>85</v>
      </c>
      <c r="B3420" s="34">
        <v>291.13900000000001</v>
      </c>
      <c r="C3420" s="35">
        <v>25808.2</v>
      </c>
      <c r="D3420" s="33" t="s">
        <v>63</v>
      </c>
      <c r="E3420" s="34">
        <v>291.15300000000002</v>
      </c>
      <c r="F3420" s="36">
        <v>1.4E-2</v>
      </c>
      <c r="G3420" s="34">
        <v>1.4E-2</v>
      </c>
      <c r="H3420" s="35">
        <v>221.8</v>
      </c>
      <c r="I3420" s="37">
        <f t="shared" si="53"/>
        <v>8.5941677451352675E-3</v>
      </c>
      <c r="J3420" s="33" t="s">
        <v>116</v>
      </c>
    </row>
    <row r="3421" spans="1:10">
      <c r="A3421" s="33" t="s">
        <v>85</v>
      </c>
      <c r="B3421" s="34">
        <v>291.13900000000001</v>
      </c>
      <c r="C3421" s="35">
        <v>25808.2</v>
      </c>
      <c r="D3421" s="33" t="s">
        <v>277</v>
      </c>
      <c r="E3421" s="34">
        <v>291.15499999999997</v>
      </c>
      <c r="F3421" s="36">
        <v>1.59999999999627E-2</v>
      </c>
      <c r="G3421" s="34">
        <v>1.59999999999627E-2</v>
      </c>
      <c r="H3421" s="35">
        <v>57.6</v>
      </c>
      <c r="I3421" s="37">
        <f t="shared" si="53"/>
        <v>2.2318487922443255E-3</v>
      </c>
      <c r="J3421" s="33"/>
    </row>
    <row r="3422" spans="1:10">
      <c r="A3422" s="33" t="s">
        <v>85</v>
      </c>
      <c r="B3422" s="34">
        <v>291.13900000000001</v>
      </c>
      <c r="C3422" s="35">
        <v>25808.2</v>
      </c>
      <c r="D3422" s="33" t="s">
        <v>278</v>
      </c>
      <c r="E3422" s="34">
        <v>291.16500000000002</v>
      </c>
      <c r="F3422" s="36">
        <v>2.6000000000010501E-2</v>
      </c>
      <c r="G3422" s="34">
        <v>2.6000000000010501E-2</v>
      </c>
      <c r="H3422" s="35">
        <v>67.8</v>
      </c>
      <c r="I3422" s="37">
        <f t="shared" si="53"/>
        <v>2.6270720158709246E-3</v>
      </c>
      <c r="J3422" s="33"/>
    </row>
    <row r="3423" spans="1:10">
      <c r="A3423" s="33" t="s">
        <v>85</v>
      </c>
      <c r="B3423" s="34">
        <v>291.13900000000001</v>
      </c>
      <c r="C3423" s="35">
        <v>25808.2</v>
      </c>
      <c r="D3423" s="33" t="s">
        <v>239</v>
      </c>
      <c r="E3423" s="34">
        <v>291.16800000000001</v>
      </c>
      <c r="F3423" s="36">
        <v>2.89999999999964E-2</v>
      </c>
      <c r="G3423" s="34">
        <v>2.89999999999964E-2</v>
      </c>
      <c r="H3423" s="35">
        <v>102.6</v>
      </c>
      <c r="I3423" s="37">
        <f t="shared" si="53"/>
        <v>3.9754806611852047E-3</v>
      </c>
      <c r="J3423" s="33"/>
    </row>
    <row r="3424" spans="1:10">
      <c r="A3424" s="33" t="s">
        <v>85</v>
      </c>
      <c r="B3424" s="34">
        <v>291.13900000000001</v>
      </c>
      <c r="C3424" s="35">
        <v>25808.2</v>
      </c>
      <c r="D3424" s="33" t="s">
        <v>273</v>
      </c>
      <c r="E3424" s="34">
        <v>291.17399999999998</v>
      </c>
      <c r="F3424" s="36">
        <v>3.4999999999968202E-2</v>
      </c>
      <c r="G3424" s="34">
        <v>3.4999999999968202E-2</v>
      </c>
      <c r="H3424" s="35">
        <v>3245.3</v>
      </c>
      <c r="I3424" s="37">
        <f t="shared" si="53"/>
        <v>0.12574685565052968</v>
      </c>
      <c r="J3424" s="33"/>
    </row>
    <row r="3425" spans="1:10">
      <c r="A3425" s="33" t="s">
        <v>85</v>
      </c>
      <c r="B3425" s="34">
        <v>291.13900000000001</v>
      </c>
      <c r="C3425" s="35">
        <v>25808.2</v>
      </c>
      <c r="D3425" s="33" t="s">
        <v>275</v>
      </c>
      <c r="E3425" s="34">
        <v>291.19099999999997</v>
      </c>
      <c r="F3425" s="36">
        <v>5.1999999999964103E-2</v>
      </c>
      <c r="G3425" s="34">
        <v>5.1999999999964103E-2</v>
      </c>
      <c r="H3425" s="35">
        <v>2856.9</v>
      </c>
      <c r="I3425" s="37">
        <f t="shared" si="53"/>
        <v>0.11069737525282662</v>
      </c>
      <c r="J3425" s="33"/>
    </row>
    <row r="3426" spans="1:10">
      <c r="A3426" s="33" t="s">
        <v>85</v>
      </c>
      <c r="B3426" s="34">
        <v>291.13900000000001</v>
      </c>
      <c r="C3426" s="35">
        <v>25808.2</v>
      </c>
      <c r="D3426" s="33" t="s">
        <v>271</v>
      </c>
      <c r="E3426" s="34">
        <v>291.20100000000002</v>
      </c>
      <c r="F3426" s="36">
        <v>6.2000000000011803E-2</v>
      </c>
      <c r="G3426" s="34">
        <v>6.2000000000011803E-2</v>
      </c>
      <c r="H3426" s="35">
        <v>242.6</v>
      </c>
      <c r="I3426" s="37">
        <f t="shared" si="53"/>
        <v>9.4001131423346058E-3</v>
      </c>
      <c r="J3426" s="33"/>
    </row>
    <row r="3427" spans="1:10">
      <c r="A3427" s="33" t="s">
        <v>85</v>
      </c>
      <c r="B3427" s="34">
        <v>291.13900000000001</v>
      </c>
      <c r="C3427" s="35">
        <v>25808.2</v>
      </c>
      <c r="D3427" s="33" t="s">
        <v>237</v>
      </c>
      <c r="E3427" s="34">
        <v>291.20600000000002</v>
      </c>
      <c r="F3427" s="36">
        <v>6.7000000000007304E-2</v>
      </c>
      <c r="G3427" s="34">
        <v>6.7000000000007304E-2</v>
      </c>
      <c r="H3427" s="35">
        <v>101.4</v>
      </c>
      <c r="I3427" s="37">
        <f t="shared" si="53"/>
        <v>3.928983811346781E-3</v>
      </c>
      <c r="J3427" s="33"/>
    </row>
    <row r="3428" spans="1:10">
      <c r="A3428" s="33" t="s">
        <v>85</v>
      </c>
      <c r="B3428" s="34">
        <v>291.13900000000001</v>
      </c>
      <c r="C3428" s="35">
        <v>25808.2</v>
      </c>
      <c r="D3428" s="33" t="s">
        <v>63</v>
      </c>
      <c r="E3428" s="34">
        <v>291.20699999999999</v>
      </c>
      <c r="F3428" s="36">
        <v>6.8000000000000005E-2</v>
      </c>
      <c r="G3428" s="34">
        <v>6.8000000000000005E-2</v>
      </c>
      <c r="H3428" s="35">
        <v>36.4</v>
      </c>
      <c r="I3428" s="37">
        <f t="shared" si="53"/>
        <v>1.4104044450988444E-3</v>
      </c>
      <c r="J3428" s="33" t="s">
        <v>116</v>
      </c>
    </row>
    <row r="3429" spans="1:10">
      <c r="A3429" s="33" t="s">
        <v>85</v>
      </c>
      <c r="B3429" s="34">
        <v>291.13900000000001</v>
      </c>
      <c r="C3429" s="35">
        <v>25808.2</v>
      </c>
      <c r="D3429" s="33" t="s">
        <v>97</v>
      </c>
      <c r="E3429" s="34">
        <v>291.21600000000001</v>
      </c>
      <c r="F3429" s="36">
        <v>7.6999999999998195E-2</v>
      </c>
      <c r="G3429" s="34">
        <v>7.6999999999998195E-2</v>
      </c>
      <c r="H3429" s="35">
        <v>29</v>
      </c>
      <c r="I3429" s="37">
        <f t="shared" si="53"/>
        <v>1.1236738710952332E-3</v>
      </c>
      <c r="J3429" s="33"/>
    </row>
    <row r="3430" spans="1:10">
      <c r="A3430" s="33" t="s">
        <v>85</v>
      </c>
      <c r="B3430" s="34">
        <v>291.13900000000001</v>
      </c>
      <c r="C3430" s="35">
        <v>25808.2</v>
      </c>
      <c r="D3430" s="33" t="s">
        <v>294</v>
      </c>
      <c r="E3430" s="34">
        <v>291.22500000000002</v>
      </c>
      <c r="F3430" s="36">
        <v>8.6000000000012705E-2</v>
      </c>
      <c r="G3430" s="34">
        <v>8.6000000000012705E-2</v>
      </c>
      <c r="H3430" s="35">
        <v>20.7</v>
      </c>
      <c r="I3430" s="37">
        <f t="shared" si="53"/>
        <v>8.0207065971280446E-4</v>
      </c>
      <c r="J3430" s="33"/>
    </row>
    <row r="3431" spans="1:10">
      <c r="A3431" s="33" t="s">
        <v>85</v>
      </c>
      <c r="B3431" s="34">
        <v>291.13900000000001</v>
      </c>
      <c r="C3431" s="35">
        <v>25808.2</v>
      </c>
      <c r="D3431" s="33" t="s">
        <v>284</v>
      </c>
      <c r="E3431" s="34">
        <v>291.233</v>
      </c>
      <c r="F3431" s="36">
        <v>9.3999999999994102E-2</v>
      </c>
      <c r="G3431" s="34">
        <v>9.3999999999994102E-2</v>
      </c>
      <c r="H3431" s="35">
        <v>9.6</v>
      </c>
      <c r="I3431" s="37">
        <f t="shared" si="53"/>
        <v>3.7197479870738757E-4</v>
      </c>
      <c r="J3431" s="33"/>
    </row>
    <row r="3432" spans="1:10">
      <c r="A3432" s="33" t="s">
        <v>85</v>
      </c>
      <c r="B3432" s="34">
        <v>291.13900000000001</v>
      </c>
      <c r="C3432" s="35">
        <v>25808.2</v>
      </c>
      <c r="D3432" s="33" t="s">
        <v>278</v>
      </c>
      <c r="E3432" s="34">
        <v>291.24599999999998</v>
      </c>
      <c r="F3432" s="36">
        <v>0.10699999999997099</v>
      </c>
      <c r="G3432" s="34">
        <v>0.10699999999997099</v>
      </c>
      <c r="H3432" s="35">
        <v>38</v>
      </c>
      <c r="I3432" s="37">
        <f t="shared" si="53"/>
        <v>1.4724002448834091E-3</v>
      </c>
      <c r="J3432" s="33"/>
    </row>
    <row r="3433" spans="1:10">
      <c r="A3433" s="33" t="s">
        <v>85</v>
      </c>
      <c r="B3433" s="34">
        <v>291.13900000000001</v>
      </c>
      <c r="C3433" s="35">
        <v>25808.2</v>
      </c>
      <c r="D3433" s="33" t="s">
        <v>277</v>
      </c>
      <c r="E3433" s="34">
        <v>291.25799999999998</v>
      </c>
      <c r="F3433" s="36">
        <v>0.118999999999971</v>
      </c>
      <c r="G3433" s="34">
        <v>0.118999999999971</v>
      </c>
      <c r="H3433" s="35">
        <v>70.099999999999994</v>
      </c>
      <c r="I3433" s="37">
        <f t="shared" si="53"/>
        <v>2.716190978061236E-3</v>
      </c>
      <c r="J3433" s="33"/>
    </row>
    <row r="3434" spans="1:10">
      <c r="A3434" s="33" t="s">
        <v>85</v>
      </c>
      <c r="B3434" s="34">
        <v>291.13900000000001</v>
      </c>
      <c r="C3434" s="35">
        <v>25808.2</v>
      </c>
      <c r="D3434" s="33" t="s">
        <v>282</v>
      </c>
      <c r="E3434" s="34">
        <v>291.262</v>
      </c>
      <c r="F3434" s="36">
        <v>0.12299999999999101</v>
      </c>
      <c r="G3434" s="34">
        <v>0.12299999999999101</v>
      </c>
      <c r="H3434" s="35">
        <v>3.8</v>
      </c>
      <c r="I3434" s="37">
        <f t="shared" si="53"/>
        <v>1.4724002448834091E-4</v>
      </c>
      <c r="J3434" s="33"/>
    </row>
    <row r="3435" spans="1:10">
      <c r="A3435" s="33" t="s">
        <v>85</v>
      </c>
      <c r="B3435" s="34">
        <v>291.13900000000001</v>
      </c>
      <c r="C3435" s="35">
        <v>25808.2</v>
      </c>
      <c r="D3435" s="33" t="s">
        <v>271</v>
      </c>
      <c r="E3435" s="34">
        <v>291.27600000000001</v>
      </c>
      <c r="F3435" s="36">
        <v>0.13700000000000101</v>
      </c>
      <c r="G3435" s="34">
        <v>0.13700000000000101</v>
      </c>
      <c r="H3435" s="35">
        <v>227.9</v>
      </c>
      <c r="I3435" s="37">
        <f t="shared" si="53"/>
        <v>8.8305267318139202E-3</v>
      </c>
      <c r="J3435" s="33"/>
    </row>
    <row r="3436" spans="1:10">
      <c r="A3436" s="33" t="s">
        <v>85</v>
      </c>
      <c r="B3436" s="34">
        <v>291.13900000000001</v>
      </c>
      <c r="C3436" s="35">
        <v>25808.2</v>
      </c>
      <c r="D3436" s="33" t="s">
        <v>201</v>
      </c>
      <c r="E3436" s="34">
        <v>291.28699999999998</v>
      </c>
      <c r="F3436" s="36">
        <v>0.14799999999996799</v>
      </c>
      <c r="G3436" s="34">
        <v>0.14799999999996799</v>
      </c>
      <c r="H3436" s="35">
        <v>36.4</v>
      </c>
      <c r="I3436" s="37">
        <f t="shared" si="53"/>
        <v>1.4104044450988444E-3</v>
      </c>
      <c r="J3436" s="33"/>
    </row>
    <row r="3437" spans="1:10">
      <c r="A3437" s="33" t="s">
        <v>85</v>
      </c>
      <c r="B3437" s="34">
        <v>291.13900000000001</v>
      </c>
      <c r="C3437" s="35">
        <v>25808.2</v>
      </c>
      <c r="D3437" s="33" t="s">
        <v>184</v>
      </c>
      <c r="E3437" s="34">
        <v>291.298</v>
      </c>
      <c r="F3437" s="36">
        <v>0.15899999999999201</v>
      </c>
      <c r="G3437" s="34">
        <v>0.15899999999999201</v>
      </c>
      <c r="H3437" s="35">
        <v>103.5</v>
      </c>
      <c r="I3437" s="37">
        <f t="shared" si="53"/>
        <v>4.010353298564022E-3</v>
      </c>
      <c r="J3437" s="33"/>
    </row>
    <row r="3438" spans="1:10">
      <c r="A3438" s="33" t="s">
        <v>85</v>
      </c>
      <c r="B3438" s="34">
        <v>291.13900000000001</v>
      </c>
      <c r="C3438" s="35">
        <v>25808.2</v>
      </c>
      <c r="D3438" s="33" t="s">
        <v>36</v>
      </c>
      <c r="E3438" s="34">
        <v>291.30799999999999</v>
      </c>
      <c r="F3438" s="36">
        <v>0.16900000000000001</v>
      </c>
      <c r="G3438" s="34">
        <v>0.16900000000000001</v>
      </c>
      <c r="H3438" s="35">
        <v>61.6</v>
      </c>
      <c r="I3438" s="37">
        <f t="shared" si="53"/>
        <v>2.3868382917057369E-3</v>
      </c>
      <c r="J3438" s="33" t="s">
        <v>116</v>
      </c>
    </row>
    <row r="3439" spans="1:10">
      <c r="A3439" s="33" t="s">
        <v>85</v>
      </c>
      <c r="B3439" s="34">
        <v>291.13900000000001</v>
      </c>
      <c r="C3439" s="35">
        <v>25808.2</v>
      </c>
      <c r="D3439" s="33" t="s">
        <v>240</v>
      </c>
      <c r="E3439" s="34">
        <v>291.31299999999999</v>
      </c>
      <c r="F3439" s="36">
        <v>0.17399999999997801</v>
      </c>
      <c r="G3439" s="34">
        <v>0.17399999999997801</v>
      </c>
      <c r="H3439" s="35">
        <v>3.7</v>
      </c>
      <c r="I3439" s="37">
        <f t="shared" si="53"/>
        <v>1.4336528700180563E-4</v>
      </c>
      <c r="J3439" s="33"/>
    </row>
    <row r="3440" spans="1:10">
      <c r="A3440" s="33" t="s">
        <v>85</v>
      </c>
      <c r="B3440" s="34">
        <v>307.76</v>
      </c>
      <c r="C3440" s="35">
        <v>71870.399999999994</v>
      </c>
      <c r="D3440" s="33" t="s">
        <v>84</v>
      </c>
      <c r="E3440" s="34">
        <v>307.38900000000001</v>
      </c>
      <c r="F3440" s="36">
        <v>0.371</v>
      </c>
      <c r="G3440" s="34">
        <v>0.371</v>
      </c>
      <c r="H3440" s="35">
        <v>1676.3</v>
      </c>
      <c r="I3440" s="37">
        <f t="shared" si="53"/>
        <v>2.332392751396959E-2</v>
      </c>
      <c r="J3440" s="33" t="s">
        <v>116</v>
      </c>
    </row>
    <row r="3441" spans="1:10">
      <c r="A3441" s="33" t="s">
        <v>85</v>
      </c>
      <c r="B3441" s="34">
        <v>307.76</v>
      </c>
      <c r="C3441" s="35">
        <v>71870.399999999994</v>
      </c>
      <c r="D3441" s="33" t="s">
        <v>25</v>
      </c>
      <c r="E3441" s="34">
        <v>307.625</v>
      </c>
      <c r="F3441" s="36">
        <v>0.13499999999999099</v>
      </c>
      <c r="G3441" s="34">
        <v>0.13499999999999099</v>
      </c>
      <c r="H3441" s="35">
        <v>146.1</v>
      </c>
      <c r="I3441" s="37">
        <f t="shared" si="53"/>
        <v>2.0328257530221067E-3</v>
      </c>
      <c r="J3441" s="33" t="s">
        <v>116</v>
      </c>
    </row>
    <row r="3442" spans="1:10">
      <c r="A3442" s="33" t="s">
        <v>85</v>
      </c>
      <c r="B3442" s="34">
        <v>307.76</v>
      </c>
      <c r="C3442" s="35">
        <v>71870.399999999994</v>
      </c>
      <c r="D3442" s="33" t="s">
        <v>193</v>
      </c>
      <c r="E3442" s="34">
        <v>307.63799999999998</v>
      </c>
      <c r="F3442" s="36">
        <v>0.122000000000014</v>
      </c>
      <c r="G3442" s="34">
        <v>0.122000000000014</v>
      </c>
      <c r="H3442" s="35">
        <v>74.400000000000006</v>
      </c>
      <c r="I3442" s="37">
        <f t="shared" si="53"/>
        <v>1.0351966873706005E-3</v>
      </c>
      <c r="J3442" s="33"/>
    </row>
    <row r="3443" spans="1:10">
      <c r="A3443" s="33" t="s">
        <v>85</v>
      </c>
      <c r="B3443" s="34">
        <v>307.76</v>
      </c>
      <c r="C3443" s="35">
        <v>71870.399999999994</v>
      </c>
      <c r="D3443" s="33" t="s">
        <v>97</v>
      </c>
      <c r="E3443" s="34">
        <v>307.64299999999997</v>
      </c>
      <c r="F3443" s="36">
        <v>0.11700000000001901</v>
      </c>
      <c r="G3443" s="34">
        <v>0.11700000000001901</v>
      </c>
      <c r="H3443" s="35">
        <v>2.6</v>
      </c>
      <c r="I3443" s="37">
        <f t="shared" si="53"/>
        <v>3.6176228322090876E-5</v>
      </c>
      <c r="J3443" s="33"/>
    </row>
    <row r="3444" spans="1:10">
      <c r="A3444" s="33" t="s">
        <v>85</v>
      </c>
      <c r="B3444" s="34">
        <v>307.76</v>
      </c>
      <c r="C3444" s="35">
        <v>71870.399999999994</v>
      </c>
      <c r="D3444" s="33" t="s">
        <v>303</v>
      </c>
      <c r="E3444" s="34">
        <v>307.66300000000001</v>
      </c>
      <c r="F3444" s="36">
        <v>9.6999999999980005E-2</v>
      </c>
      <c r="G3444" s="34">
        <v>9.6999999999980005E-2</v>
      </c>
      <c r="H3444" s="35">
        <v>22.9</v>
      </c>
      <c r="I3444" s="37">
        <f t="shared" si="53"/>
        <v>3.1862908791380039E-4</v>
      </c>
      <c r="J3444" s="33"/>
    </row>
    <row r="3445" spans="1:10">
      <c r="A3445" s="33" t="s">
        <v>85</v>
      </c>
      <c r="B3445" s="34">
        <v>307.76</v>
      </c>
      <c r="C3445" s="35">
        <v>71870.399999999994</v>
      </c>
      <c r="D3445" s="33" t="s">
        <v>290</v>
      </c>
      <c r="E3445" s="34">
        <v>307.66800000000001</v>
      </c>
      <c r="F3445" s="36">
        <v>9.1999999999984497E-2</v>
      </c>
      <c r="G3445" s="34">
        <v>9.1999999999984497E-2</v>
      </c>
      <c r="H3445" s="35">
        <v>37</v>
      </c>
      <c r="I3445" s="37">
        <f t="shared" si="53"/>
        <v>5.1481555689129324E-4</v>
      </c>
      <c r="J3445" s="33"/>
    </row>
    <row r="3446" spans="1:10">
      <c r="A3446" s="33" t="s">
        <v>85</v>
      </c>
      <c r="B3446" s="34">
        <v>307.76</v>
      </c>
      <c r="C3446" s="35">
        <v>71870.399999999994</v>
      </c>
      <c r="D3446" s="33" t="s">
        <v>278</v>
      </c>
      <c r="E3446" s="34">
        <v>307.66899999999998</v>
      </c>
      <c r="F3446" s="36">
        <v>9.1000000000008199E-2</v>
      </c>
      <c r="G3446" s="34">
        <v>9.1000000000008199E-2</v>
      </c>
      <c r="H3446" s="35">
        <v>12.9</v>
      </c>
      <c r="I3446" s="37">
        <f t="shared" si="53"/>
        <v>1.794897482134509E-4</v>
      </c>
      <c r="J3446" s="33"/>
    </row>
    <row r="3447" spans="1:10">
      <c r="A3447" s="33" t="s">
        <v>85</v>
      </c>
      <c r="B3447" s="34">
        <v>307.76</v>
      </c>
      <c r="C3447" s="35">
        <v>71870.399999999994</v>
      </c>
      <c r="D3447" s="33" t="s">
        <v>273</v>
      </c>
      <c r="E3447" s="34">
        <v>307.68599999999998</v>
      </c>
      <c r="F3447" s="36">
        <v>7.4000000000012306E-2</v>
      </c>
      <c r="G3447" s="34">
        <v>7.4000000000012306E-2</v>
      </c>
      <c r="H3447" s="35">
        <v>5514.7</v>
      </c>
      <c r="I3447" s="37">
        <f t="shared" si="53"/>
        <v>7.6731171664551748E-2</v>
      </c>
      <c r="J3447" s="33"/>
    </row>
    <row r="3448" spans="1:10">
      <c r="A3448" s="33" t="s">
        <v>85</v>
      </c>
      <c r="B3448" s="34">
        <v>307.76</v>
      </c>
      <c r="C3448" s="35">
        <v>71870.399999999994</v>
      </c>
      <c r="D3448" s="33" t="s">
        <v>33</v>
      </c>
      <c r="E3448" s="34">
        <v>307.68900000000002</v>
      </c>
      <c r="F3448" s="36">
        <v>7.0999999999969504E-2</v>
      </c>
      <c r="G3448" s="34">
        <v>7.0999999999969504E-2</v>
      </c>
      <c r="H3448" s="35">
        <v>379.6</v>
      </c>
      <c r="I3448" s="37">
        <f t="shared" si="53"/>
        <v>5.2817293350252686E-3</v>
      </c>
      <c r="J3448" s="33" t="s">
        <v>116</v>
      </c>
    </row>
    <row r="3449" spans="1:10">
      <c r="A3449" s="33" t="s">
        <v>85</v>
      </c>
      <c r="B3449" s="34">
        <v>307.76</v>
      </c>
      <c r="C3449" s="35">
        <v>71870.399999999994</v>
      </c>
      <c r="D3449" s="33" t="s">
        <v>36</v>
      </c>
      <c r="E3449" s="34">
        <v>307.69299999999998</v>
      </c>
      <c r="F3449" s="36">
        <v>6.7000000000000004E-2</v>
      </c>
      <c r="G3449" s="34">
        <v>6.7000000000000004E-2</v>
      </c>
      <c r="H3449" s="35">
        <v>5435.4</v>
      </c>
      <c r="I3449" s="37">
        <f t="shared" si="53"/>
        <v>7.5627796700727973E-2</v>
      </c>
      <c r="J3449" s="33" t="s">
        <v>116</v>
      </c>
    </row>
    <row r="3450" spans="1:10">
      <c r="A3450" s="33" t="s">
        <v>85</v>
      </c>
      <c r="B3450" s="34">
        <v>307.76</v>
      </c>
      <c r="C3450" s="35">
        <v>71870.399999999994</v>
      </c>
      <c r="D3450" s="33" t="s">
        <v>116</v>
      </c>
      <c r="E3450" s="34">
        <v>307.7</v>
      </c>
      <c r="F3450" s="36">
        <v>0.06</v>
      </c>
      <c r="G3450" s="34">
        <v>0.06</v>
      </c>
      <c r="H3450" s="35">
        <v>117.6</v>
      </c>
      <c r="I3450" s="37">
        <f t="shared" si="53"/>
        <v>1.6362786348761104E-3</v>
      </c>
      <c r="J3450" s="33" t="s">
        <v>116</v>
      </c>
    </row>
    <row r="3451" spans="1:10">
      <c r="A3451" s="33" t="s">
        <v>85</v>
      </c>
      <c r="B3451" s="34">
        <v>307.76</v>
      </c>
      <c r="C3451" s="35">
        <v>71870.399999999994</v>
      </c>
      <c r="D3451" s="33" t="s">
        <v>284</v>
      </c>
      <c r="E3451" s="34">
        <v>307.70299999999997</v>
      </c>
      <c r="F3451" s="36">
        <v>5.7000000000016399E-2</v>
      </c>
      <c r="G3451" s="34">
        <v>5.7000000000016399E-2</v>
      </c>
      <c r="H3451" s="35">
        <v>1730</v>
      </c>
      <c r="I3451" s="37">
        <f t="shared" si="53"/>
        <v>2.4071105768160468E-2</v>
      </c>
      <c r="J3451" s="33"/>
    </row>
    <row r="3452" spans="1:10">
      <c r="A3452" s="33" t="s">
        <v>85</v>
      </c>
      <c r="B3452" s="34">
        <v>307.76</v>
      </c>
      <c r="C3452" s="35">
        <v>71870.399999999994</v>
      </c>
      <c r="D3452" s="33" t="s">
        <v>284</v>
      </c>
      <c r="E3452" s="34">
        <v>307.70600000000002</v>
      </c>
      <c r="F3452" s="36">
        <v>5.3999999999973597E-2</v>
      </c>
      <c r="G3452" s="34">
        <v>5.3999999999973597E-2</v>
      </c>
      <c r="H3452" s="35">
        <v>28</v>
      </c>
      <c r="I3452" s="37">
        <f t="shared" si="53"/>
        <v>3.8959015116097869E-4</v>
      </c>
      <c r="J3452" s="33"/>
    </row>
    <row r="3453" spans="1:10">
      <c r="A3453" s="33" t="s">
        <v>85</v>
      </c>
      <c r="B3453" s="34">
        <v>307.76</v>
      </c>
      <c r="C3453" s="35">
        <v>71870.399999999994</v>
      </c>
      <c r="D3453" s="33" t="s">
        <v>97</v>
      </c>
      <c r="E3453" s="34">
        <v>307.71699999999998</v>
      </c>
      <c r="F3453" s="36">
        <v>4.3000000000006401E-2</v>
      </c>
      <c r="G3453" s="34">
        <v>4.3000000000006401E-2</v>
      </c>
      <c r="H3453" s="35">
        <v>27.9</v>
      </c>
      <c r="I3453" s="37">
        <f t="shared" si="53"/>
        <v>3.8819875776397518E-4</v>
      </c>
      <c r="J3453" s="33"/>
    </row>
    <row r="3454" spans="1:10">
      <c r="A3454" s="33" t="s">
        <v>85</v>
      </c>
      <c r="B3454" s="34">
        <v>307.76</v>
      </c>
      <c r="C3454" s="35">
        <v>71870.399999999994</v>
      </c>
      <c r="D3454" s="33" t="s">
        <v>239</v>
      </c>
      <c r="E3454" s="34">
        <v>307.72300000000001</v>
      </c>
      <c r="F3454" s="36">
        <v>3.6999999999977697E-2</v>
      </c>
      <c r="G3454" s="34">
        <v>3.6999999999977697E-2</v>
      </c>
      <c r="H3454" s="35">
        <v>55</v>
      </c>
      <c r="I3454" s="37">
        <f t="shared" si="53"/>
        <v>7.6526636835192244E-4</v>
      </c>
      <c r="J3454" s="33"/>
    </row>
    <row r="3455" spans="1:10">
      <c r="A3455" s="33" t="s">
        <v>85</v>
      </c>
      <c r="B3455" s="34">
        <v>307.76</v>
      </c>
      <c r="C3455" s="35">
        <v>71870.399999999994</v>
      </c>
      <c r="D3455" s="33" t="s">
        <v>193</v>
      </c>
      <c r="E3455" s="34">
        <v>307.726</v>
      </c>
      <c r="F3455" s="36">
        <v>3.3999999999991801E-2</v>
      </c>
      <c r="G3455" s="34">
        <v>3.3999999999991801E-2</v>
      </c>
      <c r="H3455" s="35">
        <v>143.1</v>
      </c>
      <c r="I3455" s="37">
        <f t="shared" si="53"/>
        <v>1.9910839511120015E-3</v>
      </c>
      <c r="J3455" s="33"/>
    </row>
    <row r="3456" spans="1:10">
      <c r="A3456" s="33" t="s">
        <v>85</v>
      </c>
      <c r="B3456" s="34">
        <v>307.76</v>
      </c>
      <c r="C3456" s="35">
        <v>71870.399999999994</v>
      </c>
      <c r="D3456" s="33" t="s">
        <v>25</v>
      </c>
      <c r="E3456" s="34">
        <v>307.73200000000003</v>
      </c>
      <c r="F3456" s="36">
        <v>2.79999999999632E-2</v>
      </c>
      <c r="G3456" s="34">
        <v>2.79999999999632E-2</v>
      </c>
      <c r="H3456" s="35">
        <v>147.30000000000001</v>
      </c>
      <c r="I3456" s="37">
        <f t="shared" si="53"/>
        <v>2.0495224737861486E-3</v>
      </c>
      <c r="J3456" s="33" t="s">
        <v>116</v>
      </c>
    </row>
    <row r="3457" spans="1:10">
      <c r="A3457" s="33" t="s">
        <v>85</v>
      </c>
      <c r="B3457" s="34">
        <v>307.76</v>
      </c>
      <c r="C3457" s="35">
        <v>71870.399999999994</v>
      </c>
      <c r="D3457" s="33" t="s">
        <v>271</v>
      </c>
      <c r="E3457" s="34">
        <v>307.73399999999998</v>
      </c>
      <c r="F3457" s="36">
        <v>2.6000000000010501E-2</v>
      </c>
      <c r="G3457" s="34">
        <v>2.6000000000010501E-2</v>
      </c>
      <c r="H3457" s="35">
        <v>986</v>
      </c>
      <c r="I3457" s="37">
        <f t="shared" si="53"/>
        <v>1.3719138894454464E-2</v>
      </c>
      <c r="J3457" s="33"/>
    </row>
    <row r="3458" spans="1:10">
      <c r="A3458" s="33" t="s">
        <v>85</v>
      </c>
      <c r="B3458" s="34">
        <v>307.76</v>
      </c>
      <c r="C3458" s="35">
        <v>71870.399999999994</v>
      </c>
      <c r="D3458" s="33" t="s">
        <v>280</v>
      </c>
      <c r="E3458" s="34">
        <v>307.73500000000001</v>
      </c>
      <c r="F3458" s="36">
        <v>2.4999999999977301E-2</v>
      </c>
      <c r="G3458" s="34">
        <v>2.4999999999977301E-2</v>
      </c>
      <c r="H3458" s="35">
        <v>1203.5999999999999</v>
      </c>
      <c r="I3458" s="37">
        <f t="shared" ref="I3458:I3521" si="54">H3458/C3458</f>
        <v>1.6746810926334069E-2</v>
      </c>
      <c r="J3458" s="33"/>
    </row>
    <row r="3459" spans="1:10">
      <c r="A3459" s="33" t="s">
        <v>85</v>
      </c>
      <c r="B3459" s="34">
        <v>307.76</v>
      </c>
      <c r="C3459" s="35">
        <v>71870.399999999994</v>
      </c>
      <c r="D3459" s="33" t="s">
        <v>284</v>
      </c>
      <c r="E3459" s="34">
        <v>307.74299999999999</v>
      </c>
      <c r="F3459" s="36">
        <v>1.69999999999959E-2</v>
      </c>
      <c r="G3459" s="34">
        <v>1.69999999999959E-2</v>
      </c>
      <c r="H3459" s="35">
        <v>40</v>
      </c>
      <c r="I3459" s="37">
        <f t="shared" si="54"/>
        <v>5.5655735880139816E-4</v>
      </c>
      <c r="J3459" s="33"/>
    </row>
    <row r="3460" spans="1:10">
      <c r="A3460" s="33" t="s">
        <v>85</v>
      </c>
      <c r="B3460" s="34">
        <v>307.76</v>
      </c>
      <c r="C3460" s="35">
        <v>71870.399999999994</v>
      </c>
      <c r="D3460" s="33" t="s">
        <v>274</v>
      </c>
      <c r="E3460" s="34">
        <v>307.75200000000001</v>
      </c>
      <c r="F3460" s="36">
        <v>7.9999999999813606E-3</v>
      </c>
      <c r="G3460" s="34">
        <v>7.9999999999813606E-3</v>
      </c>
      <c r="H3460" s="35">
        <v>293.60000000000002</v>
      </c>
      <c r="I3460" s="37">
        <f t="shared" si="54"/>
        <v>4.0851310136022622E-3</v>
      </c>
      <c r="J3460" s="33"/>
    </row>
    <row r="3461" spans="1:10">
      <c r="A3461" s="33" t="s">
        <v>85</v>
      </c>
      <c r="B3461" s="34">
        <v>307.76</v>
      </c>
      <c r="C3461" s="35">
        <v>71870.399999999994</v>
      </c>
      <c r="D3461" s="33" t="s">
        <v>25</v>
      </c>
      <c r="E3461" s="34">
        <v>307.76299999999998</v>
      </c>
      <c r="F3461" s="36">
        <v>2.9999999999858998E-3</v>
      </c>
      <c r="G3461" s="34">
        <v>2.9999999999858998E-3</v>
      </c>
      <c r="H3461" s="35">
        <v>147.30000000000001</v>
      </c>
      <c r="I3461" s="37">
        <f t="shared" si="54"/>
        <v>2.0495224737861486E-3</v>
      </c>
      <c r="J3461" s="33" t="s">
        <v>116</v>
      </c>
    </row>
    <row r="3462" spans="1:10">
      <c r="A3462" s="33" t="s">
        <v>85</v>
      </c>
      <c r="B3462" s="34">
        <v>307.76</v>
      </c>
      <c r="C3462" s="35">
        <v>71870.399999999994</v>
      </c>
      <c r="D3462" s="33" t="s">
        <v>275</v>
      </c>
      <c r="E3462" s="34">
        <v>307.76600000000002</v>
      </c>
      <c r="F3462" s="36">
        <v>6.00000000002865E-3</v>
      </c>
      <c r="G3462" s="34">
        <v>6.00000000002865E-3</v>
      </c>
      <c r="H3462" s="35">
        <v>501.7</v>
      </c>
      <c r="I3462" s="37">
        <f t="shared" si="54"/>
        <v>6.9806206727665359E-3</v>
      </c>
      <c r="J3462" s="33"/>
    </row>
    <row r="3463" spans="1:10">
      <c r="A3463" s="33" t="s">
        <v>85</v>
      </c>
      <c r="B3463" s="34">
        <v>307.76</v>
      </c>
      <c r="C3463" s="35">
        <v>71870.399999999994</v>
      </c>
      <c r="D3463" s="33" t="s">
        <v>284</v>
      </c>
      <c r="E3463" s="34">
        <v>307.77199999999999</v>
      </c>
      <c r="F3463" s="36">
        <v>1.20000000000005E-2</v>
      </c>
      <c r="G3463" s="34">
        <v>1.20000000000005E-2</v>
      </c>
      <c r="H3463" s="35">
        <v>29.5</v>
      </c>
      <c r="I3463" s="37">
        <f t="shared" si="54"/>
        <v>4.1046105211603109E-4</v>
      </c>
      <c r="J3463" s="33"/>
    </row>
    <row r="3464" spans="1:10">
      <c r="A3464" s="33" t="s">
        <v>85</v>
      </c>
      <c r="B3464" s="34">
        <v>307.76</v>
      </c>
      <c r="C3464" s="35">
        <v>71870.399999999994</v>
      </c>
      <c r="D3464" s="33" t="s">
        <v>278</v>
      </c>
      <c r="E3464" s="34">
        <v>307.77199999999999</v>
      </c>
      <c r="F3464" s="36">
        <v>1.20000000000005E-2</v>
      </c>
      <c r="G3464" s="34">
        <v>1.20000000000005E-2</v>
      </c>
      <c r="H3464" s="35">
        <v>19.100000000000001</v>
      </c>
      <c r="I3464" s="37">
        <f t="shared" si="54"/>
        <v>2.6575613882766765E-4</v>
      </c>
      <c r="J3464" s="33"/>
    </row>
    <row r="3465" spans="1:10">
      <c r="A3465" s="33" t="s">
        <v>85</v>
      </c>
      <c r="B3465" s="34">
        <v>307.76</v>
      </c>
      <c r="C3465" s="35">
        <v>71870.399999999994</v>
      </c>
      <c r="D3465" s="33" t="s">
        <v>239</v>
      </c>
      <c r="E3465" s="34">
        <v>307.78300000000002</v>
      </c>
      <c r="F3465" s="36">
        <v>2.3000000000024601E-2</v>
      </c>
      <c r="G3465" s="34">
        <v>2.3000000000024601E-2</v>
      </c>
      <c r="H3465" s="35">
        <v>99</v>
      </c>
      <c r="I3465" s="37">
        <f t="shared" si="54"/>
        <v>1.3774794630334603E-3</v>
      </c>
      <c r="J3465" s="33"/>
    </row>
    <row r="3466" spans="1:10">
      <c r="A3466" s="33" t="s">
        <v>85</v>
      </c>
      <c r="B3466" s="34">
        <v>307.76</v>
      </c>
      <c r="C3466" s="35">
        <v>71870.399999999994</v>
      </c>
      <c r="D3466" s="33" t="s">
        <v>271</v>
      </c>
      <c r="E3466" s="34">
        <v>307.79300000000001</v>
      </c>
      <c r="F3466" s="36">
        <v>3.3000000000015503E-2</v>
      </c>
      <c r="G3466" s="34">
        <v>3.3000000000015503E-2</v>
      </c>
      <c r="H3466" s="35">
        <v>548.6</v>
      </c>
      <c r="I3466" s="37">
        <f t="shared" si="54"/>
        <v>7.6331841759611756E-3</v>
      </c>
      <c r="J3466" s="33"/>
    </row>
    <row r="3467" spans="1:10">
      <c r="A3467" s="33" t="s">
        <v>85</v>
      </c>
      <c r="B3467" s="34">
        <v>307.76</v>
      </c>
      <c r="C3467" s="35">
        <v>71870.399999999994</v>
      </c>
      <c r="D3467" s="33" t="s">
        <v>284</v>
      </c>
      <c r="E3467" s="34">
        <v>307.80700000000002</v>
      </c>
      <c r="F3467" s="36">
        <v>4.7000000000025501E-2</v>
      </c>
      <c r="G3467" s="34">
        <v>4.7000000000025501E-2</v>
      </c>
      <c r="H3467" s="35">
        <v>1504</v>
      </c>
      <c r="I3467" s="37">
        <f t="shared" si="54"/>
        <v>2.0926556690932571E-2</v>
      </c>
      <c r="J3467" s="33"/>
    </row>
    <row r="3468" spans="1:10">
      <c r="A3468" s="33" t="s">
        <v>85</v>
      </c>
      <c r="B3468" s="34">
        <v>307.76</v>
      </c>
      <c r="C3468" s="35">
        <v>71870.399999999994</v>
      </c>
      <c r="D3468" s="33" t="s">
        <v>284</v>
      </c>
      <c r="E3468" s="34">
        <v>307.81099999999998</v>
      </c>
      <c r="F3468" s="36">
        <v>5.0999999999987701E-2</v>
      </c>
      <c r="G3468" s="34">
        <v>5.0999999999987701E-2</v>
      </c>
      <c r="H3468" s="35">
        <v>78</v>
      </c>
      <c r="I3468" s="37">
        <f t="shared" si="54"/>
        <v>1.0852868496627262E-3</v>
      </c>
      <c r="J3468" s="33"/>
    </row>
    <row r="3469" spans="1:10">
      <c r="A3469" s="33" t="s">
        <v>85</v>
      </c>
      <c r="B3469" s="34">
        <v>307.76</v>
      </c>
      <c r="C3469" s="35">
        <v>71870.399999999994</v>
      </c>
      <c r="D3469" s="33" t="s">
        <v>193</v>
      </c>
      <c r="E3469" s="34">
        <v>307.82299999999998</v>
      </c>
      <c r="F3469" s="36">
        <v>6.2999999999988204E-2</v>
      </c>
      <c r="G3469" s="34">
        <v>6.2999999999988204E-2</v>
      </c>
      <c r="H3469" s="35">
        <v>40.6</v>
      </c>
      <c r="I3469" s="37">
        <f t="shared" si="54"/>
        <v>5.6490571918341908E-4</v>
      </c>
      <c r="J3469" s="33"/>
    </row>
    <row r="3470" spans="1:10">
      <c r="A3470" s="33" t="s">
        <v>85</v>
      </c>
      <c r="B3470" s="34">
        <v>307.76</v>
      </c>
      <c r="C3470" s="35">
        <v>71870.399999999994</v>
      </c>
      <c r="D3470" s="33" t="s">
        <v>33</v>
      </c>
      <c r="E3470" s="34">
        <v>307.83300000000003</v>
      </c>
      <c r="F3470" s="36">
        <v>7.3000000000035897E-2</v>
      </c>
      <c r="G3470" s="34">
        <v>7.3000000000035897E-2</v>
      </c>
      <c r="H3470" s="35">
        <v>370</v>
      </c>
      <c r="I3470" s="37">
        <f t="shared" si="54"/>
        <v>5.148155568912933E-3</v>
      </c>
      <c r="J3470" s="33" t="s">
        <v>116</v>
      </c>
    </row>
    <row r="3471" spans="1:10">
      <c r="A3471" s="33" t="s">
        <v>85</v>
      </c>
      <c r="B3471" s="34">
        <v>307.76</v>
      </c>
      <c r="C3471" s="35">
        <v>71870.399999999994</v>
      </c>
      <c r="D3471" s="33" t="s">
        <v>284</v>
      </c>
      <c r="E3471" s="34">
        <v>307.84399999999999</v>
      </c>
      <c r="F3471" s="36">
        <v>8.4000000000003197E-2</v>
      </c>
      <c r="G3471" s="34">
        <v>8.4000000000003197E-2</v>
      </c>
      <c r="H3471" s="35">
        <v>3987</v>
      </c>
      <c r="I3471" s="37">
        <f t="shared" si="54"/>
        <v>5.547485473852936E-2</v>
      </c>
      <c r="J3471" s="33"/>
    </row>
    <row r="3472" spans="1:10">
      <c r="A3472" s="33" t="s">
        <v>85</v>
      </c>
      <c r="B3472" s="34">
        <v>307.76</v>
      </c>
      <c r="C3472" s="35">
        <v>71870.399999999994</v>
      </c>
      <c r="D3472" s="33" t="s">
        <v>278</v>
      </c>
      <c r="E3472" s="34">
        <v>307.85700000000003</v>
      </c>
      <c r="F3472" s="36">
        <v>9.7000000000036807E-2</v>
      </c>
      <c r="G3472" s="34">
        <v>9.7000000000036807E-2</v>
      </c>
      <c r="H3472" s="35">
        <v>152.4</v>
      </c>
      <c r="I3472" s="37">
        <f t="shared" si="54"/>
        <v>2.1204835370333269E-3</v>
      </c>
      <c r="J3472" s="33"/>
    </row>
    <row r="3473" spans="1:10">
      <c r="A3473" s="33" t="s">
        <v>85</v>
      </c>
      <c r="B3473" s="34">
        <v>307.76</v>
      </c>
      <c r="C3473" s="35">
        <v>71870.399999999994</v>
      </c>
      <c r="D3473" s="33" t="s">
        <v>237</v>
      </c>
      <c r="E3473" s="34">
        <v>307.86599999999999</v>
      </c>
      <c r="F3473" s="36">
        <v>0.105999999999995</v>
      </c>
      <c r="G3473" s="34">
        <v>0.105999999999995</v>
      </c>
      <c r="H3473" s="35">
        <v>69611.100000000006</v>
      </c>
      <c r="I3473" s="37">
        <f t="shared" si="54"/>
        <v>0.96856424898150018</v>
      </c>
      <c r="J3473" s="33"/>
    </row>
    <row r="3474" spans="1:10">
      <c r="A3474" s="33" t="s">
        <v>85</v>
      </c>
      <c r="B3474" s="34">
        <v>307.76</v>
      </c>
      <c r="C3474" s="35">
        <v>71870.399999999994</v>
      </c>
      <c r="D3474" s="33" t="s">
        <v>33</v>
      </c>
      <c r="E3474" s="34">
        <v>307.86799999999999</v>
      </c>
      <c r="F3474" s="36">
        <v>0.108000000000004</v>
      </c>
      <c r="G3474" s="34">
        <v>0.108000000000004</v>
      </c>
      <c r="H3474" s="35">
        <v>1213.9000000000001</v>
      </c>
      <c r="I3474" s="37">
        <f t="shared" si="54"/>
        <v>1.6890124446225431E-2</v>
      </c>
      <c r="J3474" s="33" t="s">
        <v>116</v>
      </c>
    </row>
    <row r="3475" spans="1:10">
      <c r="A3475" s="33" t="s">
        <v>85</v>
      </c>
      <c r="B3475" s="34">
        <v>307.76</v>
      </c>
      <c r="C3475" s="35">
        <v>71870.399999999994</v>
      </c>
      <c r="D3475" s="33" t="s">
        <v>271</v>
      </c>
      <c r="E3475" s="34">
        <v>307.88299999999998</v>
      </c>
      <c r="F3475" s="36">
        <v>0.12299999999999101</v>
      </c>
      <c r="G3475" s="34">
        <v>0.12299999999999101</v>
      </c>
      <c r="H3475" s="35">
        <v>6084</v>
      </c>
      <c r="I3475" s="37">
        <f t="shared" si="54"/>
        <v>8.4652374273692654E-2</v>
      </c>
      <c r="J3475" s="33"/>
    </row>
    <row r="3476" spans="1:10">
      <c r="A3476" s="33" t="s">
        <v>85</v>
      </c>
      <c r="B3476" s="34">
        <v>307.76</v>
      </c>
      <c r="C3476" s="35">
        <v>71870.399999999994</v>
      </c>
      <c r="D3476" s="33" t="s">
        <v>201</v>
      </c>
      <c r="E3476" s="34">
        <v>307.88600000000002</v>
      </c>
      <c r="F3476" s="36">
        <v>0.126000000000033</v>
      </c>
      <c r="G3476" s="34">
        <v>0.126000000000033</v>
      </c>
      <c r="H3476" s="35">
        <v>4514.3</v>
      </c>
      <c r="I3476" s="37">
        <f t="shared" si="54"/>
        <v>6.2811672120928794E-2</v>
      </c>
      <c r="J3476" s="33"/>
    </row>
    <row r="3477" spans="1:10">
      <c r="A3477" s="33" t="s">
        <v>85</v>
      </c>
      <c r="B3477" s="34">
        <v>307.76</v>
      </c>
      <c r="C3477" s="35">
        <v>71870.399999999994</v>
      </c>
      <c r="D3477" s="33" t="s">
        <v>279</v>
      </c>
      <c r="E3477" s="34">
        <v>307.887</v>
      </c>
      <c r="F3477" s="36">
        <v>0.12700000000000999</v>
      </c>
      <c r="G3477" s="34">
        <v>0.12700000000000999</v>
      </c>
      <c r="H3477" s="35">
        <v>5</v>
      </c>
      <c r="I3477" s="37">
        <f t="shared" si="54"/>
        <v>6.956966985017477E-5</v>
      </c>
      <c r="J3477" s="33"/>
    </row>
    <row r="3478" spans="1:10">
      <c r="A3478" s="33" t="s">
        <v>85</v>
      </c>
      <c r="B3478" s="34">
        <v>307.76</v>
      </c>
      <c r="C3478" s="35">
        <v>71870.399999999994</v>
      </c>
      <c r="D3478" s="33" t="s">
        <v>278</v>
      </c>
      <c r="E3478" s="34">
        <v>307.89400000000001</v>
      </c>
      <c r="F3478" s="36">
        <v>0.134000000000015</v>
      </c>
      <c r="G3478" s="34">
        <v>0.134000000000015</v>
      </c>
      <c r="H3478" s="35">
        <v>245</v>
      </c>
      <c r="I3478" s="37">
        <f t="shared" si="54"/>
        <v>3.4089138226585636E-3</v>
      </c>
      <c r="J3478" s="33"/>
    </row>
    <row r="3479" spans="1:10">
      <c r="A3479" s="33" t="s">
        <v>85</v>
      </c>
      <c r="B3479" s="34">
        <v>307.76</v>
      </c>
      <c r="C3479" s="35">
        <v>71870.399999999994</v>
      </c>
      <c r="D3479" s="33" t="s">
        <v>84</v>
      </c>
      <c r="E3479" s="34">
        <v>307.92500000000001</v>
      </c>
      <c r="F3479" s="36">
        <v>0.16500000000000001</v>
      </c>
      <c r="G3479" s="34">
        <v>0.16500000000000001</v>
      </c>
      <c r="H3479" s="35">
        <v>793.5</v>
      </c>
      <c r="I3479" s="37">
        <f t="shared" si="54"/>
        <v>1.1040706605222736E-2</v>
      </c>
      <c r="J3479" s="33" t="s">
        <v>116</v>
      </c>
    </row>
    <row r="3480" spans="1:10">
      <c r="A3480" s="33" t="s">
        <v>85</v>
      </c>
      <c r="B3480" s="34">
        <v>307.76</v>
      </c>
      <c r="C3480" s="35">
        <v>71870.399999999994</v>
      </c>
      <c r="D3480" s="33" t="s">
        <v>116</v>
      </c>
      <c r="E3480" s="34">
        <v>307.95699999999999</v>
      </c>
      <c r="F3480" s="36">
        <v>0.19700000000000001</v>
      </c>
      <c r="G3480" s="34">
        <v>0.19700000000000001</v>
      </c>
      <c r="H3480" s="35">
        <v>162.4</v>
      </c>
      <c r="I3480" s="37">
        <f t="shared" si="54"/>
        <v>2.2596228767336763E-3</v>
      </c>
      <c r="J3480" s="33" t="s">
        <v>116</v>
      </c>
    </row>
    <row r="3481" spans="1:10">
      <c r="A3481" s="33" t="s">
        <v>85</v>
      </c>
      <c r="B3481" s="34">
        <v>339.70699999999999</v>
      </c>
      <c r="C3481" s="35">
        <v>28439.8</v>
      </c>
      <c r="D3481" s="33" t="s">
        <v>277</v>
      </c>
      <c r="E3481" s="34">
        <v>339.55099999999999</v>
      </c>
      <c r="F3481" s="36">
        <v>0.15600000000000599</v>
      </c>
      <c r="G3481" s="34">
        <v>0.15600000000000599</v>
      </c>
      <c r="H3481" s="35">
        <v>170.8</v>
      </c>
      <c r="I3481" s="37">
        <f t="shared" si="54"/>
        <v>6.0056681129965761E-3</v>
      </c>
      <c r="J3481" s="33"/>
    </row>
    <row r="3482" spans="1:10">
      <c r="A3482" s="33" t="s">
        <v>85</v>
      </c>
      <c r="B3482" s="34">
        <v>339.70699999999999</v>
      </c>
      <c r="C3482" s="35">
        <v>28439.8</v>
      </c>
      <c r="D3482" s="33" t="s">
        <v>239</v>
      </c>
      <c r="E3482" s="34">
        <v>339.56099999999998</v>
      </c>
      <c r="F3482" s="36">
        <v>0.14600000000001501</v>
      </c>
      <c r="G3482" s="34">
        <v>0.14600000000001501</v>
      </c>
      <c r="H3482" s="35">
        <v>23.7</v>
      </c>
      <c r="I3482" s="37">
        <f t="shared" si="54"/>
        <v>8.333391936652157E-4</v>
      </c>
      <c r="J3482" s="33"/>
    </row>
    <row r="3483" spans="1:10">
      <c r="A3483" s="33" t="s">
        <v>85</v>
      </c>
      <c r="B3483" s="34">
        <v>339.70699999999999</v>
      </c>
      <c r="C3483" s="35">
        <v>28439.8</v>
      </c>
      <c r="D3483" s="33" t="s">
        <v>273</v>
      </c>
      <c r="E3483" s="34">
        <v>339.572</v>
      </c>
      <c r="F3483" s="36">
        <v>0.13499999999999099</v>
      </c>
      <c r="G3483" s="34">
        <v>0.13499999999999099</v>
      </c>
      <c r="H3483" s="35">
        <v>116.4</v>
      </c>
      <c r="I3483" s="37">
        <f t="shared" si="54"/>
        <v>4.0928557866089076E-3</v>
      </c>
      <c r="J3483" s="33"/>
    </row>
    <row r="3484" spans="1:10">
      <c r="A3484" s="33" t="s">
        <v>85</v>
      </c>
      <c r="B3484" s="34">
        <v>339.70699999999999</v>
      </c>
      <c r="C3484" s="35">
        <v>28439.8</v>
      </c>
      <c r="D3484" s="33" t="s">
        <v>284</v>
      </c>
      <c r="E3484" s="34">
        <v>339.572</v>
      </c>
      <c r="F3484" s="36">
        <v>0.13499999999999099</v>
      </c>
      <c r="G3484" s="34">
        <v>0.13499999999999099</v>
      </c>
      <c r="H3484" s="35">
        <v>0.3</v>
      </c>
      <c r="I3484" s="37">
        <f t="shared" si="54"/>
        <v>1.0548597388167286E-5</v>
      </c>
      <c r="J3484" s="33"/>
    </row>
    <row r="3485" spans="1:10">
      <c r="A3485" s="33" t="s">
        <v>85</v>
      </c>
      <c r="B3485" s="34">
        <v>339.70699999999999</v>
      </c>
      <c r="C3485" s="35">
        <v>28439.8</v>
      </c>
      <c r="D3485" s="33" t="s">
        <v>239</v>
      </c>
      <c r="E3485" s="34">
        <v>339.59899999999999</v>
      </c>
      <c r="F3485" s="36">
        <v>0.108000000000004</v>
      </c>
      <c r="G3485" s="34">
        <v>0.108000000000004</v>
      </c>
      <c r="H3485" s="35">
        <v>2</v>
      </c>
      <c r="I3485" s="37">
        <f t="shared" si="54"/>
        <v>7.0323982587781916E-5</v>
      </c>
      <c r="J3485" s="33"/>
    </row>
    <row r="3486" spans="1:10">
      <c r="A3486" s="33" t="s">
        <v>85</v>
      </c>
      <c r="B3486" s="34">
        <v>339.70699999999999</v>
      </c>
      <c r="C3486" s="35">
        <v>28439.8</v>
      </c>
      <c r="D3486" s="33" t="s">
        <v>84</v>
      </c>
      <c r="E3486" s="34">
        <v>339.60700000000003</v>
      </c>
      <c r="F3486" s="36">
        <v>0.1</v>
      </c>
      <c r="G3486" s="34">
        <v>0.1</v>
      </c>
      <c r="H3486" s="35">
        <v>1930.1</v>
      </c>
      <c r="I3486" s="37">
        <f t="shared" si="54"/>
        <v>6.7866159396338929E-2</v>
      </c>
      <c r="J3486" s="33" t="s">
        <v>116</v>
      </c>
    </row>
    <row r="3487" spans="1:10">
      <c r="A3487" s="33" t="s">
        <v>85</v>
      </c>
      <c r="B3487" s="34">
        <v>339.70699999999999</v>
      </c>
      <c r="C3487" s="35">
        <v>28439.8</v>
      </c>
      <c r="D3487" s="33" t="s">
        <v>33</v>
      </c>
      <c r="E3487" s="34">
        <v>339.61599999999999</v>
      </c>
      <c r="F3487" s="36">
        <v>9.1000000000008199E-2</v>
      </c>
      <c r="G3487" s="34">
        <v>9.1000000000008199E-2</v>
      </c>
      <c r="H3487" s="35">
        <v>3413.4</v>
      </c>
      <c r="I3487" s="37">
        <f t="shared" si="54"/>
        <v>0.12002194108256739</v>
      </c>
      <c r="J3487" s="33" t="s">
        <v>116</v>
      </c>
    </row>
    <row r="3488" spans="1:10">
      <c r="A3488" s="33" t="s">
        <v>85</v>
      </c>
      <c r="B3488" s="34">
        <v>339.70699999999999</v>
      </c>
      <c r="C3488" s="35">
        <v>28439.8</v>
      </c>
      <c r="D3488" s="33" t="s">
        <v>165</v>
      </c>
      <c r="E3488" s="34">
        <v>339.61700000000002</v>
      </c>
      <c r="F3488" s="36">
        <v>8.9999999999975003E-2</v>
      </c>
      <c r="G3488" s="34">
        <v>8.9999999999975003E-2</v>
      </c>
      <c r="H3488" s="35">
        <v>14.7</v>
      </c>
      <c r="I3488" s="37">
        <f t="shared" si="54"/>
        <v>5.1688127202019702E-4</v>
      </c>
      <c r="J3488" s="33"/>
    </row>
    <row r="3489" spans="1:10">
      <c r="A3489" s="33" t="s">
        <v>85</v>
      </c>
      <c r="B3489" s="34">
        <v>339.70699999999999</v>
      </c>
      <c r="C3489" s="35">
        <v>28439.8</v>
      </c>
      <c r="D3489" s="33" t="s">
        <v>270</v>
      </c>
      <c r="E3489" s="34">
        <v>339.61900000000003</v>
      </c>
      <c r="F3489" s="36">
        <v>8.7999999999965398E-2</v>
      </c>
      <c r="G3489" s="34">
        <v>8.7999999999965398E-2</v>
      </c>
      <c r="H3489" s="35">
        <v>1313.5</v>
      </c>
      <c r="I3489" s="37">
        <f t="shared" si="54"/>
        <v>4.6185275564525771E-2</v>
      </c>
      <c r="J3489" s="33"/>
    </row>
    <row r="3490" spans="1:10">
      <c r="A3490" s="33" t="s">
        <v>85</v>
      </c>
      <c r="B3490" s="34">
        <v>339.70699999999999</v>
      </c>
      <c r="C3490" s="35">
        <v>28439.8</v>
      </c>
      <c r="D3490" s="33" t="s">
        <v>236</v>
      </c>
      <c r="E3490" s="34">
        <v>339.63200000000001</v>
      </c>
      <c r="F3490" s="36">
        <v>7.4999999999988604E-2</v>
      </c>
      <c r="G3490" s="34">
        <v>7.4999999999988604E-2</v>
      </c>
      <c r="H3490" s="35">
        <v>1397.2</v>
      </c>
      <c r="I3490" s="37">
        <f t="shared" si="54"/>
        <v>4.9128334235824446E-2</v>
      </c>
      <c r="J3490" s="33"/>
    </row>
    <row r="3491" spans="1:10">
      <c r="A3491" s="33" t="s">
        <v>85</v>
      </c>
      <c r="B3491" s="34">
        <v>339.70699999999999</v>
      </c>
      <c r="C3491" s="35">
        <v>28439.8</v>
      </c>
      <c r="D3491" s="33" t="s">
        <v>273</v>
      </c>
      <c r="E3491" s="34">
        <v>339.637</v>
      </c>
      <c r="F3491" s="36">
        <v>6.9999999999993207E-2</v>
      </c>
      <c r="G3491" s="34">
        <v>6.9999999999993207E-2</v>
      </c>
      <c r="H3491" s="35">
        <v>75</v>
      </c>
      <c r="I3491" s="37">
        <f t="shared" si="54"/>
        <v>2.6371493470418216E-3</v>
      </c>
      <c r="J3491" s="33"/>
    </row>
    <row r="3492" spans="1:10">
      <c r="A3492" s="33" t="s">
        <v>85</v>
      </c>
      <c r="B3492" s="34">
        <v>339.70699999999999</v>
      </c>
      <c r="C3492" s="35">
        <v>28439.8</v>
      </c>
      <c r="D3492" s="33" t="s">
        <v>54</v>
      </c>
      <c r="E3492" s="34">
        <v>339.64499999999998</v>
      </c>
      <c r="F3492" s="36">
        <v>6.2000000000011803E-2</v>
      </c>
      <c r="G3492" s="34">
        <v>6.2000000000011803E-2</v>
      </c>
      <c r="H3492" s="35">
        <v>0.5</v>
      </c>
      <c r="I3492" s="37">
        <f t="shared" si="54"/>
        <v>1.7580995646945479E-5</v>
      </c>
      <c r="J3492" s="33"/>
    </row>
    <row r="3493" spans="1:10">
      <c r="A3493" s="33" t="s">
        <v>85</v>
      </c>
      <c r="B3493" s="34">
        <v>339.70699999999999</v>
      </c>
      <c r="C3493" s="35">
        <v>28439.8</v>
      </c>
      <c r="D3493" s="33" t="s">
        <v>271</v>
      </c>
      <c r="E3493" s="34">
        <v>339.64600000000002</v>
      </c>
      <c r="F3493" s="36">
        <v>6.0999999999978599E-2</v>
      </c>
      <c r="G3493" s="34">
        <v>6.0999999999978599E-2</v>
      </c>
      <c r="H3493" s="35">
        <v>304.10000000000002</v>
      </c>
      <c r="I3493" s="37">
        <f t="shared" si="54"/>
        <v>1.069276155247224E-2</v>
      </c>
      <c r="J3493" s="33"/>
    </row>
    <row r="3494" spans="1:10">
      <c r="A3494" s="33" t="s">
        <v>85</v>
      </c>
      <c r="B3494" s="34">
        <v>339.70699999999999</v>
      </c>
      <c r="C3494" s="35">
        <v>28439.8</v>
      </c>
      <c r="D3494" s="33" t="s">
        <v>280</v>
      </c>
      <c r="E3494" s="34">
        <v>339.65800000000002</v>
      </c>
      <c r="F3494" s="36">
        <v>4.89999999999782E-2</v>
      </c>
      <c r="G3494" s="34">
        <v>4.89999999999782E-2</v>
      </c>
      <c r="H3494" s="35">
        <v>1221.0999999999999</v>
      </c>
      <c r="I3494" s="37">
        <f t="shared" si="54"/>
        <v>4.2936307568970246E-2</v>
      </c>
      <c r="J3494" s="33"/>
    </row>
    <row r="3495" spans="1:10">
      <c r="A3495" s="33" t="s">
        <v>85</v>
      </c>
      <c r="B3495" s="34">
        <v>339.70699999999999</v>
      </c>
      <c r="C3495" s="35">
        <v>28439.8</v>
      </c>
      <c r="D3495" s="33" t="s">
        <v>236</v>
      </c>
      <c r="E3495" s="34">
        <v>339.666</v>
      </c>
      <c r="F3495" s="36">
        <v>4.0999999999996803E-2</v>
      </c>
      <c r="G3495" s="34">
        <v>4.0999999999996803E-2</v>
      </c>
      <c r="H3495" s="35">
        <v>363.9</v>
      </c>
      <c r="I3495" s="37">
        <f t="shared" si="54"/>
        <v>1.2795448631846918E-2</v>
      </c>
      <c r="J3495" s="33"/>
    </row>
    <row r="3496" spans="1:10">
      <c r="A3496" s="33" t="s">
        <v>85</v>
      </c>
      <c r="B3496" s="34">
        <v>339.70699999999999</v>
      </c>
      <c r="C3496" s="35">
        <v>28439.8</v>
      </c>
      <c r="D3496" s="33" t="s">
        <v>25</v>
      </c>
      <c r="E3496" s="34">
        <v>339.67200000000003</v>
      </c>
      <c r="F3496" s="36">
        <v>3.4999999999968202E-2</v>
      </c>
      <c r="G3496" s="34">
        <v>3.4999999999968202E-2</v>
      </c>
      <c r="H3496" s="35">
        <v>49.8</v>
      </c>
      <c r="I3496" s="37">
        <f t="shared" si="54"/>
        <v>1.7510671664357695E-3</v>
      </c>
      <c r="J3496" s="33" t="s">
        <v>116</v>
      </c>
    </row>
    <row r="3497" spans="1:10">
      <c r="A3497" s="33" t="s">
        <v>85</v>
      </c>
      <c r="B3497" s="34">
        <v>339.70699999999999</v>
      </c>
      <c r="C3497" s="35">
        <v>28439.8</v>
      </c>
      <c r="D3497" s="33" t="s">
        <v>282</v>
      </c>
      <c r="E3497" s="34">
        <v>339.68200000000002</v>
      </c>
      <c r="F3497" s="36">
        <v>2.4999999999977301E-2</v>
      </c>
      <c r="G3497" s="34">
        <v>2.4999999999977301E-2</v>
      </c>
      <c r="H3497" s="35">
        <v>3172.7</v>
      </c>
      <c r="I3497" s="37">
        <f t="shared" si="54"/>
        <v>0.11155844977812783</v>
      </c>
      <c r="J3497" s="33"/>
    </row>
    <row r="3498" spans="1:10">
      <c r="A3498" s="33" t="s">
        <v>85</v>
      </c>
      <c r="B3498" s="34">
        <v>339.70699999999999</v>
      </c>
      <c r="C3498" s="35">
        <v>28439.8</v>
      </c>
      <c r="D3498" s="33" t="s">
        <v>84</v>
      </c>
      <c r="E3498" s="34">
        <v>339.68400000000003</v>
      </c>
      <c r="F3498" s="36">
        <v>2.3E-2</v>
      </c>
      <c r="G3498" s="34">
        <v>2.3E-2</v>
      </c>
      <c r="H3498" s="35">
        <v>1285.5999999999999</v>
      </c>
      <c r="I3498" s="37">
        <f t="shared" si="54"/>
        <v>4.5204256007426211E-2</v>
      </c>
      <c r="J3498" s="33" t="s">
        <v>116</v>
      </c>
    </row>
    <row r="3499" spans="1:10">
      <c r="A3499" s="33" t="s">
        <v>85</v>
      </c>
      <c r="B3499" s="34">
        <v>339.70699999999999</v>
      </c>
      <c r="C3499" s="35">
        <v>28439.8</v>
      </c>
      <c r="D3499" s="33" t="s">
        <v>97</v>
      </c>
      <c r="E3499" s="34">
        <v>339.69799999999998</v>
      </c>
      <c r="F3499" s="36">
        <v>9.0000000000145502E-3</v>
      </c>
      <c r="G3499" s="34">
        <v>9.0000000000145502E-3</v>
      </c>
      <c r="H3499" s="35">
        <v>1.9</v>
      </c>
      <c r="I3499" s="37">
        <f t="shared" si="54"/>
        <v>6.6807783458392819E-5</v>
      </c>
      <c r="J3499" s="33"/>
    </row>
    <row r="3500" spans="1:10">
      <c r="A3500" s="33" t="s">
        <v>85</v>
      </c>
      <c r="B3500" s="34">
        <v>339.70699999999999</v>
      </c>
      <c r="C3500" s="35">
        <v>28439.8</v>
      </c>
      <c r="D3500" s="33" t="s">
        <v>116</v>
      </c>
      <c r="E3500" s="34">
        <v>339.70299999999997</v>
      </c>
      <c r="F3500" s="36">
        <v>4.0000000000000001E-3</v>
      </c>
      <c r="G3500" s="34">
        <v>4.0000000000000001E-3</v>
      </c>
      <c r="H3500" s="35">
        <v>18.100000000000001</v>
      </c>
      <c r="I3500" s="37">
        <f t="shared" si="54"/>
        <v>6.364320424194264E-4</v>
      </c>
      <c r="J3500" s="33" t="s">
        <v>116</v>
      </c>
    </row>
    <row r="3501" spans="1:10">
      <c r="A3501" s="33" t="s">
        <v>85</v>
      </c>
      <c r="B3501" s="34">
        <v>339.70699999999999</v>
      </c>
      <c r="C3501" s="35">
        <v>28439.8</v>
      </c>
      <c r="D3501" s="33" t="s">
        <v>25</v>
      </c>
      <c r="E3501" s="34">
        <v>339.70800000000003</v>
      </c>
      <c r="F3501" s="36">
        <v>1.0000000000332E-3</v>
      </c>
      <c r="G3501" s="34">
        <v>1.0000000000332E-3</v>
      </c>
      <c r="H3501" s="35">
        <v>48.4</v>
      </c>
      <c r="I3501" s="37">
        <f t="shared" si="54"/>
        <v>1.7018403786243223E-3</v>
      </c>
      <c r="J3501" s="33" t="s">
        <v>116</v>
      </c>
    </row>
    <row r="3502" spans="1:10">
      <c r="A3502" s="33" t="s">
        <v>85</v>
      </c>
      <c r="B3502" s="34">
        <v>339.70699999999999</v>
      </c>
      <c r="C3502" s="35">
        <v>28439.8</v>
      </c>
      <c r="D3502" s="33" t="s">
        <v>279</v>
      </c>
      <c r="E3502" s="34">
        <v>339.72</v>
      </c>
      <c r="F3502" s="36">
        <v>1.30000000000337E-2</v>
      </c>
      <c r="G3502" s="34">
        <v>1.30000000000337E-2</v>
      </c>
      <c r="H3502" s="35">
        <v>3.1</v>
      </c>
      <c r="I3502" s="37">
        <f t="shared" si="54"/>
        <v>1.0900217301106196E-4</v>
      </c>
      <c r="J3502" s="33"/>
    </row>
    <row r="3503" spans="1:10">
      <c r="A3503" s="33" t="s">
        <v>85</v>
      </c>
      <c r="B3503" s="34">
        <v>339.70699999999999</v>
      </c>
      <c r="C3503" s="35">
        <v>28439.8</v>
      </c>
      <c r="D3503" s="33" t="s">
        <v>36</v>
      </c>
      <c r="E3503" s="34">
        <v>339.72199999999998</v>
      </c>
      <c r="F3503" s="36">
        <v>1.4999999999999999E-2</v>
      </c>
      <c r="G3503" s="34">
        <v>1.4999999999999999E-2</v>
      </c>
      <c r="H3503" s="35">
        <v>43.3</v>
      </c>
      <c r="I3503" s="37">
        <f t="shared" si="54"/>
        <v>1.5225142230254783E-3</v>
      </c>
      <c r="J3503" s="33" t="s">
        <v>116</v>
      </c>
    </row>
    <row r="3504" spans="1:10">
      <c r="A3504" s="33" t="s">
        <v>85</v>
      </c>
      <c r="B3504" s="34">
        <v>339.70699999999999</v>
      </c>
      <c r="C3504" s="35">
        <v>28439.8</v>
      </c>
      <c r="D3504" s="33" t="s">
        <v>269</v>
      </c>
      <c r="E3504" s="34">
        <v>339.726</v>
      </c>
      <c r="F3504" s="36">
        <v>1.9000000000005499E-2</v>
      </c>
      <c r="G3504" s="34">
        <v>1.9000000000005499E-2</v>
      </c>
      <c r="H3504" s="35">
        <v>30.6</v>
      </c>
      <c r="I3504" s="37">
        <f t="shared" si="54"/>
        <v>1.0759569335930634E-3</v>
      </c>
      <c r="J3504" s="33"/>
    </row>
    <row r="3505" spans="1:10">
      <c r="A3505" s="33" t="s">
        <v>85</v>
      </c>
      <c r="B3505" s="34">
        <v>339.70699999999999</v>
      </c>
      <c r="C3505" s="35">
        <v>28439.8</v>
      </c>
      <c r="D3505" s="33" t="s">
        <v>269</v>
      </c>
      <c r="E3505" s="34">
        <v>339.76</v>
      </c>
      <c r="F3505" s="36">
        <v>5.2999999999997299E-2</v>
      </c>
      <c r="G3505" s="34">
        <v>5.2999999999997299E-2</v>
      </c>
      <c r="H3505" s="35">
        <v>26.7</v>
      </c>
      <c r="I3505" s="37">
        <f t="shared" si="54"/>
        <v>9.3882516754688848E-4</v>
      </c>
      <c r="J3505" s="33"/>
    </row>
    <row r="3506" spans="1:10">
      <c r="A3506" s="33" t="s">
        <v>85</v>
      </c>
      <c r="B3506" s="34">
        <v>339.70699999999999</v>
      </c>
      <c r="C3506" s="35">
        <v>28439.8</v>
      </c>
      <c r="D3506" s="33" t="s">
        <v>275</v>
      </c>
      <c r="E3506" s="34">
        <v>339.76799999999997</v>
      </c>
      <c r="F3506" s="36">
        <v>6.0999999999978599E-2</v>
      </c>
      <c r="G3506" s="34">
        <v>6.0999999999978599E-2</v>
      </c>
      <c r="H3506" s="35">
        <v>11.1</v>
      </c>
      <c r="I3506" s="37">
        <f t="shared" si="54"/>
        <v>3.902981033621896E-4</v>
      </c>
      <c r="J3506" s="33"/>
    </row>
    <row r="3507" spans="1:10">
      <c r="A3507" s="33" t="s">
        <v>85</v>
      </c>
      <c r="B3507" s="34">
        <v>339.70699999999999</v>
      </c>
      <c r="C3507" s="35">
        <v>28439.8</v>
      </c>
      <c r="D3507" s="33" t="s">
        <v>270</v>
      </c>
      <c r="E3507" s="34">
        <v>339.77699999999999</v>
      </c>
      <c r="F3507" s="36">
        <v>6.9999999999993207E-2</v>
      </c>
      <c r="G3507" s="34">
        <v>6.9999999999993207E-2</v>
      </c>
      <c r="H3507" s="35">
        <v>300.39999999999998</v>
      </c>
      <c r="I3507" s="37">
        <f t="shared" si="54"/>
        <v>1.0562662184684843E-2</v>
      </c>
      <c r="J3507" s="33"/>
    </row>
    <row r="3508" spans="1:10">
      <c r="A3508" s="33" t="s">
        <v>85</v>
      </c>
      <c r="B3508" s="34">
        <v>339.70699999999999</v>
      </c>
      <c r="C3508" s="35">
        <v>28439.8</v>
      </c>
      <c r="D3508" s="33" t="s">
        <v>165</v>
      </c>
      <c r="E3508" s="34">
        <v>339.78100000000001</v>
      </c>
      <c r="F3508" s="36">
        <v>7.4000000000012306E-2</v>
      </c>
      <c r="G3508" s="34">
        <v>7.4000000000012306E-2</v>
      </c>
      <c r="H3508" s="35">
        <v>0.8</v>
      </c>
      <c r="I3508" s="37">
        <f t="shared" si="54"/>
        <v>2.8129593035112768E-5</v>
      </c>
      <c r="J3508" s="33"/>
    </row>
    <row r="3509" spans="1:10">
      <c r="A3509" s="33" t="s">
        <v>85</v>
      </c>
      <c r="B3509" s="34">
        <v>339.70699999999999</v>
      </c>
      <c r="C3509" s="35">
        <v>28439.8</v>
      </c>
      <c r="D3509" s="33" t="s">
        <v>271</v>
      </c>
      <c r="E3509" s="34">
        <v>339.78399999999999</v>
      </c>
      <c r="F3509" s="36">
        <v>7.6999999999998195E-2</v>
      </c>
      <c r="G3509" s="34">
        <v>7.6999999999998195E-2</v>
      </c>
      <c r="H3509" s="35">
        <v>124.5</v>
      </c>
      <c r="I3509" s="37">
        <f t="shared" si="54"/>
        <v>4.377667916089424E-3</v>
      </c>
      <c r="J3509" s="33"/>
    </row>
    <row r="3510" spans="1:10">
      <c r="A3510" s="33" t="s">
        <v>85</v>
      </c>
      <c r="B3510" s="34">
        <v>339.70699999999999</v>
      </c>
      <c r="C3510" s="35">
        <v>28439.8</v>
      </c>
      <c r="D3510" s="33" t="s">
        <v>236</v>
      </c>
      <c r="E3510" s="34">
        <v>339.79199999999997</v>
      </c>
      <c r="F3510" s="36">
        <v>8.4999999999979495E-2</v>
      </c>
      <c r="G3510" s="34">
        <v>8.4999999999979495E-2</v>
      </c>
      <c r="H3510" s="35">
        <v>28.6</v>
      </c>
      <c r="I3510" s="37">
        <f t="shared" si="54"/>
        <v>1.0056329510052815E-3</v>
      </c>
      <c r="J3510" s="33"/>
    </row>
    <row r="3511" spans="1:10">
      <c r="A3511" s="33" t="s">
        <v>85</v>
      </c>
      <c r="B3511" s="34">
        <v>339.70699999999999</v>
      </c>
      <c r="C3511" s="35">
        <v>28439.8</v>
      </c>
      <c r="D3511" s="33" t="s">
        <v>274</v>
      </c>
      <c r="E3511" s="34">
        <v>339.80900000000003</v>
      </c>
      <c r="F3511" s="36">
        <v>0.102000000000032</v>
      </c>
      <c r="G3511" s="34">
        <v>0.102000000000032</v>
      </c>
      <c r="H3511" s="35">
        <v>75</v>
      </c>
      <c r="I3511" s="37">
        <f t="shared" si="54"/>
        <v>2.6371493470418216E-3</v>
      </c>
      <c r="J3511" s="33"/>
    </row>
    <row r="3512" spans="1:10">
      <c r="A3512" s="33" t="s">
        <v>85</v>
      </c>
      <c r="B3512" s="34">
        <v>339.70699999999999</v>
      </c>
      <c r="C3512" s="35">
        <v>28439.8</v>
      </c>
      <c r="D3512" s="33" t="s">
        <v>277</v>
      </c>
      <c r="E3512" s="34">
        <v>339.82600000000002</v>
      </c>
      <c r="F3512" s="36">
        <v>0.119000000000028</v>
      </c>
      <c r="G3512" s="34">
        <v>0.119000000000028</v>
      </c>
      <c r="H3512" s="35">
        <v>100.9</v>
      </c>
      <c r="I3512" s="37">
        <f t="shared" si="54"/>
        <v>3.5478449215535978E-3</v>
      </c>
      <c r="J3512" s="33"/>
    </row>
    <row r="3513" spans="1:10">
      <c r="A3513" s="33" t="s">
        <v>85</v>
      </c>
      <c r="B3513" s="34">
        <v>339.70699999999999</v>
      </c>
      <c r="C3513" s="35">
        <v>28439.8</v>
      </c>
      <c r="D3513" s="33" t="s">
        <v>84</v>
      </c>
      <c r="E3513" s="34">
        <v>339.827</v>
      </c>
      <c r="F3513" s="36">
        <v>0.12</v>
      </c>
      <c r="G3513" s="34">
        <v>0.12</v>
      </c>
      <c r="H3513" s="35">
        <v>7414</v>
      </c>
      <c r="I3513" s="37">
        <f t="shared" si="54"/>
        <v>0.26069100345290758</v>
      </c>
      <c r="J3513" s="33" t="s">
        <v>116</v>
      </c>
    </row>
    <row r="3514" spans="1:10">
      <c r="A3514" s="33" t="s">
        <v>85</v>
      </c>
      <c r="B3514" s="34">
        <v>339.70699999999999</v>
      </c>
      <c r="C3514" s="35">
        <v>28439.8</v>
      </c>
      <c r="D3514" s="33" t="s">
        <v>193</v>
      </c>
      <c r="E3514" s="34">
        <v>339.83100000000002</v>
      </c>
      <c r="F3514" s="36">
        <v>0.12400000000002399</v>
      </c>
      <c r="G3514" s="34">
        <v>0.12400000000002399</v>
      </c>
      <c r="H3514" s="35">
        <v>176.1</v>
      </c>
      <c r="I3514" s="37">
        <f t="shared" si="54"/>
        <v>6.1920266668541975E-3</v>
      </c>
      <c r="J3514" s="33"/>
    </row>
    <row r="3515" spans="1:10">
      <c r="A3515" s="33" t="s">
        <v>85</v>
      </c>
      <c r="B3515" s="34">
        <v>339.70699999999999</v>
      </c>
      <c r="C3515" s="35">
        <v>28439.8</v>
      </c>
      <c r="D3515" s="33" t="s">
        <v>201</v>
      </c>
      <c r="E3515" s="34">
        <v>339.83499999999998</v>
      </c>
      <c r="F3515" s="36">
        <v>0.12799999999998601</v>
      </c>
      <c r="G3515" s="34">
        <v>0.12799999999998601</v>
      </c>
      <c r="H3515" s="35">
        <v>605.79999999999995</v>
      </c>
      <c r="I3515" s="37">
        <f t="shared" si="54"/>
        <v>2.130113432583914E-2</v>
      </c>
      <c r="J3515" s="33"/>
    </row>
    <row r="3516" spans="1:10">
      <c r="A3516" s="33" t="s">
        <v>85</v>
      </c>
      <c r="B3516" s="34">
        <v>339.70699999999999</v>
      </c>
      <c r="C3516" s="35">
        <v>28439.8</v>
      </c>
      <c r="D3516" s="33" t="s">
        <v>271</v>
      </c>
      <c r="E3516" s="34">
        <v>339.85399999999998</v>
      </c>
      <c r="F3516" s="36">
        <v>0.146999999999991</v>
      </c>
      <c r="G3516" s="34">
        <v>0.146999999999991</v>
      </c>
      <c r="H3516" s="35">
        <v>417</v>
      </c>
      <c r="I3516" s="37">
        <f t="shared" si="54"/>
        <v>1.4662550369552529E-2</v>
      </c>
      <c r="J3516" s="33"/>
    </row>
    <row r="3517" spans="1:10">
      <c r="A3517" s="33" t="s">
        <v>85</v>
      </c>
      <c r="B3517" s="34">
        <v>339.70699999999999</v>
      </c>
      <c r="C3517" s="35">
        <v>28439.8</v>
      </c>
      <c r="D3517" s="33" t="s">
        <v>25</v>
      </c>
      <c r="E3517" s="34">
        <v>339.87200000000001</v>
      </c>
      <c r="F3517" s="36">
        <v>0.16500000000002099</v>
      </c>
      <c r="G3517" s="34">
        <v>0.16500000000002099</v>
      </c>
      <c r="H3517" s="35">
        <v>55.5</v>
      </c>
      <c r="I3517" s="37">
        <f t="shared" si="54"/>
        <v>1.9514905168109482E-3</v>
      </c>
      <c r="J3517" s="33" t="s">
        <v>116</v>
      </c>
    </row>
    <row r="3518" spans="1:10">
      <c r="A3518" s="33" t="s">
        <v>85</v>
      </c>
      <c r="B3518" s="34">
        <v>350.738</v>
      </c>
      <c r="C3518" s="35">
        <v>44750</v>
      </c>
      <c r="D3518" s="33" t="s">
        <v>236</v>
      </c>
      <c r="E3518" s="34">
        <v>350.56799999999998</v>
      </c>
      <c r="F3518" s="36">
        <v>0.170000000000016</v>
      </c>
      <c r="G3518" s="34">
        <v>0.170000000000016</v>
      </c>
      <c r="H3518" s="35">
        <v>17822.2</v>
      </c>
      <c r="I3518" s="37">
        <f t="shared" si="54"/>
        <v>0.3982614525139665</v>
      </c>
      <c r="J3518" s="33"/>
    </row>
    <row r="3519" spans="1:10">
      <c r="A3519" s="33" t="s">
        <v>85</v>
      </c>
      <c r="B3519" s="34">
        <v>350.738</v>
      </c>
      <c r="C3519" s="35">
        <v>44750</v>
      </c>
      <c r="D3519" s="33" t="s">
        <v>237</v>
      </c>
      <c r="E3519" s="34">
        <v>350.59</v>
      </c>
      <c r="F3519" s="36">
        <v>0.148000000000025</v>
      </c>
      <c r="G3519" s="34">
        <v>0.148000000000025</v>
      </c>
      <c r="H3519" s="35">
        <v>62.8</v>
      </c>
      <c r="I3519" s="37">
        <f t="shared" si="54"/>
        <v>1.4033519553072625E-3</v>
      </c>
      <c r="J3519" s="33"/>
    </row>
    <row r="3520" spans="1:10">
      <c r="A3520" s="33" t="s">
        <v>85</v>
      </c>
      <c r="B3520" s="34">
        <v>350.738</v>
      </c>
      <c r="C3520" s="35">
        <v>44750</v>
      </c>
      <c r="D3520" s="33" t="s">
        <v>236</v>
      </c>
      <c r="E3520" s="34">
        <v>350.60500000000002</v>
      </c>
      <c r="F3520" s="36">
        <v>0.13299999999998099</v>
      </c>
      <c r="G3520" s="34">
        <v>0.13299999999998099</v>
      </c>
      <c r="H3520" s="35">
        <v>1272.0999999999999</v>
      </c>
      <c r="I3520" s="37">
        <f t="shared" si="54"/>
        <v>2.8426815642458098E-2</v>
      </c>
      <c r="J3520" s="33"/>
    </row>
    <row r="3521" spans="1:10">
      <c r="A3521" s="33" t="s">
        <v>85</v>
      </c>
      <c r="B3521" s="34">
        <v>350.738</v>
      </c>
      <c r="C3521" s="35">
        <v>44750</v>
      </c>
      <c r="D3521" s="33" t="s">
        <v>25</v>
      </c>
      <c r="E3521" s="34">
        <v>350.625</v>
      </c>
      <c r="F3521" s="36">
        <v>0.113</v>
      </c>
      <c r="G3521" s="34">
        <v>0.113</v>
      </c>
      <c r="H3521" s="35">
        <v>197.5</v>
      </c>
      <c r="I3521" s="37">
        <f t="shared" si="54"/>
        <v>4.4134078212290503E-3</v>
      </c>
      <c r="J3521" s="33" t="s">
        <v>116</v>
      </c>
    </row>
    <row r="3522" spans="1:10">
      <c r="A3522" s="33" t="s">
        <v>85</v>
      </c>
      <c r="B3522" s="34">
        <v>350.738</v>
      </c>
      <c r="C3522" s="35">
        <v>44750</v>
      </c>
      <c r="D3522" s="33" t="s">
        <v>54</v>
      </c>
      <c r="E3522" s="34">
        <v>350.63099999999997</v>
      </c>
      <c r="F3522" s="36">
        <v>0.107000000000028</v>
      </c>
      <c r="G3522" s="34">
        <v>0.107000000000028</v>
      </c>
      <c r="H3522" s="35">
        <v>2728.5</v>
      </c>
      <c r="I3522" s="37">
        <f t="shared" ref="I3522:I3585" si="55">H3522/C3522</f>
        <v>6.0972067039106147E-2</v>
      </c>
      <c r="J3522" s="33"/>
    </row>
    <row r="3523" spans="1:10">
      <c r="A3523" s="33" t="s">
        <v>85</v>
      </c>
      <c r="B3523" s="34">
        <v>350.738</v>
      </c>
      <c r="C3523" s="35">
        <v>44750</v>
      </c>
      <c r="D3523" s="33" t="s">
        <v>287</v>
      </c>
      <c r="E3523" s="34">
        <v>350.64800000000002</v>
      </c>
      <c r="F3523" s="36">
        <v>8.9999999999975003E-2</v>
      </c>
      <c r="G3523" s="34">
        <v>8.9999999999975003E-2</v>
      </c>
      <c r="H3523" s="35">
        <v>3450</v>
      </c>
      <c r="I3523" s="37">
        <f t="shared" si="55"/>
        <v>7.7094972067039108E-2</v>
      </c>
      <c r="J3523" s="33"/>
    </row>
    <row r="3524" spans="1:10">
      <c r="A3524" s="33" t="s">
        <v>85</v>
      </c>
      <c r="B3524" s="34">
        <v>350.738</v>
      </c>
      <c r="C3524" s="35">
        <v>44750</v>
      </c>
      <c r="D3524" s="33" t="s">
        <v>97</v>
      </c>
      <c r="E3524" s="34">
        <v>350.65</v>
      </c>
      <c r="F3524" s="36">
        <v>8.8000000000022296E-2</v>
      </c>
      <c r="G3524" s="34">
        <v>8.8000000000022296E-2</v>
      </c>
      <c r="H3524" s="35">
        <v>10.8</v>
      </c>
      <c r="I3524" s="37">
        <f t="shared" si="55"/>
        <v>2.4134078212290503E-4</v>
      </c>
      <c r="J3524" s="33"/>
    </row>
    <row r="3525" spans="1:10">
      <c r="A3525" s="33" t="s">
        <v>85</v>
      </c>
      <c r="B3525" s="34">
        <v>350.738</v>
      </c>
      <c r="C3525" s="35">
        <v>44750</v>
      </c>
      <c r="D3525" s="33" t="s">
        <v>236</v>
      </c>
      <c r="E3525" s="34">
        <v>350.65</v>
      </c>
      <c r="F3525" s="36">
        <v>8.8000000000022296E-2</v>
      </c>
      <c r="G3525" s="34">
        <v>8.8000000000022296E-2</v>
      </c>
      <c r="H3525" s="35">
        <v>203.9</v>
      </c>
      <c r="I3525" s="37">
        <f t="shared" si="55"/>
        <v>4.5564245810055864E-3</v>
      </c>
      <c r="J3525" s="33"/>
    </row>
    <row r="3526" spans="1:10">
      <c r="A3526" s="33" t="s">
        <v>85</v>
      </c>
      <c r="B3526" s="34">
        <v>350.738</v>
      </c>
      <c r="C3526" s="35">
        <v>44750</v>
      </c>
      <c r="D3526" s="33" t="s">
        <v>278</v>
      </c>
      <c r="E3526" s="34">
        <v>350.65499999999997</v>
      </c>
      <c r="F3526" s="36">
        <v>8.3000000000026802E-2</v>
      </c>
      <c r="G3526" s="34">
        <v>8.3000000000026802E-2</v>
      </c>
      <c r="H3526" s="35">
        <v>22</v>
      </c>
      <c r="I3526" s="37">
        <f t="shared" si="55"/>
        <v>4.9162011173184363E-4</v>
      </c>
      <c r="J3526" s="33"/>
    </row>
    <row r="3527" spans="1:10">
      <c r="A3527" s="33" t="s">
        <v>85</v>
      </c>
      <c r="B3527" s="34">
        <v>350.738</v>
      </c>
      <c r="C3527" s="35">
        <v>44750</v>
      </c>
      <c r="D3527" s="33" t="s">
        <v>277</v>
      </c>
      <c r="E3527" s="34">
        <v>350.67899999999997</v>
      </c>
      <c r="F3527" s="36">
        <v>5.90000000000259E-2</v>
      </c>
      <c r="G3527" s="34">
        <v>5.90000000000259E-2</v>
      </c>
      <c r="H3527" s="35">
        <v>103.7</v>
      </c>
      <c r="I3527" s="37">
        <f t="shared" si="55"/>
        <v>2.3173184357541902E-3</v>
      </c>
      <c r="J3527" s="33"/>
    </row>
    <row r="3528" spans="1:10">
      <c r="A3528" s="33" t="s">
        <v>85</v>
      </c>
      <c r="B3528" s="34">
        <v>350.738</v>
      </c>
      <c r="C3528" s="35">
        <v>44750</v>
      </c>
      <c r="D3528" s="33" t="s">
        <v>33</v>
      </c>
      <c r="E3528" s="34">
        <v>350.68099999999998</v>
      </c>
      <c r="F3528" s="36">
        <v>5.7000000000016399E-2</v>
      </c>
      <c r="G3528" s="34">
        <v>5.7000000000016399E-2</v>
      </c>
      <c r="H3528" s="35">
        <v>4551.8999999999996</v>
      </c>
      <c r="I3528" s="37">
        <f t="shared" si="55"/>
        <v>0.10171843575418994</v>
      </c>
      <c r="J3528" s="33" t="s">
        <v>116</v>
      </c>
    </row>
    <row r="3529" spans="1:10">
      <c r="A3529" s="33" t="s">
        <v>85</v>
      </c>
      <c r="B3529" s="34">
        <v>350.738</v>
      </c>
      <c r="C3529" s="35">
        <v>44750</v>
      </c>
      <c r="D3529" s="33" t="s">
        <v>271</v>
      </c>
      <c r="E3529" s="34">
        <v>350.685</v>
      </c>
      <c r="F3529" s="36">
        <v>5.2999999999997299E-2</v>
      </c>
      <c r="G3529" s="34">
        <v>5.2999999999997299E-2</v>
      </c>
      <c r="H3529" s="35">
        <v>223.8</v>
      </c>
      <c r="I3529" s="37">
        <f t="shared" si="55"/>
        <v>5.0011173184357546E-3</v>
      </c>
      <c r="J3529" s="33"/>
    </row>
    <row r="3530" spans="1:10">
      <c r="A3530" s="33" t="s">
        <v>85</v>
      </c>
      <c r="B3530" s="34">
        <v>350.738</v>
      </c>
      <c r="C3530" s="35">
        <v>44750</v>
      </c>
      <c r="D3530" s="33" t="s">
        <v>94</v>
      </c>
      <c r="E3530" s="34">
        <v>350.69499999999999</v>
      </c>
      <c r="F3530" s="36">
        <v>4.2999999999999997E-2</v>
      </c>
      <c r="G3530" s="34">
        <v>4.2999999999999997E-2</v>
      </c>
      <c r="H3530" s="35">
        <v>2346.5</v>
      </c>
      <c r="I3530" s="37">
        <f t="shared" si="55"/>
        <v>5.2435754189944131E-2</v>
      </c>
      <c r="J3530" s="33" t="s">
        <v>116</v>
      </c>
    </row>
    <row r="3531" spans="1:10">
      <c r="A3531" s="33" t="s">
        <v>85</v>
      </c>
      <c r="B3531" s="34">
        <v>350.738</v>
      </c>
      <c r="C3531" s="35">
        <v>44750</v>
      </c>
      <c r="D3531" s="33" t="s">
        <v>277</v>
      </c>
      <c r="E3531" s="34">
        <v>350.70499999999998</v>
      </c>
      <c r="F3531" s="36">
        <v>3.3000000000015503E-2</v>
      </c>
      <c r="G3531" s="34">
        <v>3.3000000000015503E-2</v>
      </c>
      <c r="H3531" s="35">
        <v>88.7</v>
      </c>
      <c r="I3531" s="37">
        <f t="shared" si="55"/>
        <v>1.982122905027933E-3</v>
      </c>
      <c r="J3531" s="33"/>
    </row>
    <row r="3532" spans="1:10">
      <c r="A3532" s="33" t="s">
        <v>85</v>
      </c>
      <c r="B3532" s="34">
        <v>350.738</v>
      </c>
      <c r="C3532" s="35">
        <v>44750</v>
      </c>
      <c r="D3532" s="33" t="s">
        <v>275</v>
      </c>
      <c r="E3532" s="34">
        <v>350.72899999999998</v>
      </c>
      <c r="F3532" s="36">
        <v>9.0000000000145502E-3</v>
      </c>
      <c r="G3532" s="34">
        <v>9.0000000000145502E-3</v>
      </c>
      <c r="H3532" s="35">
        <v>5.8</v>
      </c>
      <c r="I3532" s="37">
        <f t="shared" si="55"/>
        <v>1.2960893854748604E-4</v>
      </c>
      <c r="J3532" s="33"/>
    </row>
    <row r="3533" spans="1:10">
      <c r="A3533" s="33" t="s">
        <v>85</v>
      </c>
      <c r="B3533" s="34">
        <v>350.738</v>
      </c>
      <c r="C3533" s="35">
        <v>44750</v>
      </c>
      <c r="D3533" s="33" t="s">
        <v>282</v>
      </c>
      <c r="E3533" s="34">
        <v>350.73099999999999</v>
      </c>
      <c r="F3533" s="36">
        <v>7.0000000000049996E-3</v>
      </c>
      <c r="G3533" s="34">
        <v>7.0000000000049996E-3</v>
      </c>
      <c r="H3533" s="35">
        <v>1341.2</v>
      </c>
      <c r="I3533" s="37">
        <f t="shared" si="55"/>
        <v>2.9970949720670392E-2</v>
      </c>
      <c r="J3533" s="33"/>
    </row>
    <row r="3534" spans="1:10">
      <c r="A3534" s="33" t="s">
        <v>85</v>
      </c>
      <c r="B3534" s="34">
        <v>350.738</v>
      </c>
      <c r="C3534" s="35">
        <v>44750</v>
      </c>
      <c r="D3534" s="33" t="s">
        <v>277</v>
      </c>
      <c r="E3534" s="34">
        <v>350.73399999999998</v>
      </c>
      <c r="F3534" s="36">
        <v>4.0000000000191003E-3</v>
      </c>
      <c r="G3534" s="34">
        <v>4.0000000000191003E-3</v>
      </c>
      <c r="H3534" s="35">
        <v>124.3</v>
      </c>
      <c r="I3534" s="37">
        <f t="shared" si="55"/>
        <v>2.777653631284916E-3</v>
      </c>
      <c r="J3534" s="33"/>
    </row>
    <row r="3535" spans="1:10">
      <c r="A3535" s="33" t="s">
        <v>85</v>
      </c>
      <c r="B3535" s="34">
        <v>350.738</v>
      </c>
      <c r="C3535" s="35">
        <v>44750</v>
      </c>
      <c r="D3535" s="33" t="s">
        <v>201</v>
      </c>
      <c r="E3535" s="34">
        <v>350.74400000000003</v>
      </c>
      <c r="F3535" s="36">
        <v>6.00000000002865E-3</v>
      </c>
      <c r="G3535" s="34">
        <v>6.00000000002865E-3</v>
      </c>
      <c r="H3535" s="35">
        <v>2501.4</v>
      </c>
      <c r="I3535" s="37">
        <f t="shared" si="55"/>
        <v>5.5897206703910615E-2</v>
      </c>
      <c r="J3535" s="33"/>
    </row>
    <row r="3536" spans="1:10">
      <c r="A3536" s="33" t="s">
        <v>85</v>
      </c>
      <c r="B3536" s="34">
        <v>350.738</v>
      </c>
      <c r="C3536" s="35">
        <v>44750</v>
      </c>
      <c r="D3536" s="33" t="s">
        <v>268</v>
      </c>
      <c r="E3536" s="34">
        <v>350.75099999999998</v>
      </c>
      <c r="F3536" s="36">
        <v>1.2999999999976799E-2</v>
      </c>
      <c r="G3536" s="34">
        <v>1.2999999999976799E-2</v>
      </c>
      <c r="H3536" s="35">
        <v>1.3</v>
      </c>
      <c r="I3536" s="37">
        <f t="shared" si="55"/>
        <v>2.9050279329608941E-5</v>
      </c>
      <c r="J3536" s="33"/>
    </row>
    <row r="3537" spans="1:10">
      <c r="A3537" s="33" t="s">
        <v>85</v>
      </c>
      <c r="B3537" s="34">
        <v>350.738</v>
      </c>
      <c r="C3537" s="35">
        <v>44750</v>
      </c>
      <c r="D3537" s="33" t="s">
        <v>278</v>
      </c>
      <c r="E3537" s="34">
        <v>350.75400000000002</v>
      </c>
      <c r="F3537" s="36">
        <v>1.6000000000019599E-2</v>
      </c>
      <c r="G3537" s="34">
        <v>1.6000000000019599E-2</v>
      </c>
      <c r="H3537" s="35">
        <v>63.4</v>
      </c>
      <c r="I3537" s="37">
        <f t="shared" si="55"/>
        <v>1.4167597765363128E-3</v>
      </c>
      <c r="J3537" s="33"/>
    </row>
    <row r="3538" spans="1:10">
      <c r="A3538" s="33" t="s">
        <v>85</v>
      </c>
      <c r="B3538" s="34">
        <v>350.738</v>
      </c>
      <c r="C3538" s="35">
        <v>44750</v>
      </c>
      <c r="D3538" s="33" t="s">
        <v>236</v>
      </c>
      <c r="E3538" s="34">
        <v>350.76400000000001</v>
      </c>
      <c r="F3538" s="36">
        <v>2.6000000000010501E-2</v>
      </c>
      <c r="G3538" s="34">
        <v>2.6000000000010501E-2</v>
      </c>
      <c r="H3538" s="35">
        <v>418.4</v>
      </c>
      <c r="I3538" s="37">
        <f t="shared" si="55"/>
        <v>9.349720670391061E-3</v>
      </c>
      <c r="J3538" s="33"/>
    </row>
    <row r="3539" spans="1:10">
      <c r="A3539" s="33" t="s">
        <v>85</v>
      </c>
      <c r="B3539" s="34">
        <v>350.738</v>
      </c>
      <c r="C3539" s="35">
        <v>44750</v>
      </c>
      <c r="D3539" s="33" t="s">
        <v>165</v>
      </c>
      <c r="E3539" s="34">
        <v>350.76900000000001</v>
      </c>
      <c r="F3539" s="36">
        <v>3.1000000000005901E-2</v>
      </c>
      <c r="G3539" s="34">
        <v>3.1000000000005901E-2</v>
      </c>
      <c r="H3539" s="35">
        <v>26.6</v>
      </c>
      <c r="I3539" s="37">
        <f t="shared" si="55"/>
        <v>5.9441340782122906E-4</v>
      </c>
      <c r="J3539" s="33"/>
    </row>
    <row r="3540" spans="1:10">
      <c r="A3540" s="33" t="s">
        <v>85</v>
      </c>
      <c r="B3540" s="34">
        <v>350.738</v>
      </c>
      <c r="C3540" s="35">
        <v>44750</v>
      </c>
      <c r="D3540" s="33" t="s">
        <v>54</v>
      </c>
      <c r="E3540" s="34">
        <v>350.77800000000002</v>
      </c>
      <c r="F3540" s="36">
        <v>4.0000000000020498E-2</v>
      </c>
      <c r="G3540" s="34">
        <v>4.0000000000020498E-2</v>
      </c>
      <c r="H3540" s="35">
        <v>39.200000000000003</v>
      </c>
      <c r="I3540" s="37">
        <f t="shared" si="55"/>
        <v>8.7597765363128495E-4</v>
      </c>
      <c r="J3540" s="33"/>
    </row>
    <row r="3541" spans="1:10">
      <c r="A3541" s="33" t="s">
        <v>85</v>
      </c>
      <c r="B3541" s="34">
        <v>350.738</v>
      </c>
      <c r="C3541" s="35">
        <v>44750</v>
      </c>
      <c r="D3541" s="33" t="s">
        <v>201</v>
      </c>
      <c r="E3541" s="34">
        <v>350.78300000000002</v>
      </c>
      <c r="F3541" s="36">
        <v>4.5000000000015902E-2</v>
      </c>
      <c r="G3541" s="34">
        <v>4.5000000000015902E-2</v>
      </c>
      <c r="H3541" s="35">
        <v>497.8</v>
      </c>
      <c r="I3541" s="37">
        <f t="shared" si="55"/>
        <v>1.1124022346368716E-2</v>
      </c>
      <c r="J3541" s="33"/>
    </row>
    <row r="3542" spans="1:10">
      <c r="A3542" s="33" t="s">
        <v>85</v>
      </c>
      <c r="B3542" s="34">
        <v>350.738</v>
      </c>
      <c r="C3542" s="35">
        <v>44750</v>
      </c>
      <c r="D3542" s="33" t="s">
        <v>63</v>
      </c>
      <c r="E3542" s="34">
        <v>350.79300000000001</v>
      </c>
      <c r="F3542" s="36">
        <v>5.5E-2</v>
      </c>
      <c r="G3542" s="34">
        <v>5.5E-2</v>
      </c>
      <c r="H3542" s="35">
        <v>497.5</v>
      </c>
      <c r="I3542" s="37">
        <f t="shared" si="55"/>
        <v>1.1117318435754191E-2</v>
      </c>
      <c r="J3542" s="33" t="s">
        <v>116</v>
      </c>
    </row>
    <row r="3543" spans="1:10">
      <c r="A3543" s="33" t="s">
        <v>85</v>
      </c>
      <c r="B3543" s="34">
        <v>350.738</v>
      </c>
      <c r="C3543" s="35">
        <v>44750</v>
      </c>
      <c r="D3543" s="33" t="s">
        <v>25</v>
      </c>
      <c r="E3543" s="34">
        <v>350.79399999999998</v>
      </c>
      <c r="F3543" s="36">
        <v>5.5999999999983202E-2</v>
      </c>
      <c r="G3543" s="34">
        <v>5.5999999999983202E-2</v>
      </c>
      <c r="H3543" s="35">
        <v>877.5</v>
      </c>
      <c r="I3543" s="37">
        <f t="shared" si="55"/>
        <v>1.9608938547486035E-2</v>
      </c>
      <c r="J3543" s="33" t="s">
        <v>116</v>
      </c>
    </row>
    <row r="3544" spans="1:10">
      <c r="A3544" s="33" t="s">
        <v>85</v>
      </c>
      <c r="B3544" s="34">
        <v>350.738</v>
      </c>
      <c r="C3544" s="35">
        <v>44750</v>
      </c>
      <c r="D3544" s="33" t="s">
        <v>116</v>
      </c>
      <c r="E3544" s="34">
        <v>350.79599999999999</v>
      </c>
      <c r="F3544" s="36">
        <v>5.8000000000000003E-2</v>
      </c>
      <c r="G3544" s="34">
        <v>5.8000000000000003E-2</v>
      </c>
      <c r="H3544" s="35">
        <v>175.6</v>
      </c>
      <c r="I3544" s="37">
        <f t="shared" si="55"/>
        <v>3.9240223463687151E-3</v>
      </c>
      <c r="J3544" s="33" t="s">
        <v>116</v>
      </c>
    </row>
    <row r="3545" spans="1:10">
      <c r="A3545" s="33" t="s">
        <v>85</v>
      </c>
      <c r="B3545" s="34">
        <v>350.738</v>
      </c>
      <c r="C3545" s="35">
        <v>44750</v>
      </c>
      <c r="D3545" s="33" t="s">
        <v>239</v>
      </c>
      <c r="E3545" s="34">
        <v>350.80799999999999</v>
      </c>
      <c r="F3545" s="36">
        <v>6.9999999999993207E-2</v>
      </c>
      <c r="G3545" s="34">
        <v>6.9999999999993207E-2</v>
      </c>
      <c r="H3545" s="35">
        <v>19.8</v>
      </c>
      <c r="I3545" s="37">
        <f t="shared" si="55"/>
        <v>4.4245810055865923E-4</v>
      </c>
      <c r="J3545" s="33"/>
    </row>
    <row r="3546" spans="1:10">
      <c r="A3546" s="33" t="s">
        <v>85</v>
      </c>
      <c r="B3546" s="34">
        <v>350.738</v>
      </c>
      <c r="C3546" s="35">
        <v>44750</v>
      </c>
      <c r="D3546" s="33" t="s">
        <v>275</v>
      </c>
      <c r="E3546" s="34">
        <v>350.81099999999998</v>
      </c>
      <c r="F3546" s="36">
        <v>7.2999999999979095E-2</v>
      </c>
      <c r="G3546" s="34">
        <v>7.2999999999979095E-2</v>
      </c>
      <c r="H3546" s="35">
        <v>130.30000000000001</v>
      </c>
      <c r="I3546" s="37">
        <f t="shared" si="55"/>
        <v>2.9117318435754195E-3</v>
      </c>
      <c r="J3546" s="33"/>
    </row>
    <row r="3547" spans="1:10">
      <c r="A3547" s="33" t="s">
        <v>85</v>
      </c>
      <c r="B3547" s="34">
        <v>350.738</v>
      </c>
      <c r="C3547" s="35">
        <v>44750</v>
      </c>
      <c r="D3547" s="33" t="s">
        <v>97</v>
      </c>
      <c r="E3547" s="34">
        <v>350.85199999999998</v>
      </c>
      <c r="F3547" s="36">
        <v>0.113999999999976</v>
      </c>
      <c r="G3547" s="34">
        <v>0.113999999999976</v>
      </c>
      <c r="H3547" s="35">
        <v>22</v>
      </c>
      <c r="I3547" s="37">
        <f t="shared" si="55"/>
        <v>4.9162011173184363E-4</v>
      </c>
      <c r="J3547" s="33"/>
    </row>
    <row r="3548" spans="1:10">
      <c r="A3548" s="33" t="s">
        <v>85</v>
      </c>
      <c r="B3548" s="34">
        <v>350.738</v>
      </c>
      <c r="C3548" s="35">
        <v>44750</v>
      </c>
      <c r="D3548" s="33" t="s">
        <v>25</v>
      </c>
      <c r="E3548" s="34">
        <v>350.87</v>
      </c>
      <c r="F3548" s="36">
        <v>0.132000000000005</v>
      </c>
      <c r="G3548" s="34">
        <v>0.132000000000005</v>
      </c>
      <c r="H3548" s="35">
        <v>446.1</v>
      </c>
      <c r="I3548" s="37">
        <f t="shared" si="55"/>
        <v>9.968715083798884E-3</v>
      </c>
      <c r="J3548" s="33" t="s">
        <v>116</v>
      </c>
    </row>
    <row r="3549" spans="1:10">
      <c r="A3549" s="33" t="s">
        <v>85</v>
      </c>
      <c r="B3549" s="34">
        <v>350.738</v>
      </c>
      <c r="C3549" s="35">
        <v>44750</v>
      </c>
      <c r="D3549" s="33" t="s">
        <v>274</v>
      </c>
      <c r="E3549" s="34">
        <v>350.87400000000002</v>
      </c>
      <c r="F3549" s="36">
        <v>0.13600000000002399</v>
      </c>
      <c r="G3549" s="34">
        <v>0.13600000000002399</v>
      </c>
      <c r="H3549" s="35">
        <v>81.900000000000006</v>
      </c>
      <c r="I3549" s="37">
        <f t="shared" si="55"/>
        <v>1.8301675977653632E-3</v>
      </c>
      <c r="J3549" s="33"/>
    </row>
    <row r="3550" spans="1:10">
      <c r="A3550" s="33" t="s">
        <v>85</v>
      </c>
      <c r="B3550" s="34">
        <v>350.738</v>
      </c>
      <c r="C3550" s="35">
        <v>44750</v>
      </c>
      <c r="D3550" s="33" t="s">
        <v>277</v>
      </c>
      <c r="E3550" s="34">
        <v>350.88400000000001</v>
      </c>
      <c r="F3550" s="36">
        <v>0.14600000000001501</v>
      </c>
      <c r="G3550" s="34">
        <v>0.14600000000001501</v>
      </c>
      <c r="H3550" s="35">
        <v>260</v>
      </c>
      <c r="I3550" s="37">
        <f t="shared" si="55"/>
        <v>5.810055865921788E-3</v>
      </c>
      <c r="J3550" s="33"/>
    </row>
    <row r="3551" spans="1:10">
      <c r="A3551" s="33" t="s">
        <v>85</v>
      </c>
      <c r="B3551" s="34">
        <v>350.738</v>
      </c>
      <c r="C3551" s="35">
        <v>44750</v>
      </c>
      <c r="D3551" s="33" t="s">
        <v>278</v>
      </c>
      <c r="E3551" s="34">
        <v>350.90199999999999</v>
      </c>
      <c r="F3551" s="36">
        <v>0.16399999999998699</v>
      </c>
      <c r="G3551" s="34">
        <v>0.16399999999998699</v>
      </c>
      <c r="H3551" s="35">
        <v>1139</v>
      </c>
      <c r="I3551" s="37">
        <f t="shared" si="55"/>
        <v>2.5452513966480447E-2</v>
      </c>
      <c r="J3551" s="33"/>
    </row>
    <row r="3552" spans="1:10">
      <c r="A3552" s="33" t="s">
        <v>85</v>
      </c>
      <c r="B3552" s="34">
        <v>350.738</v>
      </c>
      <c r="C3552" s="35">
        <v>44750</v>
      </c>
      <c r="D3552" s="33" t="s">
        <v>276</v>
      </c>
      <c r="E3552" s="34">
        <v>350.904</v>
      </c>
      <c r="F3552" s="36">
        <v>0.16599999999999701</v>
      </c>
      <c r="G3552" s="34">
        <v>0.16599999999999701</v>
      </c>
      <c r="H3552" s="35">
        <v>0.3</v>
      </c>
      <c r="I3552" s="37">
        <f t="shared" si="55"/>
        <v>6.7039106145251393E-6</v>
      </c>
      <c r="J3552" s="33"/>
    </row>
    <row r="3553" spans="1:10">
      <c r="A3553" s="33" t="s">
        <v>85</v>
      </c>
      <c r="B3553" s="34">
        <v>350.738</v>
      </c>
      <c r="C3553" s="35">
        <v>44750</v>
      </c>
      <c r="D3553" s="33" t="s">
        <v>271</v>
      </c>
      <c r="E3553" s="34">
        <v>350.90899999999999</v>
      </c>
      <c r="F3553" s="36">
        <v>0.17099999999999199</v>
      </c>
      <c r="G3553" s="34">
        <v>0.17099999999999199</v>
      </c>
      <c r="H3553" s="35">
        <v>133.80000000000001</v>
      </c>
      <c r="I3553" s="37">
        <f t="shared" si="55"/>
        <v>2.9899441340782125E-3</v>
      </c>
      <c r="J3553" s="33"/>
    </row>
    <row r="3554" spans="1:10">
      <c r="A3554" s="33" t="s">
        <v>85</v>
      </c>
      <c r="B3554" s="34">
        <v>350.738</v>
      </c>
      <c r="C3554" s="35">
        <v>44750</v>
      </c>
      <c r="D3554" s="33" t="s">
        <v>97</v>
      </c>
      <c r="E3554" s="34">
        <v>350.91199999999998</v>
      </c>
      <c r="F3554" s="36">
        <v>0.17399999999997801</v>
      </c>
      <c r="G3554" s="34">
        <v>0.17399999999997801</v>
      </c>
      <c r="H3554" s="35">
        <v>0.7</v>
      </c>
      <c r="I3554" s="37">
        <f t="shared" si="55"/>
        <v>1.5642458100558657E-5</v>
      </c>
      <c r="J3554" s="33"/>
    </row>
    <row r="3555" spans="1:10">
      <c r="A3555" s="33" t="s">
        <v>85</v>
      </c>
      <c r="B3555" s="34">
        <v>547.66800000000001</v>
      </c>
      <c r="C3555" s="35">
        <v>106050.9</v>
      </c>
      <c r="D3555" s="33" t="s">
        <v>33</v>
      </c>
      <c r="E3555" s="34">
        <v>547.19100000000003</v>
      </c>
      <c r="F3555" s="36">
        <v>0.476999999999975</v>
      </c>
      <c r="G3555" s="34">
        <v>0.476999999999975</v>
      </c>
      <c r="H3555" s="35">
        <v>147</v>
      </c>
      <c r="I3555" s="37">
        <f t="shared" si="55"/>
        <v>1.3861268504086247E-3</v>
      </c>
      <c r="J3555" s="33" t="s">
        <v>116</v>
      </c>
    </row>
    <row r="3556" spans="1:10">
      <c r="A3556" s="33" t="s">
        <v>85</v>
      </c>
      <c r="B3556" s="34">
        <v>547.66800000000001</v>
      </c>
      <c r="C3556" s="35">
        <v>106050.9</v>
      </c>
      <c r="D3556" s="33" t="s">
        <v>25</v>
      </c>
      <c r="E3556" s="34">
        <v>547.22799999999995</v>
      </c>
      <c r="F3556" s="36">
        <v>0.44000000000005501</v>
      </c>
      <c r="G3556" s="34">
        <v>0.44000000000005501</v>
      </c>
      <c r="H3556" s="35">
        <v>3612</v>
      </c>
      <c r="I3556" s="37">
        <f t="shared" si="55"/>
        <v>3.4059116895754776E-2</v>
      </c>
      <c r="J3556" s="33" t="s">
        <v>116</v>
      </c>
    </row>
    <row r="3557" spans="1:10">
      <c r="A3557" s="33" t="s">
        <v>85</v>
      </c>
      <c r="B3557" s="34">
        <v>547.66800000000001</v>
      </c>
      <c r="C3557" s="35">
        <v>106050.9</v>
      </c>
      <c r="D3557" s="33" t="s">
        <v>311</v>
      </c>
      <c r="E3557" s="34">
        <v>547.22799999999995</v>
      </c>
      <c r="F3557" s="36">
        <v>0.44000000000005501</v>
      </c>
      <c r="G3557" s="34">
        <v>0.44000000000005501</v>
      </c>
      <c r="H3557" s="35">
        <v>39.200000000000003</v>
      </c>
      <c r="I3557" s="37">
        <f t="shared" si="55"/>
        <v>3.6963382677563327E-4</v>
      </c>
      <c r="J3557" s="33"/>
    </row>
    <row r="3558" spans="1:10">
      <c r="A3558" s="33" t="s">
        <v>85</v>
      </c>
      <c r="B3558" s="34">
        <v>547.66800000000001</v>
      </c>
      <c r="C3558" s="35">
        <v>106050.9</v>
      </c>
      <c r="D3558" s="33" t="s">
        <v>280</v>
      </c>
      <c r="E3558" s="34">
        <v>547.23199999999997</v>
      </c>
      <c r="F3558" s="36">
        <v>0.43600000000003603</v>
      </c>
      <c r="G3558" s="34">
        <v>0.43600000000003603</v>
      </c>
      <c r="H3558" s="35">
        <v>64.3</v>
      </c>
      <c r="I3558" s="37">
        <f t="shared" si="55"/>
        <v>6.0631262912431668E-4</v>
      </c>
      <c r="J3558" s="33"/>
    </row>
    <row r="3559" spans="1:10">
      <c r="A3559" s="33" t="s">
        <v>85</v>
      </c>
      <c r="B3559" s="34">
        <v>547.66800000000001</v>
      </c>
      <c r="C3559" s="35">
        <v>106050.9</v>
      </c>
      <c r="D3559" s="33" t="s">
        <v>27</v>
      </c>
      <c r="E3559" s="34">
        <v>547.30799999999999</v>
      </c>
      <c r="F3559" s="36">
        <v>0.36000000000001398</v>
      </c>
      <c r="G3559" s="34">
        <v>0.36000000000001398</v>
      </c>
      <c r="H3559" s="35">
        <v>795.2</v>
      </c>
      <c r="I3559" s="37">
        <f t="shared" si="55"/>
        <v>7.4982862003057033E-3</v>
      </c>
      <c r="J3559" s="33" t="s">
        <v>116</v>
      </c>
    </row>
    <row r="3560" spans="1:10">
      <c r="A3560" s="33" t="s">
        <v>85</v>
      </c>
      <c r="B3560" s="34">
        <v>547.66800000000001</v>
      </c>
      <c r="C3560" s="35">
        <v>106050.9</v>
      </c>
      <c r="D3560" s="33" t="s">
        <v>275</v>
      </c>
      <c r="E3560" s="34">
        <v>547.33600000000001</v>
      </c>
      <c r="F3560" s="36">
        <v>0.33199999999999402</v>
      </c>
      <c r="G3560" s="34">
        <v>0.33199999999999402</v>
      </c>
      <c r="H3560" s="35">
        <v>61.4</v>
      </c>
      <c r="I3560" s="37">
        <f t="shared" si="55"/>
        <v>5.7896726949040514E-4</v>
      </c>
      <c r="J3560" s="33"/>
    </row>
    <row r="3561" spans="1:10">
      <c r="A3561" s="33" t="s">
        <v>85</v>
      </c>
      <c r="B3561" s="34">
        <v>547.66800000000001</v>
      </c>
      <c r="C3561" s="35">
        <v>106050.9</v>
      </c>
      <c r="D3561" s="33" t="s">
        <v>278</v>
      </c>
      <c r="E3561" s="34">
        <v>547.33900000000006</v>
      </c>
      <c r="F3561" s="36">
        <v>0.328999999999951</v>
      </c>
      <c r="G3561" s="34">
        <v>0.328999999999951</v>
      </c>
      <c r="H3561" s="35">
        <v>3715</v>
      </c>
      <c r="I3561" s="37">
        <f t="shared" si="55"/>
        <v>3.5030348634476467E-2</v>
      </c>
      <c r="J3561" s="33"/>
    </row>
    <row r="3562" spans="1:10">
      <c r="A3562" s="33" t="s">
        <v>85</v>
      </c>
      <c r="B3562" s="34">
        <v>547.66800000000001</v>
      </c>
      <c r="C3562" s="35">
        <v>106050.9</v>
      </c>
      <c r="D3562" s="33" t="s">
        <v>184</v>
      </c>
      <c r="E3562" s="34">
        <v>547.36800000000005</v>
      </c>
      <c r="F3562" s="36">
        <v>0.29999999999995502</v>
      </c>
      <c r="G3562" s="34">
        <v>0.29999999999995502</v>
      </c>
      <c r="H3562" s="35">
        <v>523</v>
      </c>
      <c r="I3562" s="37">
        <f t="shared" si="55"/>
        <v>4.9315941684606171E-3</v>
      </c>
      <c r="J3562" s="33"/>
    </row>
    <row r="3563" spans="1:10">
      <c r="A3563" s="33" t="s">
        <v>85</v>
      </c>
      <c r="B3563" s="34">
        <v>547.66800000000001</v>
      </c>
      <c r="C3563" s="35">
        <v>106050.9</v>
      </c>
      <c r="D3563" s="33" t="s">
        <v>237</v>
      </c>
      <c r="E3563" s="34">
        <v>547.447</v>
      </c>
      <c r="F3563" s="36">
        <v>0.221000000000004</v>
      </c>
      <c r="G3563" s="34">
        <v>0.221000000000004</v>
      </c>
      <c r="H3563" s="35">
        <v>64.400000000000006</v>
      </c>
      <c r="I3563" s="37">
        <f t="shared" si="55"/>
        <v>6.0725557255996896E-4</v>
      </c>
      <c r="J3563" s="33"/>
    </row>
    <row r="3564" spans="1:10">
      <c r="A3564" s="33" t="s">
        <v>85</v>
      </c>
      <c r="B3564" s="34">
        <v>547.66800000000001</v>
      </c>
      <c r="C3564" s="35">
        <v>106050.9</v>
      </c>
      <c r="D3564" s="33" t="s">
        <v>27</v>
      </c>
      <c r="E3564" s="34">
        <v>547.47299999999996</v>
      </c>
      <c r="F3564" s="36">
        <v>0.19500000000004999</v>
      </c>
      <c r="G3564" s="34">
        <v>0.19500000000004999</v>
      </c>
      <c r="H3564" s="35">
        <v>1017.1</v>
      </c>
      <c r="I3564" s="37">
        <f t="shared" si="55"/>
        <v>9.5906776840177701E-3</v>
      </c>
      <c r="J3564" s="33" t="s">
        <v>116</v>
      </c>
    </row>
    <row r="3565" spans="1:10">
      <c r="A3565" s="33" t="s">
        <v>85</v>
      </c>
      <c r="B3565" s="34">
        <v>547.66800000000001</v>
      </c>
      <c r="C3565" s="35">
        <v>106050.9</v>
      </c>
      <c r="D3565" s="33" t="s">
        <v>236</v>
      </c>
      <c r="E3565" s="34">
        <v>547.49199999999996</v>
      </c>
      <c r="F3565" s="36">
        <v>0.17600000000004501</v>
      </c>
      <c r="G3565" s="34">
        <v>0.17600000000004501</v>
      </c>
      <c r="H3565" s="35">
        <v>17.600000000000001</v>
      </c>
      <c r="I3565" s="37">
        <f t="shared" si="55"/>
        <v>1.6595804467477412E-4</v>
      </c>
      <c r="J3565" s="33"/>
    </row>
    <row r="3566" spans="1:10">
      <c r="A3566" s="33" t="s">
        <v>85</v>
      </c>
      <c r="B3566" s="34">
        <v>547.66800000000001</v>
      </c>
      <c r="C3566" s="35">
        <v>106050.9</v>
      </c>
      <c r="D3566" s="33" t="s">
        <v>268</v>
      </c>
      <c r="E3566" s="34">
        <v>547.51900000000001</v>
      </c>
      <c r="F3566" s="36">
        <v>0.14900000000000099</v>
      </c>
      <c r="G3566" s="34">
        <v>0.14900000000000099</v>
      </c>
      <c r="H3566" s="35">
        <v>14.7</v>
      </c>
      <c r="I3566" s="37">
        <f t="shared" si="55"/>
        <v>1.3861268504086245E-4</v>
      </c>
      <c r="J3566" s="33"/>
    </row>
    <row r="3567" spans="1:10">
      <c r="A3567" s="33" t="s">
        <v>85</v>
      </c>
      <c r="B3567" s="34">
        <v>547.66800000000001</v>
      </c>
      <c r="C3567" s="35">
        <v>106050.9</v>
      </c>
      <c r="D3567" s="33" t="s">
        <v>193</v>
      </c>
      <c r="E3567" s="34">
        <v>547.55700000000002</v>
      </c>
      <c r="F3567" s="36">
        <v>0.11099999999999</v>
      </c>
      <c r="G3567" s="34">
        <v>0.11099999999999</v>
      </c>
      <c r="H3567" s="35">
        <v>15</v>
      </c>
      <c r="I3567" s="37">
        <f t="shared" si="55"/>
        <v>1.4144151534781883E-4</v>
      </c>
      <c r="J3567" s="33"/>
    </row>
    <row r="3568" spans="1:10">
      <c r="A3568" s="33" t="s">
        <v>85</v>
      </c>
      <c r="B3568" s="34">
        <v>547.66800000000001</v>
      </c>
      <c r="C3568" s="35">
        <v>106050.9</v>
      </c>
      <c r="D3568" s="33" t="s">
        <v>277</v>
      </c>
      <c r="E3568" s="34">
        <v>547.57100000000003</v>
      </c>
      <c r="F3568" s="36">
        <v>9.6999999999980005E-2</v>
      </c>
      <c r="G3568" s="34">
        <v>9.6999999999980005E-2</v>
      </c>
      <c r="H3568" s="35">
        <v>550.6</v>
      </c>
      <c r="I3568" s="37">
        <f t="shared" si="55"/>
        <v>5.191846556700604E-3</v>
      </c>
      <c r="J3568" s="33"/>
    </row>
    <row r="3569" spans="1:10">
      <c r="A3569" s="33" t="s">
        <v>85</v>
      </c>
      <c r="B3569" s="34">
        <v>547.66800000000001</v>
      </c>
      <c r="C3569" s="35">
        <v>106050.9</v>
      </c>
      <c r="D3569" s="33" t="s">
        <v>275</v>
      </c>
      <c r="E3569" s="34">
        <v>547.58900000000006</v>
      </c>
      <c r="F3569" s="36">
        <v>7.8999999999950901E-2</v>
      </c>
      <c r="G3569" s="34">
        <v>7.8999999999950901E-2</v>
      </c>
      <c r="H3569" s="35">
        <v>16.899999999999999</v>
      </c>
      <c r="I3569" s="37">
        <f t="shared" si="55"/>
        <v>1.5935744062520922E-4</v>
      </c>
      <c r="J3569" s="33"/>
    </row>
    <row r="3570" spans="1:10">
      <c r="A3570" s="33" t="s">
        <v>85</v>
      </c>
      <c r="B3570" s="34">
        <v>547.66800000000001</v>
      </c>
      <c r="C3570" s="35">
        <v>106050.9</v>
      </c>
      <c r="D3570" s="33" t="s">
        <v>201</v>
      </c>
      <c r="E3570" s="34">
        <v>547.59299999999996</v>
      </c>
      <c r="F3570" s="36">
        <v>7.5000000000045502E-2</v>
      </c>
      <c r="G3570" s="34">
        <v>7.5000000000045502E-2</v>
      </c>
      <c r="H3570" s="35">
        <v>22.3</v>
      </c>
      <c r="I3570" s="37">
        <f t="shared" si="55"/>
        <v>2.1027638615042402E-4</v>
      </c>
      <c r="J3570" s="33"/>
    </row>
    <row r="3571" spans="1:10">
      <c r="A3571" s="33" t="s">
        <v>85</v>
      </c>
      <c r="B3571" s="34">
        <v>547.66800000000001</v>
      </c>
      <c r="C3571" s="35">
        <v>106050.9</v>
      </c>
      <c r="D3571" s="33" t="s">
        <v>184</v>
      </c>
      <c r="E3571" s="34">
        <v>547.61900000000003</v>
      </c>
      <c r="F3571" s="36">
        <v>4.89999999999782E-2</v>
      </c>
      <c r="G3571" s="34">
        <v>4.89999999999782E-2</v>
      </c>
      <c r="H3571" s="35">
        <v>300.2</v>
      </c>
      <c r="I3571" s="37">
        <f t="shared" si="55"/>
        <v>2.830716193827681E-3</v>
      </c>
      <c r="J3571" s="33"/>
    </row>
    <row r="3572" spans="1:10">
      <c r="A3572" s="33" t="s">
        <v>85</v>
      </c>
      <c r="B3572" s="34">
        <v>547.66800000000001</v>
      </c>
      <c r="C3572" s="35">
        <v>106050.9</v>
      </c>
      <c r="D3572" s="33" t="s">
        <v>97</v>
      </c>
      <c r="E3572" s="34">
        <v>547.65599999999995</v>
      </c>
      <c r="F3572" s="36">
        <v>1.20000000000573E-2</v>
      </c>
      <c r="G3572" s="34">
        <v>1.20000000000573E-2</v>
      </c>
      <c r="H3572" s="35">
        <v>19.600000000000001</v>
      </c>
      <c r="I3572" s="37">
        <f t="shared" si="55"/>
        <v>1.8481691338781663E-4</v>
      </c>
      <c r="J3572" s="33"/>
    </row>
    <row r="3573" spans="1:10">
      <c r="A3573" s="33" t="s">
        <v>85</v>
      </c>
      <c r="B3573" s="34">
        <v>547.66800000000001</v>
      </c>
      <c r="C3573" s="35">
        <v>106050.9</v>
      </c>
      <c r="D3573" s="33" t="s">
        <v>165</v>
      </c>
      <c r="E3573" s="34">
        <v>547.69000000000005</v>
      </c>
      <c r="F3573" s="36">
        <v>2.20000000000482E-2</v>
      </c>
      <c r="G3573" s="34">
        <v>2.20000000000482E-2</v>
      </c>
      <c r="H3573" s="35">
        <v>374.9</v>
      </c>
      <c r="I3573" s="37">
        <f t="shared" si="55"/>
        <v>3.5350949402598187E-3</v>
      </c>
      <c r="J3573" s="33"/>
    </row>
    <row r="3574" spans="1:10">
      <c r="A3574" s="33" t="s">
        <v>85</v>
      </c>
      <c r="B3574" s="34">
        <v>547.66800000000001</v>
      </c>
      <c r="C3574" s="35">
        <v>106050.9</v>
      </c>
      <c r="D3574" s="33" t="s">
        <v>54</v>
      </c>
      <c r="E3574" s="34">
        <v>547.70799999999997</v>
      </c>
      <c r="F3574" s="36">
        <v>3.9999999999963599E-2</v>
      </c>
      <c r="G3574" s="34">
        <v>3.9999999999963599E-2</v>
      </c>
      <c r="H3574" s="35">
        <v>15.5</v>
      </c>
      <c r="I3574" s="37">
        <f t="shared" si="55"/>
        <v>1.4615623252607946E-4</v>
      </c>
      <c r="J3574" s="33"/>
    </row>
    <row r="3575" spans="1:10">
      <c r="A3575" s="33" t="s">
        <v>85</v>
      </c>
      <c r="B3575" s="34">
        <v>547.66800000000001</v>
      </c>
      <c r="C3575" s="35">
        <v>106050.9</v>
      </c>
      <c r="D3575" s="33" t="s">
        <v>311</v>
      </c>
      <c r="E3575" s="34">
        <v>547.76599999999996</v>
      </c>
      <c r="F3575" s="36">
        <v>9.7999999999956303E-2</v>
      </c>
      <c r="G3575" s="34">
        <v>9.7999999999956303E-2</v>
      </c>
      <c r="H3575" s="35">
        <v>42.2</v>
      </c>
      <c r="I3575" s="37">
        <f t="shared" si="55"/>
        <v>3.9792212984519703E-4</v>
      </c>
      <c r="J3575" s="33"/>
    </row>
    <row r="3576" spans="1:10">
      <c r="A3576" s="33" t="s">
        <v>85</v>
      </c>
      <c r="B3576" s="34">
        <v>547.66800000000001</v>
      </c>
      <c r="C3576" s="35">
        <v>106050.9</v>
      </c>
      <c r="D3576" s="33" t="s">
        <v>237</v>
      </c>
      <c r="E3576" s="34">
        <v>547.77</v>
      </c>
      <c r="F3576" s="36">
        <v>0.101999999999975</v>
      </c>
      <c r="G3576" s="34">
        <v>0.101999999999975</v>
      </c>
      <c r="H3576" s="35">
        <v>90.6</v>
      </c>
      <c r="I3576" s="37">
        <f t="shared" si="55"/>
        <v>8.543067527008257E-4</v>
      </c>
      <c r="J3576" s="33"/>
    </row>
    <row r="3577" spans="1:10">
      <c r="A3577" s="33" t="s">
        <v>85</v>
      </c>
      <c r="B3577" s="34">
        <v>547.66800000000001</v>
      </c>
      <c r="C3577" s="35">
        <v>106050.9</v>
      </c>
      <c r="D3577" s="33" t="s">
        <v>274</v>
      </c>
      <c r="E3577" s="34">
        <v>547.78</v>
      </c>
      <c r="F3577" s="36">
        <v>0.111999999999966</v>
      </c>
      <c r="G3577" s="34">
        <v>0.111999999999966</v>
      </c>
      <c r="H3577" s="35">
        <v>9.6999999999999993</v>
      </c>
      <c r="I3577" s="37">
        <f t="shared" si="55"/>
        <v>9.1465513258256174E-5</v>
      </c>
      <c r="J3577" s="33"/>
    </row>
    <row r="3578" spans="1:10">
      <c r="A3578" s="33" t="s">
        <v>85</v>
      </c>
      <c r="B3578" s="34">
        <v>547.66800000000001</v>
      </c>
      <c r="C3578" s="35">
        <v>106050.9</v>
      </c>
      <c r="D3578" s="33" t="s">
        <v>236</v>
      </c>
      <c r="E3578" s="34">
        <v>547.78200000000004</v>
      </c>
      <c r="F3578" s="36">
        <v>0.11400000000003301</v>
      </c>
      <c r="G3578" s="34">
        <v>0.11400000000003301</v>
      </c>
      <c r="H3578" s="35">
        <v>193</v>
      </c>
      <c r="I3578" s="37">
        <f t="shared" si="55"/>
        <v>1.8198808308086023E-3</v>
      </c>
      <c r="J3578" s="33"/>
    </row>
    <row r="3579" spans="1:10">
      <c r="A3579" s="33" t="s">
        <v>85</v>
      </c>
      <c r="B3579" s="34">
        <v>547.66800000000001</v>
      </c>
      <c r="C3579" s="35">
        <v>106050.9</v>
      </c>
      <c r="D3579" s="33" t="s">
        <v>27</v>
      </c>
      <c r="E3579" s="34">
        <v>547.78399999999999</v>
      </c>
      <c r="F3579" s="36">
        <v>0.115999999999985</v>
      </c>
      <c r="G3579" s="34">
        <v>0.115999999999985</v>
      </c>
      <c r="H3579" s="35">
        <v>479.4</v>
      </c>
      <c r="I3579" s="37">
        <f t="shared" si="55"/>
        <v>4.5204708305162898E-3</v>
      </c>
      <c r="J3579" s="33" t="s">
        <v>116</v>
      </c>
    </row>
    <row r="3580" spans="1:10">
      <c r="A3580" s="33" t="s">
        <v>85</v>
      </c>
      <c r="B3580" s="34">
        <v>547.66800000000001</v>
      </c>
      <c r="C3580" s="35">
        <v>106050.9</v>
      </c>
      <c r="D3580" s="33" t="s">
        <v>270</v>
      </c>
      <c r="E3580" s="34">
        <v>547.83299999999997</v>
      </c>
      <c r="F3580" s="36">
        <v>0.16499999999996401</v>
      </c>
      <c r="G3580" s="34">
        <v>0.16499999999996401</v>
      </c>
      <c r="H3580" s="35">
        <v>644.6</v>
      </c>
      <c r="I3580" s="37">
        <f t="shared" si="55"/>
        <v>6.0782133862136017E-3</v>
      </c>
      <c r="J3580" s="33"/>
    </row>
    <row r="3581" spans="1:10">
      <c r="A3581" s="33" t="s">
        <v>85</v>
      </c>
      <c r="B3581" s="34">
        <v>547.66800000000001</v>
      </c>
      <c r="C3581" s="35">
        <v>106050.9</v>
      </c>
      <c r="D3581" s="33" t="s">
        <v>239</v>
      </c>
      <c r="E3581" s="34">
        <v>547.83600000000001</v>
      </c>
      <c r="F3581" s="36">
        <v>0.16800000000000601</v>
      </c>
      <c r="G3581" s="34">
        <v>0.16800000000000601</v>
      </c>
      <c r="H3581" s="35">
        <v>39.6</v>
      </c>
      <c r="I3581" s="37">
        <f t="shared" si="55"/>
        <v>3.7340560051824173E-4</v>
      </c>
      <c r="J3581" s="33"/>
    </row>
    <row r="3582" spans="1:10">
      <c r="A3582" s="33" t="s">
        <v>85</v>
      </c>
      <c r="B3582" s="34">
        <v>547.66800000000001</v>
      </c>
      <c r="C3582" s="35">
        <v>106050.9</v>
      </c>
      <c r="D3582" s="33" t="s">
        <v>275</v>
      </c>
      <c r="E3582" s="34">
        <v>547.84100000000001</v>
      </c>
      <c r="F3582" s="36">
        <v>0.17300000000000201</v>
      </c>
      <c r="G3582" s="34">
        <v>0.17300000000000201</v>
      </c>
      <c r="H3582" s="35">
        <v>64.7</v>
      </c>
      <c r="I3582" s="37">
        <f t="shared" si="55"/>
        <v>6.1008440286692525E-4</v>
      </c>
      <c r="J3582" s="33"/>
    </row>
    <row r="3583" spans="1:10">
      <c r="A3583" s="33" t="s">
        <v>85</v>
      </c>
      <c r="B3583" s="34">
        <v>547.66800000000001</v>
      </c>
      <c r="C3583" s="35">
        <v>106050.9</v>
      </c>
      <c r="D3583" s="33" t="s">
        <v>294</v>
      </c>
      <c r="E3583" s="34">
        <v>547.84799999999996</v>
      </c>
      <c r="F3583" s="36">
        <v>0.17999999999995001</v>
      </c>
      <c r="G3583" s="34">
        <v>0.17999999999995001</v>
      </c>
      <c r="H3583" s="35">
        <v>29.7</v>
      </c>
      <c r="I3583" s="37">
        <f t="shared" si="55"/>
        <v>2.800542003886813E-4</v>
      </c>
      <c r="J3583" s="33"/>
    </row>
    <row r="3584" spans="1:10">
      <c r="A3584" s="33" t="s">
        <v>85</v>
      </c>
      <c r="B3584" s="34">
        <v>547.66800000000001</v>
      </c>
      <c r="C3584" s="35">
        <v>106050.9</v>
      </c>
      <c r="D3584" s="33" t="s">
        <v>201</v>
      </c>
      <c r="E3584" s="34">
        <v>547.85</v>
      </c>
      <c r="F3584" s="36">
        <v>0.18200000000001601</v>
      </c>
      <c r="G3584" s="34">
        <v>0.18200000000001601</v>
      </c>
      <c r="H3584" s="35">
        <v>329.4</v>
      </c>
      <c r="I3584" s="37">
        <f t="shared" si="55"/>
        <v>3.1060556770381013E-3</v>
      </c>
      <c r="J3584" s="33"/>
    </row>
    <row r="3585" spans="1:10">
      <c r="A3585" s="33" t="s">
        <v>85</v>
      </c>
      <c r="B3585" s="34">
        <v>547.66800000000001</v>
      </c>
      <c r="C3585" s="35">
        <v>106050.9</v>
      </c>
      <c r="D3585" s="33" t="s">
        <v>268</v>
      </c>
      <c r="E3585" s="34">
        <v>547.94000000000005</v>
      </c>
      <c r="F3585" s="36">
        <v>0.27200000000004798</v>
      </c>
      <c r="G3585" s="34">
        <v>0.27200000000004798</v>
      </c>
      <c r="H3585" s="35">
        <v>63.1</v>
      </c>
      <c r="I3585" s="37">
        <f t="shared" si="55"/>
        <v>5.9499730789649128E-4</v>
      </c>
      <c r="J3585" s="33"/>
    </row>
    <row r="3586" spans="1:10">
      <c r="A3586" s="33" t="s">
        <v>85</v>
      </c>
      <c r="B3586" s="34">
        <v>547.66800000000001</v>
      </c>
      <c r="C3586" s="35">
        <v>106050.9</v>
      </c>
      <c r="D3586" s="33" t="s">
        <v>236</v>
      </c>
      <c r="E3586" s="34">
        <v>547.97199999999998</v>
      </c>
      <c r="F3586" s="36">
        <v>0.30399999999997401</v>
      </c>
      <c r="G3586" s="34">
        <v>0.30399999999997401</v>
      </c>
      <c r="H3586" s="35">
        <v>69.5</v>
      </c>
      <c r="I3586" s="37">
        <f t="shared" ref="I3586:I3649" si="56">H3586/C3586</f>
        <v>6.5534568777822727E-4</v>
      </c>
      <c r="J3586" s="33"/>
    </row>
    <row r="3587" spans="1:10">
      <c r="A3587" s="33" t="s">
        <v>85</v>
      </c>
      <c r="B3587" s="34">
        <v>547.66800000000001</v>
      </c>
      <c r="C3587" s="35">
        <v>106050.9</v>
      </c>
      <c r="D3587" s="33" t="s">
        <v>277</v>
      </c>
      <c r="E3587" s="34">
        <v>548.02599999999995</v>
      </c>
      <c r="F3587" s="36">
        <v>0.35799999999994703</v>
      </c>
      <c r="G3587" s="34">
        <v>0.35799999999994703</v>
      </c>
      <c r="H3587" s="35">
        <v>426.9</v>
      </c>
      <c r="I3587" s="37">
        <f t="shared" si="56"/>
        <v>4.0254255267989239E-3</v>
      </c>
      <c r="J3587" s="33"/>
    </row>
    <row r="3588" spans="1:10">
      <c r="A3588" s="33" t="s">
        <v>85</v>
      </c>
      <c r="B3588" s="34">
        <v>547.66800000000001</v>
      </c>
      <c r="C3588" s="35">
        <v>106050.9</v>
      </c>
      <c r="D3588" s="33" t="s">
        <v>268</v>
      </c>
      <c r="E3588" s="34">
        <v>548.03</v>
      </c>
      <c r="F3588" s="36">
        <v>0.36199999999996602</v>
      </c>
      <c r="G3588" s="34">
        <v>0.36199999999996602</v>
      </c>
      <c r="H3588" s="35">
        <v>31.9</v>
      </c>
      <c r="I3588" s="37">
        <f t="shared" si="56"/>
        <v>3.0079895597302802E-4</v>
      </c>
      <c r="J3588" s="33"/>
    </row>
    <row r="3589" spans="1:10">
      <c r="A3589" s="33" t="s">
        <v>85</v>
      </c>
      <c r="B3589" s="34">
        <v>547.66800000000001</v>
      </c>
      <c r="C3589" s="35">
        <v>106050.9</v>
      </c>
      <c r="D3589" s="33" t="s">
        <v>239</v>
      </c>
      <c r="E3589" s="34">
        <v>548.05399999999997</v>
      </c>
      <c r="F3589" s="36">
        <v>0.38599999999996698</v>
      </c>
      <c r="G3589" s="34">
        <v>0.38599999999996698</v>
      </c>
      <c r="H3589" s="35">
        <v>18.2</v>
      </c>
      <c r="I3589" s="37">
        <f t="shared" si="56"/>
        <v>1.7161570528868684E-4</v>
      </c>
      <c r="J3589" s="33"/>
    </row>
    <row r="3590" spans="1:10">
      <c r="A3590" s="33" t="s">
        <v>85</v>
      </c>
      <c r="B3590" s="34">
        <v>547.66800000000001</v>
      </c>
      <c r="C3590" s="35">
        <v>106050.9</v>
      </c>
      <c r="D3590" s="33" t="s">
        <v>133</v>
      </c>
      <c r="E3590" s="34">
        <v>548.07100000000003</v>
      </c>
      <c r="F3590" s="36">
        <v>0.40300000000002001</v>
      </c>
      <c r="G3590" s="34">
        <v>0.40300000000002001</v>
      </c>
      <c r="H3590" s="35">
        <v>847.4</v>
      </c>
      <c r="I3590" s="37">
        <f t="shared" si="56"/>
        <v>7.9905026737161124E-3</v>
      </c>
      <c r="J3590" s="33"/>
    </row>
    <row r="3591" spans="1:10">
      <c r="A3591" s="33" t="s">
        <v>27</v>
      </c>
      <c r="B3591" s="34">
        <v>378.42500000000001</v>
      </c>
      <c r="C3591" s="35">
        <v>10939.4</v>
      </c>
      <c r="D3591" s="33" t="s">
        <v>36</v>
      </c>
      <c r="E3591" s="34">
        <v>378.30599999999998</v>
      </c>
      <c r="F3591" s="36">
        <v>0.11899999999999999</v>
      </c>
      <c r="G3591" s="34">
        <v>0.11899999999999999</v>
      </c>
      <c r="H3591" s="35">
        <v>325.39999999999998</v>
      </c>
      <c r="I3591" s="37">
        <f t="shared" si="56"/>
        <v>2.9745689891584548E-2</v>
      </c>
      <c r="J3591" s="33" t="s">
        <v>116</v>
      </c>
    </row>
    <row r="3592" spans="1:10">
      <c r="A3592" s="33" t="s">
        <v>27</v>
      </c>
      <c r="B3592" s="34">
        <v>378.42500000000001</v>
      </c>
      <c r="C3592" s="35">
        <v>10939.4</v>
      </c>
      <c r="D3592" s="33" t="s">
        <v>84</v>
      </c>
      <c r="E3592" s="34">
        <v>378.30700000000002</v>
      </c>
      <c r="F3592" s="36">
        <v>0.11799999999999999</v>
      </c>
      <c r="G3592" s="34">
        <v>0.11799999999999999</v>
      </c>
      <c r="H3592" s="35">
        <v>500.7</v>
      </c>
      <c r="I3592" s="37">
        <f t="shared" si="56"/>
        <v>4.5770334753277145E-2</v>
      </c>
      <c r="J3592" s="33" t="s">
        <v>116</v>
      </c>
    </row>
    <row r="3593" spans="1:10">
      <c r="A3593" s="33" t="s">
        <v>27</v>
      </c>
      <c r="B3593" s="34">
        <v>378.42500000000001</v>
      </c>
      <c r="C3593" s="35">
        <v>10939.4</v>
      </c>
      <c r="D3593" s="33" t="s">
        <v>275</v>
      </c>
      <c r="E3593" s="34">
        <v>378.31799999999998</v>
      </c>
      <c r="F3593" s="36">
        <v>0.107000000000028</v>
      </c>
      <c r="G3593" s="34">
        <v>0.107000000000028</v>
      </c>
      <c r="H3593" s="35">
        <v>52.8</v>
      </c>
      <c r="I3593" s="37">
        <f t="shared" si="56"/>
        <v>4.8265901237727841E-3</v>
      </c>
      <c r="J3593" s="33"/>
    </row>
    <row r="3594" spans="1:10">
      <c r="A3594" s="33" t="s">
        <v>27</v>
      </c>
      <c r="B3594" s="34">
        <v>378.42500000000001</v>
      </c>
      <c r="C3594" s="35">
        <v>10939.4</v>
      </c>
      <c r="D3594" s="33" t="s">
        <v>271</v>
      </c>
      <c r="E3594" s="34">
        <v>378.33</v>
      </c>
      <c r="F3594" s="36">
        <v>9.5000000000027299E-2</v>
      </c>
      <c r="G3594" s="34">
        <v>9.5000000000027299E-2</v>
      </c>
      <c r="H3594" s="35">
        <v>760.9</v>
      </c>
      <c r="I3594" s="37">
        <f t="shared" si="56"/>
        <v>6.9555917143536206E-2</v>
      </c>
      <c r="J3594" s="33"/>
    </row>
    <row r="3595" spans="1:10">
      <c r="A3595" s="33" t="s">
        <v>27</v>
      </c>
      <c r="B3595" s="34">
        <v>378.42500000000001</v>
      </c>
      <c r="C3595" s="35">
        <v>10939.4</v>
      </c>
      <c r="D3595" s="33" t="s">
        <v>270</v>
      </c>
      <c r="E3595" s="34">
        <v>378.33600000000001</v>
      </c>
      <c r="F3595" s="36">
        <v>8.8999999999998594E-2</v>
      </c>
      <c r="G3595" s="34">
        <v>8.8999999999998594E-2</v>
      </c>
      <c r="H3595" s="35">
        <v>677.9</v>
      </c>
      <c r="I3595" s="37">
        <f t="shared" si="56"/>
        <v>6.1968663729272171E-2</v>
      </c>
      <c r="J3595" s="33"/>
    </row>
    <row r="3596" spans="1:10">
      <c r="A3596" s="33" t="s">
        <v>27</v>
      </c>
      <c r="B3596" s="34">
        <v>378.42500000000001</v>
      </c>
      <c r="C3596" s="35">
        <v>10939.4</v>
      </c>
      <c r="D3596" s="33" t="s">
        <v>165</v>
      </c>
      <c r="E3596" s="34">
        <v>378.35199999999998</v>
      </c>
      <c r="F3596" s="36">
        <v>7.3000000000035897E-2</v>
      </c>
      <c r="G3596" s="34">
        <v>7.3000000000035897E-2</v>
      </c>
      <c r="H3596" s="35">
        <v>343.6</v>
      </c>
      <c r="I3596" s="37">
        <f t="shared" si="56"/>
        <v>3.1409400881218352E-2</v>
      </c>
      <c r="J3596" s="33"/>
    </row>
    <row r="3597" spans="1:10">
      <c r="A3597" s="33" t="s">
        <v>27</v>
      </c>
      <c r="B3597" s="34">
        <v>378.42500000000001</v>
      </c>
      <c r="C3597" s="35">
        <v>10939.4</v>
      </c>
      <c r="D3597" s="33" t="s">
        <v>201</v>
      </c>
      <c r="E3597" s="34">
        <v>378.35300000000001</v>
      </c>
      <c r="F3597" s="36">
        <v>7.2000000000002701E-2</v>
      </c>
      <c r="G3597" s="34">
        <v>7.2000000000002701E-2</v>
      </c>
      <c r="H3597" s="35">
        <v>508.7</v>
      </c>
      <c r="I3597" s="37">
        <f t="shared" si="56"/>
        <v>4.650163628718211E-2</v>
      </c>
      <c r="J3597" s="33"/>
    </row>
    <row r="3598" spans="1:10">
      <c r="A3598" s="33" t="s">
        <v>27</v>
      </c>
      <c r="B3598" s="34">
        <v>378.42500000000001</v>
      </c>
      <c r="C3598" s="35">
        <v>10939.4</v>
      </c>
      <c r="D3598" s="33" t="s">
        <v>25</v>
      </c>
      <c r="E3598" s="34">
        <v>378.358</v>
      </c>
      <c r="F3598" s="36">
        <v>6.7000000000007304E-2</v>
      </c>
      <c r="G3598" s="34">
        <v>6.7000000000007304E-2</v>
      </c>
      <c r="H3598" s="35">
        <v>942.5</v>
      </c>
      <c r="I3598" s="37">
        <f t="shared" si="56"/>
        <v>8.6156461963178971E-2</v>
      </c>
      <c r="J3598" s="33" t="s">
        <v>116</v>
      </c>
    </row>
    <row r="3599" spans="1:10">
      <c r="A3599" s="33" t="s">
        <v>27</v>
      </c>
      <c r="B3599" s="34">
        <v>378.42500000000001</v>
      </c>
      <c r="C3599" s="35">
        <v>10939.4</v>
      </c>
      <c r="D3599" s="33" t="s">
        <v>33</v>
      </c>
      <c r="E3599" s="34">
        <v>378.35899999999998</v>
      </c>
      <c r="F3599" s="36">
        <v>6.6000000000030895E-2</v>
      </c>
      <c r="G3599" s="34">
        <v>6.6000000000030895E-2</v>
      </c>
      <c r="H3599" s="35">
        <v>576.4</v>
      </c>
      <c r="I3599" s="37">
        <f t="shared" si="56"/>
        <v>5.2690275517852901E-2</v>
      </c>
      <c r="J3599" s="33" t="s">
        <v>116</v>
      </c>
    </row>
    <row r="3600" spans="1:10">
      <c r="A3600" s="33" t="s">
        <v>27</v>
      </c>
      <c r="B3600" s="34">
        <v>378.42500000000001</v>
      </c>
      <c r="C3600" s="35">
        <v>10939.4</v>
      </c>
      <c r="D3600" s="33" t="s">
        <v>184</v>
      </c>
      <c r="E3600" s="34">
        <v>378.363</v>
      </c>
      <c r="F3600" s="36">
        <v>6.2000000000011803E-2</v>
      </c>
      <c r="G3600" s="34">
        <v>6.2000000000011803E-2</v>
      </c>
      <c r="H3600" s="35">
        <v>277</v>
      </c>
      <c r="I3600" s="37">
        <f t="shared" si="56"/>
        <v>2.5321315611459495E-2</v>
      </c>
      <c r="J3600" s="33"/>
    </row>
    <row r="3601" spans="1:10">
      <c r="A3601" s="33" t="s">
        <v>27</v>
      </c>
      <c r="B3601" s="34">
        <v>378.42500000000001</v>
      </c>
      <c r="C3601" s="35">
        <v>10939.4</v>
      </c>
      <c r="D3601" s="33" t="s">
        <v>54</v>
      </c>
      <c r="E3601" s="34">
        <v>378.37200000000001</v>
      </c>
      <c r="F3601" s="36">
        <v>5.2999999999997299E-2</v>
      </c>
      <c r="G3601" s="34">
        <v>5.2999999999997299E-2</v>
      </c>
      <c r="H3601" s="35">
        <v>25</v>
      </c>
      <c r="I3601" s="37">
        <f t="shared" si="56"/>
        <v>2.285317293453023E-3</v>
      </c>
      <c r="J3601" s="33"/>
    </row>
    <row r="3602" spans="1:10">
      <c r="A3602" s="33" t="s">
        <v>27</v>
      </c>
      <c r="B3602" s="34">
        <v>378.42500000000001</v>
      </c>
      <c r="C3602" s="35">
        <v>10939.4</v>
      </c>
      <c r="D3602" s="33" t="s">
        <v>36</v>
      </c>
      <c r="E3602" s="34">
        <v>378.37299999999999</v>
      </c>
      <c r="F3602" s="36">
        <v>5.1999999999999998E-2</v>
      </c>
      <c r="G3602" s="34">
        <v>5.1999999999999998E-2</v>
      </c>
      <c r="H3602" s="35">
        <v>6.7</v>
      </c>
      <c r="I3602" s="37">
        <f t="shared" si="56"/>
        <v>6.1246503464541021E-4</v>
      </c>
      <c r="J3602" s="33" t="s">
        <v>116</v>
      </c>
    </row>
    <row r="3603" spans="1:10">
      <c r="A3603" s="33" t="s">
        <v>27</v>
      </c>
      <c r="B3603" s="34">
        <v>378.42500000000001</v>
      </c>
      <c r="C3603" s="35">
        <v>10939.4</v>
      </c>
      <c r="D3603" s="33" t="s">
        <v>27</v>
      </c>
      <c r="E3603" s="34">
        <v>378.37599999999998</v>
      </c>
      <c r="F3603" s="36">
        <v>4.9000000000035002E-2</v>
      </c>
      <c r="G3603" s="34">
        <v>4.9000000000035002E-2</v>
      </c>
      <c r="H3603" s="35">
        <v>2099.5</v>
      </c>
      <c r="I3603" s="37">
        <f t="shared" si="56"/>
        <v>0.19192094630418488</v>
      </c>
      <c r="J3603" s="33" t="s">
        <v>116</v>
      </c>
    </row>
    <row r="3604" spans="1:10">
      <c r="A3604" s="33" t="s">
        <v>27</v>
      </c>
      <c r="B3604" s="34">
        <v>378.42500000000001</v>
      </c>
      <c r="C3604" s="35">
        <v>10939.4</v>
      </c>
      <c r="D3604" s="33" t="s">
        <v>273</v>
      </c>
      <c r="E3604" s="34">
        <v>378.38299999999998</v>
      </c>
      <c r="F3604" s="36">
        <v>4.2000000000029999E-2</v>
      </c>
      <c r="G3604" s="34">
        <v>4.2000000000029999E-2</v>
      </c>
      <c r="H3604" s="35">
        <v>33.299999999999997</v>
      </c>
      <c r="I3604" s="37">
        <f t="shared" si="56"/>
        <v>3.0440426348794267E-3</v>
      </c>
      <c r="J3604" s="33"/>
    </row>
    <row r="3605" spans="1:10">
      <c r="A3605" s="33" t="s">
        <v>27</v>
      </c>
      <c r="B3605" s="34">
        <v>378.42500000000001</v>
      </c>
      <c r="C3605" s="35">
        <v>10939.4</v>
      </c>
      <c r="D3605" s="33" t="s">
        <v>277</v>
      </c>
      <c r="E3605" s="34">
        <v>378.38400000000001</v>
      </c>
      <c r="F3605" s="36">
        <v>4.0999999999996803E-2</v>
      </c>
      <c r="G3605" s="34">
        <v>4.0999999999996803E-2</v>
      </c>
      <c r="H3605" s="35">
        <v>437.6</v>
      </c>
      <c r="I3605" s="37">
        <f t="shared" si="56"/>
        <v>4.0002193904601718E-2</v>
      </c>
      <c r="J3605" s="33"/>
    </row>
    <row r="3606" spans="1:10">
      <c r="A3606" s="33" t="s">
        <v>27</v>
      </c>
      <c r="B3606" s="34">
        <v>378.42500000000001</v>
      </c>
      <c r="C3606" s="35">
        <v>10939.4</v>
      </c>
      <c r="D3606" s="33" t="s">
        <v>33</v>
      </c>
      <c r="E3606" s="34">
        <v>378.39400000000001</v>
      </c>
      <c r="F3606" s="36">
        <v>3.1000000000005901E-2</v>
      </c>
      <c r="G3606" s="34">
        <v>3.1000000000005901E-2</v>
      </c>
      <c r="H3606" s="35">
        <v>573.20000000000005</v>
      </c>
      <c r="I3606" s="37">
        <f t="shared" si="56"/>
        <v>5.2397754904290918E-2</v>
      </c>
      <c r="J3606" s="33" t="s">
        <v>116</v>
      </c>
    </row>
    <row r="3607" spans="1:10">
      <c r="A3607" s="33" t="s">
        <v>27</v>
      </c>
      <c r="B3607" s="34">
        <v>378.42500000000001</v>
      </c>
      <c r="C3607" s="35">
        <v>10939.4</v>
      </c>
      <c r="D3607" s="33" t="s">
        <v>193</v>
      </c>
      <c r="E3607" s="34">
        <v>378.42500000000001</v>
      </c>
      <c r="F3607" s="36">
        <v>0</v>
      </c>
      <c r="G3607" s="34">
        <v>0</v>
      </c>
      <c r="H3607" s="35">
        <v>50.6</v>
      </c>
      <c r="I3607" s="37">
        <f t="shared" si="56"/>
        <v>4.6254822019489187E-3</v>
      </c>
      <c r="J3607" s="33"/>
    </row>
    <row r="3608" spans="1:10">
      <c r="A3608" s="33" t="s">
        <v>27</v>
      </c>
      <c r="B3608" s="34">
        <v>378.42500000000001</v>
      </c>
      <c r="C3608" s="35">
        <v>10939.4</v>
      </c>
      <c r="D3608" s="33" t="s">
        <v>27</v>
      </c>
      <c r="E3608" s="34">
        <v>378.471</v>
      </c>
      <c r="F3608" s="36">
        <v>4.5999999999992297E-2</v>
      </c>
      <c r="G3608" s="34">
        <v>4.5999999999992297E-2</v>
      </c>
      <c r="H3608" s="35">
        <v>2831.7</v>
      </c>
      <c r="I3608" s="37">
        <f t="shared" si="56"/>
        <v>0.25885331919483701</v>
      </c>
      <c r="J3608" s="33" t="s">
        <v>116</v>
      </c>
    </row>
    <row r="3609" spans="1:10">
      <c r="A3609" s="33" t="s">
        <v>27</v>
      </c>
      <c r="B3609" s="34">
        <v>378.42500000000001</v>
      </c>
      <c r="C3609" s="35">
        <v>10939.4</v>
      </c>
      <c r="D3609" s="33" t="s">
        <v>133</v>
      </c>
      <c r="E3609" s="34">
        <v>378.47899999999998</v>
      </c>
      <c r="F3609" s="36">
        <v>5.3999999999973597E-2</v>
      </c>
      <c r="G3609" s="34">
        <v>5.3999999999973597E-2</v>
      </c>
      <c r="H3609" s="35">
        <v>888.8</v>
      </c>
      <c r="I3609" s="37">
        <f t="shared" si="56"/>
        <v>8.124760041684187E-2</v>
      </c>
      <c r="J3609" s="33"/>
    </row>
    <row r="3610" spans="1:10">
      <c r="A3610" s="33" t="s">
        <v>27</v>
      </c>
      <c r="B3610" s="34">
        <v>378.42500000000001</v>
      </c>
      <c r="C3610" s="35">
        <v>10939.4</v>
      </c>
      <c r="D3610" s="33" t="s">
        <v>285</v>
      </c>
      <c r="E3610" s="34">
        <v>378.49799999999999</v>
      </c>
      <c r="F3610" s="36">
        <v>7.2999999999979095E-2</v>
      </c>
      <c r="G3610" s="34">
        <v>7.2999999999979095E-2</v>
      </c>
      <c r="H3610" s="35">
        <v>0.9</v>
      </c>
      <c r="I3610" s="37">
        <f t="shared" si="56"/>
        <v>8.2271422564308833E-5</v>
      </c>
      <c r="J3610" s="33"/>
    </row>
    <row r="3611" spans="1:10">
      <c r="A3611" s="33" t="s">
        <v>27</v>
      </c>
      <c r="B3611" s="34">
        <v>378.42500000000001</v>
      </c>
      <c r="C3611" s="35">
        <v>10939.4</v>
      </c>
      <c r="D3611" s="33" t="s">
        <v>275</v>
      </c>
      <c r="E3611" s="34">
        <v>378.50299999999999</v>
      </c>
      <c r="F3611" s="36">
        <v>7.7999999999974506E-2</v>
      </c>
      <c r="G3611" s="34">
        <v>7.7999999999974506E-2</v>
      </c>
      <c r="H3611" s="35">
        <v>12.2</v>
      </c>
      <c r="I3611" s="37">
        <f t="shared" si="56"/>
        <v>1.1152348392050751E-3</v>
      </c>
      <c r="J3611" s="33"/>
    </row>
    <row r="3612" spans="1:10">
      <c r="A3612" s="33" t="s">
        <v>27</v>
      </c>
      <c r="B3612" s="34">
        <v>378.42500000000001</v>
      </c>
      <c r="C3612" s="35">
        <v>10939.4</v>
      </c>
      <c r="D3612" s="33" t="s">
        <v>27</v>
      </c>
      <c r="E3612" s="34">
        <v>378.50900000000001</v>
      </c>
      <c r="F3612" s="36">
        <v>8.4000000000003197E-2</v>
      </c>
      <c r="G3612" s="34">
        <v>8.4000000000003197E-2</v>
      </c>
      <c r="H3612" s="35">
        <v>701.9</v>
      </c>
      <c r="I3612" s="37">
        <f t="shared" si="56"/>
        <v>6.4162568330987074E-2</v>
      </c>
      <c r="J3612" s="33" t="s">
        <v>116</v>
      </c>
    </row>
    <row r="3613" spans="1:10">
      <c r="A3613" s="33" t="s">
        <v>27</v>
      </c>
      <c r="B3613" s="34">
        <v>378.42500000000001</v>
      </c>
      <c r="C3613" s="35">
        <v>10939.4</v>
      </c>
      <c r="D3613" s="33" t="s">
        <v>27</v>
      </c>
      <c r="E3613" s="34">
        <v>378.53899999999999</v>
      </c>
      <c r="F3613" s="36">
        <v>0.113999999999976</v>
      </c>
      <c r="G3613" s="34">
        <v>0.113999999999976</v>
      </c>
      <c r="H3613" s="35">
        <v>653.79999999999995</v>
      </c>
      <c r="I3613" s="37">
        <f t="shared" si="56"/>
        <v>5.9765617858383455E-2</v>
      </c>
      <c r="J3613" s="33" t="s">
        <v>116</v>
      </c>
    </row>
    <row r="3614" spans="1:10">
      <c r="A3614" s="33" t="s">
        <v>27</v>
      </c>
      <c r="B3614" s="34">
        <v>378.42500000000001</v>
      </c>
      <c r="C3614" s="35">
        <v>10939.4</v>
      </c>
      <c r="D3614" s="33" t="s">
        <v>33</v>
      </c>
      <c r="E3614" s="34">
        <v>378.541</v>
      </c>
      <c r="F3614" s="36">
        <v>0.115999999999985</v>
      </c>
      <c r="G3614" s="34">
        <v>0.115999999999985</v>
      </c>
      <c r="H3614" s="35">
        <v>723.8</v>
      </c>
      <c r="I3614" s="37">
        <f t="shared" si="56"/>
        <v>6.6164506280051924E-2</v>
      </c>
      <c r="J3614" s="33" t="s">
        <v>116</v>
      </c>
    </row>
    <row r="3615" spans="1:10">
      <c r="A3615" s="33" t="s">
        <v>27</v>
      </c>
      <c r="B3615" s="34">
        <v>378.42500000000001</v>
      </c>
      <c r="C3615" s="35">
        <v>10939.4</v>
      </c>
      <c r="D3615" s="33" t="s">
        <v>240</v>
      </c>
      <c r="E3615" s="34">
        <v>378.54300000000001</v>
      </c>
      <c r="F3615" s="36">
        <v>0.117999999999995</v>
      </c>
      <c r="G3615" s="34">
        <v>0.117999999999995</v>
      </c>
      <c r="H3615" s="35">
        <v>10.5</v>
      </c>
      <c r="I3615" s="37">
        <f t="shared" si="56"/>
        <v>9.5983326325026967E-4</v>
      </c>
      <c r="J3615" s="33"/>
    </row>
    <row r="3616" spans="1:10">
      <c r="A3616" s="33" t="s">
        <v>27</v>
      </c>
      <c r="B3616" s="34">
        <v>378.42500000000001</v>
      </c>
      <c r="C3616" s="35">
        <v>10939.4</v>
      </c>
      <c r="D3616" s="33" t="s">
        <v>269</v>
      </c>
      <c r="E3616" s="34">
        <v>378.54599999999999</v>
      </c>
      <c r="F3616" s="36">
        <v>0.120999999999981</v>
      </c>
      <c r="G3616" s="34">
        <v>0.120999999999981</v>
      </c>
      <c r="H3616" s="35">
        <v>314.39999999999998</v>
      </c>
      <c r="I3616" s="37">
        <f t="shared" si="56"/>
        <v>2.8740150282465217E-2</v>
      </c>
      <c r="J3616" s="33"/>
    </row>
    <row r="3617" spans="1:10">
      <c r="A3617" s="33" t="s">
        <v>27</v>
      </c>
      <c r="B3617" s="34">
        <v>378.42500000000001</v>
      </c>
      <c r="C3617" s="35">
        <v>10939.4</v>
      </c>
      <c r="D3617" s="33" t="s">
        <v>173</v>
      </c>
      <c r="E3617" s="34">
        <v>378.54599999999999</v>
      </c>
      <c r="F3617" s="36">
        <v>0.120999999999981</v>
      </c>
      <c r="G3617" s="34">
        <v>0.120999999999981</v>
      </c>
      <c r="H3617" s="35">
        <v>670.6</v>
      </c>
      <c r="I3617" s="37">
        <f t="shared" si="56"/>
        <v>6.1301351079583892E-2</v>
      </c>
      <c r="J3617" s="33"/>
    </row>
    <row r="3618" spans="1:10">
      <c r="A3618" s="33" t="s">
        <v>27</v>
      </c>
      <c r="B3618" s="34">
        <v>378.42500000000001</v>
      </c>
      <c r="C3618" s="35">
        <v>10939.4</v>
      </c>
      <c r="D3618" s="33" t="s">
        <v>271</v>
      </c>
      <c r="E3618" s="34">
        <v>378.56</v>
      </c>
      <c r="F3618" s="36">
        <v>0.13499999999999099</v>
      </c>
      <c r="G3618" s="34">
        <v>0.13499999999999099</v>
      </c>
      <c r="H3618" s="35">
        <v>2483.5</v>
      </c>
      <c r="I3618" s="37">
        <f t="shared" si="56"/>
        <v>0.22702341993162331</v>
      </c>
      <c r="J3618" s="33"/>
    </row>
    <row r="3619" spans="1:10">
      <c r="A3619" s="33" t="s">
        <v>27</v>
      </c>
      <c r="B3619" s="34">
        <v>378.42500000000001</v>
      </c>
      <c r="C3619" s="35">
        <v>10939.4</v>
      </c>
      <c r="D3619" s="33" t="s">
        <v>274</v>
      </c>
      <c r="E3619" s="34">
        <v>378.56</v>
      </c>
      <c r="F3619" s="36">
        <v>0.13499999999999099</v>
      </c>
      <c r="G3619" s="34">
        <v>0.13499999999999099</v>
      </c>
      <c r="H3619" s="35">
        <v>6.1</v>
      </c>
      <c r="I3619" s="37">
        <f t="shared" si="56"/>
        <v>5.5761741960253756E-4</v>
      </c>
      <c r="J3619" s="33"/>
    </row>
    <row r="3620" spans="1:10">
      <c r="A3620" s="33" t="s">
        <v>27</v>
      </c>
      <c r="B3620" s="34">
        <v>378.42500000000001</v>
      </c>
      <c r="C3620" s="35">
        <v>10939.4</v>
      </c>
      <c r="D3620" s="33" t="s">
        <v>271</v>
      </c>
      <c r="E3620" s="34">
        <v>378.59100000000001</v>
      </c>
      <c r="F3620" s="36">
        <v>0.16599999999999701</v>
      </c>
      <c r="G3620" s="34">
        <v>0.16599999999999701</v>
      </c>
      <c r="H3620" s="35">
        <v>448.2</v>
      </c>
      <c r="I3620" s="37">
        <f t="shared" si="56"/>
        <v>4.09711684370258E-2</v>
      </c>
      <c r="J3620" s="33"/>
    </row>
    <row r="3621" spans="1:10">
      <c r="A3621" s="33" t="s">
        <v>27</v>
      </c>
      <c r="B3621" s="34">
        <v>378.42500000000001</v>
      </c>
      <c r="C3621" s="35">
        <v>10939.4</v>
      </c>
      <c r="D3621" s="33" t="s">
        <v>97</v>
      </c>
      <c r="E3621" s="34">
        <v>378.59500000000003</v>
      </c>
      <c r="F3621" s="36">
        <v>0.170000000000016</v>
      </c>
      <c r="G3621" s="34">
        <v>0.170000000000016</v>
      </c>
      <c r="H3621" s="35">
        <v>20.8</v>
      </c>
      <c r="I3621" s="37">
        <f t="shared" si="56"/>
        <v>1.9013839881529154E-3</v>
      </c>
      <c r="J3621" s="33"/>
    </row>
    <row r="3622" spans="1:10">
      <c r="A3622" s="33" t="s">
        <v>27</v>
      </c>
      <c r="B3622" s="34">
        <v>378.42500000000001</v>
      </c>
      <c r="C3622" s="35">
        <v>10939.4</v>
      </c>
      <c r="D3622" s="33" t="s">
        <v>237</v>
      </c>
      <c r="E3622" s="34">
        <v>378.60399999999998</v>
      </c>
      <c r="F3622" s="36">
        <v>0.17899999999997401</v>
      </c>
      <c r="G3622" s="34">
        <v>0.17899999999997401</v>
      </c>
      <c r="H3622" s="35">
        <v>384.2</v>
      </c>
      <c r="I3622" s="37">
        <f t="shared" si="56"/>
        <v>3.5120756165786055E-2</v>
      </c>
      <c r="J3622" s="33"/>
    </row>
    <row r="3623" spans="1:10">
      <c r="A3623" s="33" t="s">
        <v>27</v>
      </c>
      <c r="B3623" s="34">
        <v>378.42500000000001</v>
      </c>
      <c r="C3623" s="35">
        <v>10939.4</v>
      </c>
      <c r="D3623" s="33" t="s">
        <v>268</v>
      </c>
      <c r="E3623" s="34">
        <v>378.60500000000002</v>
      </c>
      <c r="F3623" s="36">
        <v>0.18000000000000699</v>
      </c>
      <c r="G3623" s="34">
        <v>0.18000000000000699</v>
      </c>
      <c r="H3623" s="35">
        <v>970.3</v>
      </c>
      <c r="I3623" s="37">
        <f t="shared" si="56"/>
        <v>8.8697734793498725E-2</v>
      </c>
      <c r="J3623" s="33"/>
    </row>
    <row r="3624" spans="1:10">
      <c r="A3624" s="33" t="s">
        <v>27</v>
      </c>
      <c r="B3624" s="34">
        <v>378.42500000000001</v>
      </c>
      <c r="C3624" s="35">
        <v>10939.4</v>
      </c>
      <c r="D3624" s="33" t="s">
        <v>33</v>
      </c>
      <c r="E3624" s="34">
        <v>378.61799999999999</v>
      </c>
      <c r="F3624" s="36">
        <v>0.19299999999998399</v>
      </c>
      <c r="G3624" s="34">
        <v>0.19299999999998399</v>
      </c>
      <c r="H3624" s="35">
        <v>10278.200000000001</v>
      </c>
      <c r="I3624" s="37">
        <f t="shared" si="56"/>
        <v>0.93955792822275452</v>
      </c>
      <c r="J3624" s="33" t="s">
        <v>116</v>
      </c>
    </row>
    <row r="3625" spans="1:10">
      <c r="A3625" s="33" t="s">
        <v>27</v>
      </c>
      <c r="B3625" s="34">
        <v>378.42500000000001</v>
      </c>
      <c r="C3625" s="35">
        <v>10939.4</v>
      </c>
      <c r="D3625" s="33" t="s">
        <v>97</v>
      </c>
      <c r="E3625" s="34">
        <v>378.61900000000003</v>
      </c>
      <c r="F3625" s="36">
        <v>0.19400000000001699</v>
      </c>
      <c r="G3625" s="34">
        <v>0.19400000000001699</v>
      </c>
      <c r="H3625" s="35">
        <v>13</v>
      </c>
      <c r="I3625" s="37">
        <f t="shared" si="56"/>
        <v>1.1883649925955721E-3</v>
      </c>
      <c r="J3625" s="33"/>
    </row>
    <row r="3626" spans="1:10">
      <c r="A3626" s="33" t="s">
        <v>27</v>
      </c>
      <c r="B3626" s="34">
        <v>378.42500000000001</v>
      </c>
      <c r="C3626" s="35">
        <v>10939.4</v>
      </c>
      <c r="D3626" s="33" t="s">
        <v>273</v>
      </c>
      <c r="E3626" s="34">
        <v>378.62200000000001</v>
      </c>
      <c r="F3626" s="36">
        <v>0.19700000000000301</v>
      </c>
      <c r="G3626" s="34">
        <v>0.19700000000000301</v>
      </c>
      <c r="H3626" s="35">
        <v>41.4</v>
      </c>
      <c r="I3626" s="37">
        <f t="shared" si="56"/>
        <v>3.7844854379582059E-3</v>
      </c>
      <c r="J3626" s="33"/>
    </row>
    <row r="3627" spans="1:10">
      <c r="A3627" s="33" t="s">
        <v>27</v>
      </c>
      <c r="B3627" s="34">
        <v>380.53300000000002</v>
      </c>
      <c r="C3627" s="35">
        <v>9905.6</v>
      </c>
      <c r="D3627" s="33" t="s">
        <v>278</v>
      </c>
      <c r="E3627" s="34">
        <v>380.34800000000001</v>
      </c>
      <c r="F3627" s="36">
        <v>0.185000000000002</v>
      </c>
      <c r="G3627" s="34">
        <v>0.185000000000002</v>
      </c>
      <c r="H3627" s="35">
        <v>272.2</v>
      </c>
      <c r="I3627" s="37">
        <f t="shared" si="56"/>
        <v>2.7479405588757871E-2</v>
      </c>
      <c r="J3627" s="33"/>
    </row>
    <row r="3628" spans="1:10">
      <c r="A3628" s="33" t="s">
        <v>27</v>
      </c>
      <c r="B3628" s="34">
        <v>380.53300000000002</v>
      </c>
      <c r="C3628" s="35">
        <v>9905.6</v>
      </c>
      <c r="D3628" s="33" t="s">
        <v>25</v>
      </c>
      <c r="E3628" s="34">
        <v>380.38400000000001</v>
      </c>
      <c r="F3628" s="36">
        <v>0.14900000000000099</v>
      </c>
      <c r="G3628" s="34">
        <v>0.14900000000000099</v>
      </c>
      <c r="H3628" s="35">
        <v>163</v>
      </c>
      <c r="I3628" s="37">
        <f t="shared" si="56"/>
        <v>1.6455338394443547E-2</v>
      </c>
      <c r="J3628" s="33" t="s">
        <v>116</v>
      </c>
    </row>
    <row r="3629" spans="1:10">
      <c r="A3629" s="33" t="s">
        <v>27</v>
      </c>
      <c r="B3629" s="34">
        <v>380.53300000000002</v>
      </c>
      <c r="C3629" s="35">
        <v>9905.6</v>
      </c>
      <c r="D3629" s="33" t="s">
        <v>273</v>
      </c>
      <c r="E3629" s="34">
        <v>380.387</v>
      </c>
      <c r="F3629" s="36">
        <v>0.14600000000001501</v>
      </c>
      <c r="G3629" s="34">
        <v>0.14600000000001501</v>
      </c>
      <c r="H3629" s="35">
        <v>502.5</v>
      </c>
      <c r="I3629" s="37">
        <f t="shared" si="56"/>
        <v>5.0728880633177188E-2</v>
      </c>
      <c r="J3629" s="33"/>
    </row>
    <row r="3630" spans="1:10">
      <c r="A3630" s="33" t="s">
        <v>27</v>
      </c>
      <c r="B3630" s="34">
        <v>380.53300000000002</v>
      </c>
      <c r="C3630" s="35">
        <v>9905.6</v>
      </c>
      <c r="D3630" s="33" t="s">
        <v>270</v>
      </c>
      <c r="E3630" s="34">
        <v>380.39400000000001</v>
      </c>
      <c r="F3630" s="36">
        <v>0.13900000000001</v>
      </c>
      <c r="G3630" s="34">
        <v>0.13900000000001</v>
      </c>
      <c r="H3630" s="35">
        <v>105.2</v>
      </c>
      <c r="I3630" s="37">
        <f t="shared" si="56"/>
        <v>1.0620255209174609E-2</v>
      </c>
      <c r="J3630" s="33"/>
    </row>
    <row r="3631" spans="1:10">
      <c r="A3631" s="33" t="s">
        <v>27</v>
      </c>
      <c r="B3631" s="34">
        <v>380.53300000000002</v>
      </c>
      <c r="C3631" s="35">
        <v>9905.6</v>
      </c>
      <c r="D3631" s="33" t="s">
        <v>276</v>
      </c>
      <c r="E3631" s="34">
        <v>380.40100000000001</v>
      </c>
      <c r="F3631" s="36">
        <v>0.132000000000005</v>
      </c>
      <c r="G3631" s="34">
        <v>0.132000000000005</v>
      </c>
      <c r="H3631" s="35">
        <v>0.6</v>
      </c>
      <c r="I3631" s="37">
        <f t="shared" si="56"/>
        <v>6.0571797770957835E-5</v>
      </c>
      <c r="J3631" s="33"/>
    </row>
    <row r="3632" spans="1:10">
      <c r="A3632" s="33" t="s">
        <v>27</v>
      </c>
      <c r="B3632" s="34">
        <v>380.53300000000002</v>
      </c>
      <c r="C3632" s="35">
        <v>9905.6</v>
      </c>
      <c r="D3632" s="33" t="s">
        <v>97</v>
      </c>
      <c r="E3632" s="34">
        <v>380.40199999999999</v>
      </c>
      <c r="F3632" s="36">
        <v>0.13100000000002901</v>
      </c>
      <c r="G3632" s="34">
        <v>0.13100000000002901</v>
      </c>
      <c r="H3632" s="35">
        <v>2.4</v>
      </c>
      <c r="I3632" s="37">
        <f t="shared" si="56"/>
        <v>2.4228719108383134E-4</v>
      </c>
      <c r="J3632" s="33"/>
    </row>
    <row r="3633" spans="1:10">
      <c r="A3633" s="33" t="s">
        <v>27</v>
      </c>
      <c r="B3633" s="34">
        <v>380.53300000000002</v>
      </c>
      <c r="C3633" s="35">
        <v>9905.6</v>
      </c>
      <c r="D3633" s="33" t="s">
        <v>240</v>
      </c>
      <c r="E3633" s="34">
        <v>380.40199999999999</v>
      </c>
      <c r="F3633" s="36">
        <v>0.13100000000002901</v>
      </c>
      <c r="G3633" s="34">
        <v>0.13100000000002901</v>
      </c>
      <c r="H3633" s="35">
        <v>0.9</v>
      </c>
      <c r="I3633" s="37">
        <f t="shared" si="56"/>
        <v>9.0857696656436763E-5</v>
      </c>
      <c r="J3633" s="33"/>
    </row>
    <row r="3634" spans="1:10">
      <c r="A3634" s="33" t="s">
        <v>27</v>
      </c>
      <c r="B3634" s="34">
        <v>380.53300000000002</v>
      </c>
      <c r="C3634" s="35">
        <v>9905.6</v>
      </c>
      <c r="D3634" s="33" t="s">
        <v>27</v>
      </c>
      <c r="E3634" s="34">
        <v>380.41</v>
      </c>
      <c r="F3634" s="36">
        <v>0.12299999999999101</v>
      </c>
      <c r="G3634" s="34">
        <v>0.12299999999999101</v>
      </c>
      <c r="H3634" s="35">
        <v>498.8</v>
      </c>
      <c r="I3634" s="37">
        <f t="shared" si="56"/>
        <v>5.0355354546922949E-2</v>
      </c>
      <c r="J3634" s="33" t="s">
        <v>116</v>
      </c>
    </row>
    <row r="3635" spans="1:10">
      <c r="A3635" s="33" t="s">
        <v>27</v>
      </c>
      <c r="B3635" s="34">
        <v>380.53300000000002</v>
      </c>
      <c r="C3635" s="35">
        <v>9905.6</v>
      </c>
      <c r="D3635" s="33" t="s">
        <v>33</v>
      </c>
      <c r="E3635" s="34">
        <v>380.41399999999999</v>
      </c>
      <c r="F3635" s="36">
        <v>0.119000000000028</v>
      </c>
      <c r="G3635" s="34">
        <v>0.119000000000028</v>
      </c>
      <c r="H3635" s="35">
        <v>1003.7</v>
      </c>
      <c r="I3635" s="37">
        <f t="shared" si="56"/>
        <v>0.10132652237118397</v>
      </c>
      <c r="J3635" s="33" t="s">
        <v>116</v>
      </c>
    </row>
    <row r="3636" spans="1:10">
      <c r="A3636" s="33" t="s">
        <v>27</v>
      </c>
      <c r="B3636" s="34">
        <v>380.53300000000002</v>
      </c>
      <c r="C3636" s="35">
        <v>9905.6</v>
      </c>
      <c r="D3636" s="33" t="s">
        <v>25</v>
      </c>
      <c r="E3636" s="34">
        <v>380.416</v>
      </c>
      <c r="F3636" s="36">
        <v>0.11700000000001901</v>
      </c>
      <c r="G3636" s="34">
        <v>0.11700000000001901</v>
      </c>
      <c r="H3636" s="35">
        <v>207.2</v>
      </c>
      <c r="I3636" s="37">
        <f t="shared" si="56"/>
        <v>2.091746083023744E-2</v>
      </c>
      <c r="J3636" s="33" t="s">
        <v>116</v>
      </c>
    </row>
    <row r="3637" spans="1:10">
      <c r="A3637" s="33" t="s">
        <v>27</v>
      </c>
      <c r="B3637" s="34">
        <v>380.53300000000002</v>
      </c>
      <c r="C3637" s="35">
        <v>9905.6</v>
      </c>
      <c r="D3637" s="33" t="s">
        <v>269</v>
      </c>
      <c r="E3637" s="34">
        <v>380.45299999999997</v>
      </c>
      <c r="F3637" s="36">
        <v>8.00000000000409E-2</v>
      </c>
      <c r="G3637" s="34">
        <v>8.00000000000409E-2</v>
      </c>
      <c r="H3637" s="35">
        <v>34.200000000000003</v>
      </c>
      <c r="I3637" s="37">
        <f t="shared" si="56"/>
        <v>3.4525924729445971E-3</v>
      </c>
      <c r="J3637" s="33"/>
    </row>
    <row r="3638" spans="1:10">
      <c r="A3638" s="33" t="s">
        <v>27</v>
      </c>
      <c r="B3638" s="34">
        <v>380.53300000000002</v>
      </c>
      <c r="C3638" s="35">
        <v>9905.6</v>
      </c>
      <c r="D3638" s="33" t="s">
        <v>240</v>
      </c>
      <c r="E3638" s="34">
        <v>380.46499999999997</v>
      </c>
      <c r="F3638" s="36">
        <v>6.80000000000405E-2</v>
      </c>
      <c r="G3638" s="34">
        <v>6.80000000000405E-2</v>
      </c>
      <c r="H3638" s="35">
        <v>2.4</v>
      </c>
      <c r="I3638" s="37">
        <f t="shared" si="56"/>
        <v>2.4228719108383134E-4</v>
      </c>
      <c r="J3638" s="33"/>
    </row>
    <row r="3639" spans="1:10">
      <c r="A3639" s="33" t="s">
        <v>27</v>
      </c>
      <c r="B3639" s="34">
        <v>380.53300000000002</v>
      </c>
      <c r="C3639" s="35">
        <v>9905.6</v>
      </c>
      <c r="D3639" s="33" t="s">
        <v>273</v>
      </c>
      <c r="E3639" s="34">
        <v>380.47300000000001</v>
      </c>
      <c r="F3639" s="36">
        <v>6.0000000000002301E-2</v>
      </c>
      <c r="G3639" s="34">
        <v>6.0000000000002301E-2</v>
      </c>
      <c r="H3639" s="35">
        <v>693.3</v>
      </c>
      <c r="I3639" s="37">
        <f t="shared" si="56"/>
        <v>6.9990712324341786E-2</v>
      </c>
      <c r="J3639" s="33"/>
    </row>
    <row r="3640" spans="1:10">
      <c r="A3640" s="33" t="s">
        <v>27</v>
      </c>
      <c r="B3640" s="34">
        <v>380.53300000000002</v>
      </c>
      <c r="C3640" s="35">
        <v>9905.6</v>
      </c>
      <c r="D3640" s="33" t="s">
        <v>239</v>
      </c>
      <c r="E3640" s="34">
        <v>380.47899999999998</v>
      </c>
      <c r="F3640" s="36">
        <v>5.4000000000030503E-2</v>
      </c>
      <c r="G3640" s="34">
        <v>5.4000000000030503E-2</v>
      </c>
      <c r="H3640" s="35">
        <v>141.80000000000001</v>
      </c>
      <c r="I3640" s="37">
        <f t="shared" si="56"/>
        <v>1.4315134873203038E-2</v>
      </c>
      <c r="J3640" s="33"/>
    </row>
    <row r="3641" spans="1:10">
      <c r="A3641" s="33" t="s">
        <v>27</v>
      </c>
      <c r="B3641" s="34">
        <v>380.53300000000002</v>
      </c>
      <c r="C3641" s="35">
        <v>9905.6</v>
      </c>
      <c r="D3641" s="33" t="s">
        <v>173</v>
      </c>
      <c r="E3641" s="34">
        <v>380.48399999999998</v>
      </c>
      <c r="F3641" s="36">
        <v>4.9000000000035002E-2</v>
      </c>
      <c r="G3641" s="34">
        <v>4.9000000000035002E-2</v>
      </c>
      <c r="H3641" s="35">
        <v>2019.4</v>
      </c>
      <c r="I3641" s="37">
        <f t="shared" si="56"/>
        <v>0.20386448069778712</v>
      </c>
      <c r="J3641" s="33"/>
    </row>
    <row r="3642" spans="1:10">
      <c r="A3642" s="33" t="s">
        <v>27</v>
      </c>
      <c r="B3642" s="34">
        <v>380.53300000000002</v>
      </c>
      <c r="C3642" s="35">
        <v>9905.6</v>
      </c>
      <c r="D3642" s="33" t="s">
        <v>277</v>
      </c>
      <c r="E3642" s="34">
        <v>380.48700000000002</v>
      </c>
      <c r="F3642" s="36">
        <v>4.5999999999992297E-2</v>
      </c>
      <c r="G3642" s="34">
        <v>4.5999999999992297E-2</v>
      </c>
      <c r="H3642" s="35">
        <v>135.19999999999999</v>
      </c>
      <c r="I3642" s="37">
        <f t="shared" si="56"/>
        <v>1.3648845097722498E-2</v>
      </c>
      <c r="J3642" s="33"/>
    </row>
    <row r="3643" spans="1:10">
      <c r="A3643" s="33" t="s">
        <v>27</v>
      </c>
      <c r="B3643" s="34">
        <v>380.53300000000002</v>
      </c>
      <c r="C3643" s="35">
        <v>9905.6</v>
      </c>
      <c r="D3643" s="33" t="s">
        <v>271</v>
      </c>
      <c r="E3643" s="34">
        <v>380.49900000000002</v>
      </c>
      <c r="F3643" s="36">
        <v>3.3999999999991801E-2</v>
      </c>
      <c r="G3643" s="34">
        <v>3.3999999999991801E-2</v>
      </c>
      <c r="H3643" s="35">
        <v>89.7</v>
      </c>
      <c r="I3643" s="37">
        <f t="shared" si="56"/>
        <v>9.0554837667581982E-3</v>
      </c>
      <c r="J3643" s="33"/>
    </row>
    <row r="3644" spans="1:10">
      <c r="A3644" s="33" t="s">
        <v>27</v>
      </c>
      <c r="B3644" s="34">
        <v>380.53300000000002</v>
      </c>
      <c r="C3644" s="35">
        <v>9905.6</v>
      </c>
      <c r="D3644" s="33" t="s">
        <v>36</v>
      </c>
      <c r="E3644" s="34">
        <v>380.50900000000001</v>
      </c>
      <c r="F3644" s="36">
        <v>2.4E-2</v>
      </c>
      <c r="G3644" s="34">
        <v>2.4E-2</v>
      </c>
      <c r="H3644" s="35">
        <v>1018.4</v>
      </c>
      <c r="I3644" s="37">
        <f t="shared" si="56"/>
        <v>0.10281053141657244</v>
      </c>
      <c r="J3644" s="33" t="s">
        <v>116</v>
      </c>
    </row>
    <row r="3645" spans="1:10">
      <c r="A3645" s="33" t="s">
        <v>27</v>
      </c>
      <c r="B3645" s="34">
        <v>380.53300000000002</v>
      </c>
      <c r="C3645" s="35">
        <v>9905.6</v>
      </c>
      <c r="D3645" s="33" t="s">
        <v>271</v>
      </c>
      <c r="E3645" s="34">
        <v>380.53100000000001</v>
      </c>
      <c r="F3645" s="36">
        <v>2.0000000000095501E-3</v>
      </c>
      <c r="G3645" s="34">
        <v>2.0000000000095501E-3</v>
      </c>
      <c r="H3645" s="35">
        <v>155.30000000000001</v>
      </c>
      <c r="I3645" s="37">
        <f t="shared" si="56"/>
        <v>1.5678000323049588E-2</v>
      </c>
      <c r="J3645" s="33"/>
    </row>
    <row r="3646" spans="1:10">
      <c r="A3646" s="33" t="s">
        <v>27</v>
      </c>
      <c r="B3646" s="34">
        <v>380.53300000000002</v>
      </c>
      <c r="C3646" s="35">
        <v>9905.6</v>
      </c>
      <c r="D3646" s="33" t="s">
        <v>97</v>
      </c>
      <c r="E3646" s="34">
        <v>380.53399999999999</v>
      </c>
      <c r="F3646" s="36">
        <v>9.9999999997635292E-4</v>
      </c>
      <c r="G3646" s="34">
        <v>9.9999999997635292E-4</v>
      </c>
      <c r="H3646" s="35">
        <v>69.2</v>
      </c>
      <c r="I3646" s="37">
        <f t="shared" si="56"/>
        <v>6.9859473429171376E-3</v>
      </c>
      <c r="J3646" s="33"/>
    </row>
    <row r="3647" spans="1:10">
      <c r="A3647" s="33" t="s">
        <v>27</v>
      </c>
      <c r="B3647" s="34">
        <v>380.53300000000002</v>
      </c>
      <c r="C3647" s="35">
        <v>9905.6</v>
      </c>
      <c r="D3647" s="33" t="s">
        <v>278</v>
      </c>
      <c r="E3647" s="34">
        <v>380.55</v>
      </c>
      <c r="F3647" s="36">
        <v>1.69999999999959E-2</v>
      </c>
      <c r="G3647" s="34">
        <v>1.69999999999959E-2</v>
      </c>
      <c r="H3647" s="35">
        <v>495.6</v>
      </c>
      <c r="I3647" s="37">
        <f t="shared" si="56"/>
        <v>5.0032304958811176E-2</v>
      </c>
      <c r="J3647" s="33"/>
    </row>
    <row r="3648" spans="1:10">
      <c r="A3648" s="33" t="s">
        <v>27</v>
      </c>
      <c r="B3648" s="34">
        <v>380.53300000000002</v>
      </c>
      <c r="C3648" s="35">
        <v>9905.6</v>
      </c>
      <c r="D3648" s="33" t="s">
        <v>36</v>
      </c>
      <c r="E3648" s="34">
        <v>380.55200000000002</v>
      </c>
      <c r="F3648" s="36">
        <v>1.9000000000005499E-2</v>
      </c>
      <c r="G3648" s="34">
        <v>1.9000000000005499E-2</v>
      </c>
      <c r="H3648" s="35">
        <v>2726.6</v>
      </c>
      <c r="I3648" s="37">
        <f t="shared" si="56"/>
        <v>0.27525843967048941</v>
      </c>
      <c r="J3648" s="33" t="s">
        <v>116</v>
      </c>
    </row>
    <row r="3649" spans="1:10">
      <c r="A3649" s="33" t="s">
        <v>27</v>
      </c>
      <c r="B3649" s="34">
        <v>380.53300000000002</v>
      </c>
      <c r="C3649" s="35">
        <v>9905.6</v>
      </c>
      <c r="D3649" s="33" t="s">
        <v>270</v>
      </c>
      <c r="E3649" s="34">
        <v>380.56299999999999</v>
      </c>
      <c r="F3649" s="36">
        <v>2.9999999999972701E-2</v>
      </c>
      <c r="G3649" s="34">
        <v>2.9999999999972701E-2</v>
      </c>
      <c r="H3649" s="35">
        <v>1406.8</v>
      </c>
      <c r="I3649" s="37">
        <f t="shared" si="56"/>
        <v>0.14202067517363914</v>
      </c>
      <c r="J3649" s="33"/>
    </row>
    <row r="3650" spans="1:10">
      <c r="A3650" s="33" t="s">
        <v>27</v>
      </c>
      <c r="B3650" s="34">
        <v>380.53300000000002</v>
      </c>
      <c r="C3650" s="35">
        <v>9905.6</v>
      </c>
      <c r="D3650" s="33" t="s">
        <v>54</v>
      </c>
      <c r="E3650" s="34">
        <v>380.577</v>
      </c>
      <c r="F3650" s="36">
        <v>4.3999999999982699E-2</v>
      </c>
      <c r="G3650" s="34">
        <v>4.3999999999982699E-2</v>
      </c>
      <c r="H3650" s="35">
        <v>27</v>
      </c>
      <c r="I3650" s="37">
        <f t="shared" ref="I3650:I3713" si="57">H3650/C3650</f>
        <v>2.725730899693103E-3</v>
      </c>
      <c r="J3650" s="33"/>
    </row>
    <row r="3651" spans="1:10">
      <c r="A3651" s="33" t="s">
        <v>27</v>
      </c>
      <c r="B3651" s="34">
        <v>380.53300000000002</v>
      </c>
      <c r="C3651" s="35">
        <v>9905.6</v>
      </c>
      <c r="D3651" s="33" t="s">
        <v>271</v>
      </c>
      <c r="E3651" s="34">
        <v>380.58199999999999</v>
      </c>
      <c r="F3651" s="36">
        <v>4.89999999999782E-2</v>
      </c>
      <c r="G3651" s="34">
        <v>4.89999999999782E-2</v>
      </c>
      <c r="H3651" s="35">
        <v>702.8</v>
      </c>
      <c r="I3651" s="37">
        <f t="shared" si="57"/>
        <v>7.0949765789048616E-2</v>
      </c>
      <c r="J3651" s="33"/>
    </row>
    <row r="3652" spans="1:10">
      <c r="A3652" s="33" t="s">
        <v>27</v>
      </c>
      <c r="B3652" s="34">
        <v>380.53300000000002</v>
      </c>
      <c r="C3652" s="35">
        <v>9905.6</v>
      </c>
      <c r="D3652" s="33" t="s">
        <v>282</v>
      </c>
      <c r="E3652" s="34">
        <v>380.59199999999998</v>
      </c>
      <c r="F3652" s="36">
        <v>5.8999999999969098E-2</v>
      </c>
      <c r="G3652" s="34">
        <v>5.8999999999969098E-2</v>
      </c>
      <c r="H3652" s="35">
        <v>254.1</v>
      </c>
      <c r="I3652" s="37">
        <f t="shared" si="57"/>
        <v>2.5652156356000645E-2</v>
      </c>
      <c r="J3652" s="33"/>
    </row>
    <row r="3653" spans="1:10">
      <c r="A3653" s="33" t="s">
        <v>27</v>
      </c>
      <c r="B3653" s="34">
        <v>380.53300000000002</v>
      </c>
      <c r="C3653" s="35">
        <v>9905.6</v>
      </c>
      <c r="D3653" s="33" t="s">
        <v>269</v>
      </c>
      <c r="E3653" s="34">
        <v>380.60599999999999</v>
      </c>
      <c r="F3653" s="36">
        <v>7.2999999999979095E-2</v>
      </c>
      <c r="G3653" s="34">
        <v>7.2999999999979095E-2</v>
      </c>
      <c r="H3653" s="35">
        <v>867.8</v>
      </c>
      <c r="I3653" s="37">
        <f t="shared" si="57"/>
        <v>8.7607010176062011E-2</v>
      </c>
      <c r="J3653" s="33"/>
    </row>
    <row r="3654" spans="1:10">
      <c r="A3654" s="33" t="s">
        <v>27</v>
      </c>
      <c r="B3654" s="34">
        <v>380.53300000000002</v>
      </c>
      <c r="C3654" s="35">
        <v>9905.6</v>
      </c>
      <c r="D3654" s="33" t="s">
        <v>273</v>
      </c>
      <c r="E3654" s="34">
        <v>380.61900000000003</v>
      </c>
      <c r="F3654" s="36">
        <v>8.6000000000012705E-2</v>
      </c>
      <c r="G3654" s="34">
        <v>8.6000000000012705E-2</v>
      </c>
      <c r="H3654" s="35">
        <v>31.4</v>
      </c>
      <c r="I3654" s="37">
        <f t="shared" si="57"/>
        <v>3.1699240833467936E-3</v>
      </c>
      <c r="J3654" s="33"/>
    </row>
    <row r="3655" spans="1:10">
      <c r="A3655" s="33" t="s">
        <v>27</v>
      </c>
      <c r="B3655" s="34">
        <v>380.53300000000002</v>
      </c>
      <c r="C3655" s="35">
        <v>9905.6</v>
      </c>
      <c r="D3655" s="33" t="s">
        <v>277</v>
      </c>
      <c r="E3655" s="34">
        <v>380.62599999999998</v>
      </c>
      <c r="F3655" s="36">
        <v>9.2999999999960906E-2</v>
      </c>
      <c r="G3655" s="34">
        <v>9.2999999999960906E-2</v>
      </c>
      <c r="H3655" s="35">
        <v>101.2</v>
      </c>
      <c r="I3655" s="37">
        <f t="shared" si="57"/>
        <v>1.021644322403489E-2</v>
      </c>
      <c r="J3655" s="33"/>
    </row>
    <row r="3656" spans="1:10">
      <c r="A3656" s="33" t="s">
        <v>27</v>
      </c>
      <c r="B3656" s="34">
        <v>380.53300000000002</v>
      </c>
      <c r="C3656" s="35">
        <v>9905.6</v>
      </c>
      <c r="D3656" s="33" t="s">
        <v>33</v>
      </c>
      <c r="E3656" s="34">
        <v>380.62700000000001</v>
      </c>
      <c r="F3656" s="36">
        <v>9.3999999999994102E-2</v>
      </c>
      <c r="G3656" s="34">
        <v>9.3999999999994102E-2</v>
      </c>
      <c r="H3656" s="35">
        <v>1963.4</v>
      </c>
      <c r="I3656" s="37">
        <f t="shared" si="57"/>
        <v>0.19821111290583104</v>
      </c>
      <c r="J3656" s="33" t="s">
        <v>116</v>
      </c>
    </row>
    <row r="3657" spans="1:10">
      <c r="A3657" s="33" t="s">
        <v>27</v>
      </c>
      <c r="B3657" s="34">
        <v>380.53300000000002</v>
      </c>
      <c r="C3657" s="35">
        <v>9905.6</v>
      </c>
      <c r="D3657" s="33" t="s">
        <v>25</v>
      </c>
      <c r="E3657" s="34">
        <v>380.63600000000002</v>
      </c>
      <c r="F3657" s="36">
        <v>0.103000000000009</v>
      </c>
      <c r="G3657" s="34">
        <v>0.103000000000009</v>
      </c>
      <c r="H3657" s="35">
        <v>52.2</v>
      </c>
      <c r="I3657" s="37">
        <f t="shared" si="57"/>
        <v>5.2697464060733326E-3</v>
      </c>
      <c r="J3657" s="33" t="s">
        <v>116</v>
      </c>
    </row>
    <row r="3658" spans="1:10">
      <c r="A3658" s="33" t="s">
        <v>27</v>
      </c>
      <c r="B3658" s="34">
        <v>380.53300000000002</v>
      </c>
      <c r="C3658" s="35">
        <v>9905.6</v>
      </c>
      <c r="D3658" s="33" t="s">
        <v>97</v>
      </c>
      <c r="E3658" s="34">
        <v>380.67</v>
      </c>
      <c r="F3658" s="36">
        <v>0.13700000000000101</v>
      </c>
      <c r="G3658" s="34">
        <v>0.13700000000000101</v>
      </c>
      <c r="H3658" s="35">
        <v>33.9</v>
      </c>
      <c r="I3658" s="37">
        <f t="shared" si="57"/>
        <v>3.4223065740591179E-3</v>
      </c>
      <c r="J3658" s="33"/>
    </row>
    <row r="3659" spans="1:10">
      <c r="A3659" s="33" t="s">
        <v>27</v>
      </c>
      <c r="B3659" s="34">
        <v>380.53300000000002</v>
      </c>
      <c r="C3659" s="35">
        <v>9905.6</v>
      </c>
      <c r="D3659" s="33" t="s">
        <v>240</v>
      </c>
      <c r="E3659" s="34">
        <v>380.67099999999999</v>
      </c>
      <c r="F3659" s="36">
        <v>0.137999999999977</v>
      </c>
      <c r="G3659" s="34">
        <v>0.137999999999977</v>
      </c>
      <c r="H3659" s="35">
        <v>1111.8</v>
      </c>
      <c r="I3659" s="37">
        <f t="shared" si="57"/>
        <v>0.11223954126958487</v>
      </c>
      <c r="J3659" s="33"/>
    </row>
    <row r="3660" spans="1:10">
      <c r="A3660" s="33" t="s">
        <v>27</v>
      </c>
      <c r="B3660" s="34">
        <v>380.53300000000002</v>
      </c>
      <c r="C3660" s="35">
        <v>9905.6</v>
      </c>
      <c r="D3660" s="33" t="s">
        <v>282</v>
      </c>
      <c r="E3660" s="34">
        <v>380.67599999999999</v>
      </c>
      <c r="F3660" s="36">
        <v>0.14299999999997201</v>
      </c>
      <c r="G3660" s="34">
        <v>0.14299999999997201</v>
      </c>
      <c r="H3660" s="35">
        <v>236.1</v>
      </c>
      <c r="I3660" s="37">
        <f t="shared" si="57"/>
        <v>2.3835002422871909E-2</v>
      </c>
      <c r="J3660" s="33"/>
    </row>
    <row r="3661" spans="1:10">
      <c r="A3661" s="33" t="s">
        <v>27</v>
      </c>
      <c r="B3661" s="34">
        <v>380.53300000000002</v>
      </c>
      <c r="C3661" s="35">
        <v>9905.6</v>
      </c>
      <c r="D3661" s="33" t="s">
        <v>270</v>
      </c>
      <c r="E3661" s="34">
        <v>380.67599999999999</v>
      </c>
      <c r="F3661" s="36">
        <v>0.14299999999997201</v>
      </c>
      <c r="G3661" s="34">
        <v>0.14299999999997201</v>
      </c>
      <c r="H3661" s="35">
        <v>570</v>
      </c>
      <c r="I3661" s="37">
        <f t="shared" si="57"/>
        <v>5.754320788240995E-2</v>
      </c>
      <c r="J3661" s="33"/>
    </row>
    <row r="3662" spans="1:10">
      <c r="A3662" s="33" t="s">
        <v>27</v>
      </c>
      <c r="B3662" s="34">
        <v>380.53300000000002</v>
      </c>
      <c r="C3662" s="35">
        <v>9905.6</v>
      </c>
      <c r="D3662" s="33" t="s">
        <v>280</v>
      </c>
      <c r="E3662" s="34">
        <v>380.67700000000002</v>
      </c>
      <c r="F3662" s="36">
        <v>0.14400000000000601</v>
      </c>
      <c r="G3662" s="34">
        <v>0.14400000000000601</v>
      </c>
      <c r="H3662" s="35">
        <v>105.4</v>
      </c>
      <c r="I3662" s="37">
        <f t="shared" si="57"/>
        <v>1.0640445808431594E-2</v>
      </c>
      <c r="J3662" s="33"/>
    </row>
    <row r="3663" spans="1:10">
      <c r="A3663" s="33" t="s">
        <v>27</v>
      </c>
      <c r="B3663" s="34">
        <v>380.53300000000002</v>
      </c>
      <c r="C3663" s="35">
        <v>9905.6</v>
      </c>
      <c r="D3663" s="33" t="s">
        <v>278</v>
      </c>
      <c r="E3663" s="34">
        <v>380.67899999999997</v>
      </c>
      <c r="F3663" s="36">
        <v>0.145999999999958</v>
      </c>
      <c r="G3663" s="34">
        <v>0.145999999999958</v>
      </c>
      <c r="H3663" s="35">
        <v>57.8</v>
      </c>
      <c r="I3663" s="37">
        <f t="shared" si="57"/>
        <v>5.8350831852689387E-3</v>
      </c>
      <c r="J3663" s="33"/>
    </row>
    <row r="3664" spans="1:10">
      <c r="A3664" s="33" t="s">
        <v>27</v>
      </c>
      <c r="B3664" s="34">
        <v>386.34100000000001</v>
      </c>
      <c r="C3664" s="35">
        <v>16590.7</v>
      </c>
      <c r="D3664" s="33" t="s">
        <v>278</v>
      </c>
      <c r="E3664" s="34">
        <v>386.16199999999998</v>
      </c>
      <c r="F3664" s="36">
        <v>0.179000000000031</v>
      </c>
      <c r="G3664" s="34">
        <v>0.179000000000031</v>
      </c>
      <c r="H3664" s="35">
        <v>32.4</v>
      </c>
      <c r="I3664" s="37">
        <f t="shared" si="57"/>
        <v>1.9529013242358668E-3</v>
      </c>
      <c r="J3664" s="33"/>
    </row>
    <row r="3665" spans="1:10">
      <c r="A3665" s="33" t="s">
        <v>27</v>
      </c>
      <c r="B3665" s="34">
        <v>386.34100000000001</v>
      </c>
      <c r="C3665" s="35">
        <v>16590.7</v>
      </c>
      <c r="D3665" s="33" t="s">
        <v>25</v>
      </c>
      <c r="E3665" s="34">
        <v>386.19200000000001</v>
      </c>
      <c r="F3665" s="36">
        <v>0.14900000000000099</v>
      </c>
      <c r="G3665" s="34">
        <v>0.14900000000000099</v>
      </c>
      <c r="H3665" s="35">
        <v>206.3</v>
      </c>
      <c r="I3665" s="37">
        <f t="shared" si="57"/>
        <v>1.2434677258946277E-2</v>
      </c>
      <c r="J3665" s="33" t="s">
        <v>116</v>
      </c>
    </row>
    <row r="3666" spans="1:10">
      <c r="A3666" s="33" t="s">
        <v>27</v>
      </c>
      <c r="B3666" s="34">
        <v>386.34100000000001</v>
      </c>
      <c r="C3666" s="35">
        <v>16590.7</v>
      </c>
      <c r="D3666" s="33" t="s">
        <v>270</v>
      </c>
      <c r="E3666" s="34">
        <v>386.20499999999998</v>
      </c>
      <c r="F3666" s="36">
        <v>0.13600000000002399</v>
      </c>
      <c r="G3666" s="34">
        <v>0.13600000000002399</v>
      </c>
      <c r="H3666" s="35">
        <v>1379.7</v>
      </c>
      <c r="I3666" s="37">
        <f t="shared" si="57"/>
        <v>8.316104805704401E-2</v>
      </c>
      <c r="J3666" s="33"/>
    </row>
    <row r="3667" spans="1:10">
      <c r="A3667" s="33" t="s">
        <v>27</v>
      </c>
      <c r="B3667" s="34">
        <v>386.34100000000001</v>
      </c>
      <c r="C3667" s="35">
        <v>16590.7</v>
      </c>
      <c r="D3667" s="33" t="s">
        <v>278</v>
      </c>
      <c r="E3667" s="34">
        <v>386.221</v>
      </c>
      <c r="F3667" s="36">
        <v>0.12000000000000501</v>
      </c>
      <c r="G3667" s="34">
        <v>0.12000000000000501</v>
      </c>
      <c r="H3667" s="35">
        <v>70.599999999999994</v>
      </c>
      <c r="I3667" s="37">
        <f t="shared" si="57"/>
        <v>4.255396095402846E-3</v>
      </c>
      <c r="J3667" s="33"/>
    </row>
    <row r="3668" spans="1:10">
      <c r="A3668" s="33" t="s">
        <v>27</v>
      </c>
      <c r="B3668" s="34">
        <v>386.34100000000001</v>
      </c>
      <c r="C3668" s="35">
        <v>16590.7</v>
      </c>
      <c r="D3668" s="33" t="s">
        <v>271</v>
      </c>
      <c r="E3668" s="34">
        <v>386.24</v>
      </c>
      <c r="F3668" s="36">
        <v>0.10099999999999899</v>
      </c>
      <c r="G3668" s="34">
        <v>0.10099999999999899</v>
      </c>
      <c r="H3668" s="35">
        <v>473.7</v>
      </c>
      <c r="I3668" s="37">
        <f t="shared" si="57"/>
        <v>2.855214065711513E-2</v>
      </c>
      <c r="J3668" s="33"/>
    </row>
    <row r="3669" spans="1:10">
      <c r="A3669" s="33" t="s">
        <v>27</v>
      </c>
      <c r="B3669" s="34">
        <v>386.34100000000001</v>
      </c>
      <c r="C3669" s="35">
        <v>16590.7</v>
      </c>
      <c r="D3669" s="33" t="s">
        <v>25</v>
      </c>
      <c r="E3669" s="34">
        <v>386.24599999999998</v>
      </c>
      <c r="F3669" s="36">
        <v>9.5000000000027299E-2</v>
      </c>
      <c r="G3669" s="34">
        <v>9.5000000000027299E-2</v>
      </c>
      <c r="H3669" s="35">
        <v>627.70000000000005</v>
      </c>
      <c r="I3669" s="37">
        <f t="shared" si="57"/>
        <v>3.7834449420458452E-2</v>
      </c>
      <c r="J3669" s="33" t="s">
        <v>116</v>
      </c>
    </row>
    <row r="3670" spans="1:10">
      <c r="A3670" s="33" t="s">
        <v>27</v>
      </c>
      <c r="B3670" s="34">
        <v>386.34100000000001</v>
      </c>
      <c r="C3670" s="35">
        <v>16590.7</v>
      </c>
      <c r="D3670" s="33" t="s">
        <v>27</v>
      </c>
      <c r="E3670" s="34">
        <v>386.25700000000001</v>
      </c>
      <c r="F3670" s="36">
        <v>8.4000000000003197E-2</v>
      </c>
      <c r="G3670" s="34">
        <v>8.4000000000003197E-2</v>
      </c>
      <c r="H3670" s="35">
        <v>1807.4</v>
      </c>
      <c r="I3670" s="37">
        <f t="shared" si="57"/>
        <v>0.10894055103160204</v>
      </c>
      <c r="J3670" s="33" t="s">
        <v>116</v>
      </c>
    </row>
    <row r="3671" spans="1:10">
      <c r="A3671" s="33" t="s">
        <v>27</v>
      </c>
      <c r="B3671" s="34">
        <v>386.34100000000001</v>
      </c>
      <c r="C3671" s="35">
        <v>16590.7</v>
      </c>
      <c r="D3671" s="33" t="s">
        <v>293</v>
      </c>
      <c r="E3671" s="34">
        <v>386.25900000000001</v>
      </c>
      <c r="F3671" s="36">
        <v>8.1999999999993606E-2</v>
      </c>
      <c r="G3671" s="34">
        <v>8.1999999999993606E-2</v>
      </c>
      <c r="H3671" s="35">
        <v>5.6</v>
      </c>
      <c r="I3671" s="37">
        <f t="shared" si="57"/>
        <v>3.3753850048521156E-4</v>
      </c>
      <c r="J3671" s="33"/>
    </row>
    <row r="3672" spans="1:10">
      <c r="A3672" s="33" t="s">
        <v>27</v>
      </c>
      <c r="B3672" s="34">
        <v>386.34100000000001</v>
      </c>
      <c r="C3672" s="35">
        <v>16590.7</v>
      </c>
      <c r="D3672" s="33" t="s">
        <v>271</v>
      </c>
      <c r="E3672" s="34">
        <v>386.26499999999999</v>
      </c>
      <c r="F3672" s="36">
        <v>7.60000000000218E-2</v>
      </c>
      <c r="G3672" s="34">
        <v>7.60000000000218E-2</v>
      </c>
      <c r="H3672" s="35">
        <v>543.5</v>
      </c>
      <c r="I3672" s="37">
        <f t="shared" si="57"/>
        <v>3.2759316966734377E-2</v>
      </c>
      <c r="J3672" s="33"/>
    </row>
    <row r="3673" spans="1:10">
      <c r="A3673" s="33" t="s">
        <v>27</v>
      </c>
      <c r="B3673" s="34">
        <v>386.34100000000001</v>
      </c>
      <c r="C3673" s="35">
        <v>16590.7</v>
      </c>
      <c r="D3673" s="33" t="s">
        <v>268</v>
      </c>
      <c r="E3673" s="34">
        <v>386.26799999999997</v>
      </c>
      <c r="F3673" s="36">
        <v>7.3000000000035897E-2</v>
      </c>
      <c r="G3673" s="34">
        <v>7.3000000000035897E-2</v>
      </c>
      <c r="H3673" s="35">
        <v>152.1</v>
      </c>
      <c r="I3673" s="37">
        <f t="shared" si="57"/>
        <v>9.1677867721072642E-3</v>
      </c>
      <c r="J3673" s="33"/>
    </row>
    <row r="3674" spans="1:10">
      <c r="A3674" s="33" t="s">
        <v>27</v>
      </c>
      <c r="B3674" s="34">
        <v>386.34100000000001</v>
      </c>
      <c r="C3674" s="35">
        <v>16590.7</v>
      </c>
      <c r="D3674" s="33" t="s">
        <v>97</v>
      </c>
      <c r="E3674" s="34">
        <v>386.279</v>
      </c>
      <c r="F3674" s="36">
        <v>6.2000000000011803E-2</v>
      </c>
      <c r="G3674" s="34">
        <v>6.2000000000011803E-2</v>
      </c>
      <c r="H3674" s="35">
        <v>11</v>
      </c>
      <c r="I3674" s="37">
        <f t="shared" si="57"/>
        <v>6.6302205452452279E-4</v>
      </c>
      <c r="J3674" s="33"/>
    </row>
    <row r="3675" spans="1:10">
      <c r="A3675" s="33" t="s">
        <v>27</v>
      </c>
      <c r="B3675" s="34">
        <v>386.34100000000001</v>
      </c>
      <c r="C3675" s="35">
        <v>16590.7</v>
      </c>
      <c r="D3675" s="33" t="s">
        <v>237</v>
      </c>
      <c r="E3675" s="34">
        <v>386.28500000000003</v>
      </c>
      <c r="F3675" s="36">
        <v>5.5999999999983202E-2</v>
      </c>
      <c r="G3675" s="34">
        <v>5.5999999999983202E-2</v>
      </c>
      <c r="H3675" s="35">
        <v>66.400000000000006</v>
      </c>
      <c r="I3675" s="37">
        <f t="shared" si="57"/>
        <v>4.0022422200389381E-3</v>
      </c>
      <c r="J3675" s="33"/>
    </row>
    <row r="3676" spans="1:10">
      <c r="A3676" s="33" t="s">
        <v>27</v>
      </c>
      <c r="B3676" s="34">
        <v>386.34100000000001</v>
      </c>
      <c r="C3676" s="35">
        <v>16590.7</v>
      </c>
      <c r="D3676" s="33" t="s">
        <v>273</v>
      </c>
      <c r="E3676" s="34">
        <v>386.29199999999997</v>
      </c>
      <c r="F3676" s="36">
        <v>4.9000000000035002E-2</v>
      </c>
      <c r="G3676" s="34">
        <v>4.9000000000035002E-2</v>
      </c>
      <c r="H3676" s="35">
        <v>815.3</v>
      </c>
      <c r="I3676" s="37">
        <f t="shared" si="57"/>
        <v>4.9141989186713031E-2</v>
      </c>
      <c r="J3676" s="33"/>
    </row>
    <row r="3677" spans="1:10">
      <c r="A3677" s="33" t="s">
        <v>27</v>
      </c>
      <c r="B3677" s="34">
        <v>386.34100000000001</v>
      </c>
      <c r="C3677" s="35">
        <v>16590.7</v>
      </c>
      <c r="D3677" s="33" t="s">
        <v>165</v>
      </c>
      <c r="E3677" s="34">
        <v>386.30599999999998</v>
      </c>
      <c r="F3677" s="36">
        <v>3.5000000000024997E-2</v>
      </c>
      <c r="G3677" s="34">
        <v>3.5000000000024997E-2</v>
      </c>
      <c r="H3677" s="35">
        <v>12.2</v>
      </c>
      <c r="I3677" s="37">
        <f t="shared" si="57"/>
        <v>7.3535173319992523E-4</v>
      </c>
      <c r="J3677" s="33"/>
    </row>
    <row r="3678" spans="1:10">
      <c r="A3678" s="33" t="s">
        <v>27</v>
      </c>
      <c r="B3678" s="34">
        <v>386.34100000000001</v>
      </c>
      <c r="C3678" s="35">
        <v>16590.7</v>
      </c>
      <c r="D3678" s="33" t="s">
        <v>277</v>
      </c>
      <c r="E3678" s="34">
        <v>386.30900000000003</v>
      </c>
      <c r="F3678" s="36">
        <v>3.19999999999823E-2</v>
      </c>
      <c r="G3678" s="34">
        <v>3.19999999999823E-2</v>
      </c>
      <c r="H3678" s="35">
        <v>119.6</v>
      </c>
      <c r="I3678" s="37">
        <f t="shared" si="57"/>
        <v>7.208857974648447E-3</v>
      </c>
      <c r="J3678" s="33"/>
    </row>
    <row r="3679" spans="1:10">
      <c r="A3679" s="33" t="s">
        <v>27</v>
      </c>
      <c r="B3679" s="34">
        <v>386.34100000000001</v>
      </c>
      <c r="C3679" s="35">
        <v>16590.7</v>
      </c>
      <c r="D3679" s="33" t="s">
        <v>302</v>
      </c>
      <c r="E3679" s="34">
        <v>386.31700000000001</v>
      </c>
      <c r="F3679" s="36">
        <v>2.4000000000000899E-2</v>
      </c>
      <c r="G3679" s="34">
        <v>2.4000000000000899E-2</v>
      </c>
      <c r="H3679" s="35">
        <v>455</v>
      </c>
      <c r="I3679" s="37">
        <f t="shared" si="57"/>
        <v>2.742500316442344E-2</v>
      </c>
      <c r="J3679" s="33"/>
    </row>
    <row r="3680" spans="1:10">
      <c r="A3680" s="33" t="s">
        <v>27</v>
      </c>
      <c r="B3680" s="34">
        <v>386.34100000000001</v>
      </c>
      <c r="C3680" s="35">
        <v>16590.7</v>
      </c>
      <c r="D3680" s="33" t="s">
        <v>273</v>
      </c>
      <c r="E3680" s="34">
        <v>386.33800000000002</v>
      </c>
      <c r="F3680" s="36">
        <v>2.9999999999858998E-3</v>
      </c>
      <c r="G3680" s="34">
        <v>2.9999999999858998E-3</v>
      </c>
      <c r="H3680" s="35">
        <v>102.2</v>
      </c>
      <c r="I3680" s="37">
        <f t="shared" si="57"/>
        <v>6.1600776338551115E-3</v>
      </c>
      <c r="J3680" s="33"/>
    </row>
    <row r="3681" spans="1:10">
      <c r="A3681" s="33" t="s">
        <v>27</v>
      </c>
      <c r="B3681" s="34">
        <v>386.34100000000001</v>
      </c>
      <c r="C3681" s="35">
        <v>16590.7</v>
      </c>
      <c r="D3681" s="33" t="s">
        <v>277</v>
      </c>
      <c r="E3681" s="34">
        <v>386.34</v>
      </c>
      <c r="F3681" s="36">
        <v>1.0000000000332E-3</v>
      </c>
      <c r="G3681" s="34">
        <v>1.0000000000332E-3</v>
      </c>
      <c r="H3681" s="35">
        <v>123.7</v>
      </c>
      <c r="I3681" s="37">
        <f t="shared" si="57"/>
        <v>7.4559843767894058E-3</v>
      </c>
      <c r="J3681" s="33"/>
    </row>
    <row r="3682" spans="1:10">
      <c r="A3682" s="33" t="s">
        <v>27</v>
      </c>
      <c r="B3682" s="34">
        <v>386.34100000000001</v>
      </c>
      <c r="C3682" s="35">
        <v>16590.7</v>
      </c>
      <c r="D3682" s="33" t="s">
        <v>271</v>
      </c>
      <c r="E3682" s="34">
        <v>386.34100000000001</v>
      </c>
      <c r="F3682" s="36">
        <v>0</v>
      </c>
      <c r="G3682" s="34">
        <v>0</v>
      </c>
      <c r="H3682" s="35">
        <v>3074.5</v>
      </c>
      <c r="I3682" s="37">
        <f t="shared" si="57"/>
        <v>0.1853146642396041</v>
      </c>
      <c r="J3682" s="33"/>
    </row>
    <row r="3683" spans="1:10">
      <c r="A3683" s="33" t="s">
        <v>27</v>
      </c>
      <c r="B3683" s="34">
        <v>386.34100000000001</v>
      </c>
      <c r="C3683" s="35">
        <v>16590.7</v>
      </c>
      <c r="D3683" s="33" t="s">
        <v>25</v>
      </c>
      <c r="E3683" s="34">
        <v>386.35899999999998</v>
      </c>
      <c r="F3683" s="36">
        <v>1.7999999999972299E-2</v>
      </c>
      <c r="G3683" s="34">
        <v>1.7999999999972299E-2</v>
      </c>
      <c r="H3683" s="35">
        <v>268.3</v>
      </c>
      <c r="I3683" s="37">
        <f t="shared" si="57"/>
        <v>1.6171710657175407E-2</v>
      </c>
      <c r="J3683" s="33" t="s">
        <v>116</v>
      </c>
    </row>
    <row r="3684" spans="1:10">
      <c r="A3684" s="33" t="s">
        <v>27</v>
      </c>
      <c r="B3684" s="34">
        <v>386.34100000000001</v>
      </c>
      <c r="C3684" s="35">
        <v>16590.7</v>
      </c>
      <c r="D3684" s="33" t="s">
        <v>54</v>
      </c>
      <c r="E3684" s="34">
        <v>386.36</v>
      </c>
      <c r="F3684" s="36">
        <v>1.9000000000005499E-2</v>
      </c>
      <c r="G3684" s="34">
        <v>1.9000000000005499E-2</v>
      </c>
      <c r="H3684" s="35">
        <v>74</v>
      </c>
      <c r="I3684" s="37">
        <f t="shared" si="57"/>
        <v>4.4603301849831531E-3</v>
      </c>
      <c r="J3684" s="33"/>
    </row>
    <row r="3685" spans="1:10">
      <c r="A3685" s="33" t="s">
        <v>27</v>
      </c>
      <c r="B3685" s="34">
        <v>386.34100000000001</v>
      </c>
      <c r="C3685" s="35">
        <v>16590.7</v>
      </c>
      <c r="D3685" s="33" t="s">
        <v>239</v>
      </c>
      <c r="E3685" s="34">
        <v>386.36200000000002</v>
      </c>
      <c r="F3685" s="36">
        <v>2.1000000000015E-2</v>
      </c>
      <c r="G3685" s="34">
        <v>2.1000000000015E-2</v>
      </c>
      <c r="H3685" s="35">
        <v>13.4</v>
      </c>
      <c r="I3685" s="37">
        <f t="shared" si="57"/>
        <v>8.0768141187532777E-4</v>
      </c>
      <c r="J3685" s="33"/>
    </row>
    <row r="3686" spans="1:10">
      <c r="A3686" s="33" t="s">
        <v>27</v>
      </c>
      <c r="B3686" s="34">
        <v>386.34100000000001</v>
      </c>
      <c r="C3686" s="35">
        <v>16590.7</v>
      </c>
      <c r="D3686" s="33" t="s">
        <v>184</v>
      </c>
      <c r="E3686" s="34">
        <v>386.37400000000002</v>
      </c>
      <c r="F3686" s="36">
        <v>3.3000000000015503E-2</v>
      </c>
      <c r="G3686" s="34">
        <v>3.3000000000015503E-2</v>
      </c>
      <c r="H3686" s="35">
        <v>40.5</v>
      </c>
      <c r="I3686" s="37">
        <f t="shared" si="57"/>
        <v>2.4411266552948336E-3</v>
      </c>
      <c r="J3686" s="33"/>
    </row>
    <row r="3687" spans="1:10">
      <c r="A3687" s="33" t="s">
        <v>27</v>
      </c>
      <c r="B3687" s="34">
        <v>386.34100000000001</v>
      </c>
      <c r="C3687" s="35">
        <v>16590.7</v>
      </c>
      <c r="D3687" s="33" t="s">
        <v>278</v>
      </c>
      <c r="E3687" s="34">
        <v>386.38600000000002</v>
      </c>
      <c r="F3687" s="36">
        <v>4.5000000000015902E-2</v>
      </c>
      <c r="G3687" s="34">
        <v>4.5000000000015902E-2</v>
      </c>
      <c r="H3687" s="35">
        <v>505.9</v>
      </c>
      <c r="I3687" s="37">
        <f t="shared" si="57"/>
        <v>3.0492987034905095E-2</v>
      </c>
      <c r="J3687" s="33"/>
    </row>
    <row r="3688" spans="1:10">
      <c r="A3688" s="33" t="s">
        <v>27</v>
      </c>
      <c r="B3688" s="34">
        <v>386.34100000000001</v>
      </c>
      <c r="C3688" s="35">
        <v>16590.7</v>
      </c>
      <c r="D3688" s="33" t="s">
        <v>236</v>
      </c>
      <c r="E3688" s="34">
        <v>386.387</v>
      </c>
      <c r="F3688" s="36">
        <v>4.5999999999992297E-2</v>
      </c>
      <c r="G3688" s="34">
        <v>4.5999999999992297E-2</v>
      </c>
      <c r="H3688" s="35">
        <v>1277.5</v>
      </c>
      <c r="I3688" s="37">
        <f t="shared" si="57"/>
        <v>7.7000970423188889E-2</v>
      </c>
      <c r="J3688" s="33"/>
    </row>
    <row r="3689" spans="1:10">
      <c r="A3689" s="33" t="s">
        <v>27</v>
      </c>
      <c r="B3689" s="34">
        <v>386.34100000000001</v>
      </c>
      <c r="C3689" s="35">
        <v>16590.7</v>
      </c>
      <c r="D3689" s="33" t="s">
        <v>303</v>
      </c>
      <c r="E3689" s="34">
        <v>386.39</v>
      </c>
      <c r="F3689" s="36">
        <v>4.89999999999782E-2</v>
      </c>
      <c r="G3689" s="34">
        <v>4.89999999999782E-2</v>
      </c>
      <c r="H3689" s="35">
        <v>0.3</v>
      </c>
      <c r="I3689" s="37">
        <f t="shared" si="57"/>
        <v>1.8082419668850619E-5</v>
      </c>
      <c r="J3689" s="33"/>
    </row>
    <row r="3690" spans="1:10">
      <c r="A3690" s="33" t="s">
        <v>27</v>
      </c>
      <c r="B3690" s="34">
        <v>386.34100000000001</v>
      </c>
      <c r="C3690" s="35">
        <v>16590.7</v>
      </c>
      <c r="D3690" s="33" t="s">
        <v>54</v>
      </c>
      <c r="E3690" s="34">
        <v>386.39600000000002</v>
      </c>
      <c r="F3690" s="36">
        <v>5.50000000000068E-2</v>
      </c>
      <c r="G3690" s="34">
        <v>5.50000000000068E-2</v>
      </c>
      <c r="H3690" s="35">
        <v>0.8</v>
      </c>
      <c r="I3690" s="37">
        <f t="shared" si="57"/>
        <v>4.821978578360166E-5</v>
      </c>
      <c r="J3690" s="33"/>
    </row>
    <row r="3691" spans="1:10">
      <c r="A3691" s="33" t="s">
        <v>27</v>
      </c>
      <c r="B3691" s="34">
        <v>386.34100000000001</v>
      </c>
      <c r="C3691" s="35">
        <v>16590.7</v>
      </c>
      <c r="D3691" s="33" t="s">
        <v>270</v>
      </c>
      <c r="E3691" s="34">
        <v>386.40499999999997</v>
      </c>
      <c r="F3691" s="36">
        <v>6.3999999999964502E-2</v>
      </c>
      <c r="G3691" s="34">
        <v>6.3999999999964502E-2</v>
      </c>
      <c r="H3691" s="35">
        <v>336.1</v>
      </c>
      <c r="I3691" s="37">
        <f t="shared" si="57"/>
        <v>2.0258337502335647E-2</v>
      </c>
      <c r="J3691" s="33"/>
    </row>
    <row r="3692" spans="1:10">
      <c r="A3692" s="33" t="s">
        <v>27</v>
      </c>
      <c r="B3692" s="34">
        <v>386.34100000000001</v>
      </c>
      <c r="C3692" s="35">
        <v>16590.7</v>
      </c>
      <c r="D3692" s="33" t="s">
        <v>238</v>
      </c>
      <c r="E3692" s="34">
        <v>386.40899999999999</v>
      </c>
      <c r="F3692" s="36">
        <v>6.7999999999983601E-2</v>
      </c>
      <c r="G3692" s="34">
        <v>6.7999999999983601E-2</v>
      </c>
      <c r="H3692" s="35">
        <v>3470.3</v>
      </c>
      <c r="I3692" s="37">
        <f t="shared" si="57"/>
        <v>0.20917140325604103</v>
      </c>
      <c r="J3692" s="33"/>
    </row>
    <row r="3693" spans="1:10">
      <c r="A3693" s="33" t="s">
        <v>27</v>
      </c>
      <c r="B3693" s="34">
        <v>386.34100000000001</v>
      </c>
      <c r="C3693" s="35">
        <v>16590.7</v>
      </c>
      <c r="D3693" s="33" t="s">
        <v>275</v>
      </c>
      <c r="E3693" s="34">
        <v>386.41</v>
      </c>
      <c r="F3693" s="36">
        <v>6.9000000000016798E-2</v>
      </c>
      <c r="G3693" s="34">
        <v>6.9000000000016798E-2</v>
      </c>
      <c r="H3693" s="35">
        <v>13288.9</v>
      </c>
      <c r="I3693" s="37">
        <f t="shared" si="57"/>
        <v>0.80098488912463006</v>
      </c>
      <c r="J3693" s="33"/>
    </row>
    <row r="3694" spans="1:10">
      <c r="A3694" s="33" t="s">
        <v>27</v>
      </c>
      <c r="B3694" s="34">
        <v>386.34100000000001</v>
      </c>
      <c r="C3694" s="35">
        <v>16590.7</v>
      </c>
      <c r="D3694" s="33" t="s">
        <v>274</v>
      </c>
      <c r="E3694" s="34">
        <v>386.43400000000003</v>
      </c>
      <c r="F3694" s="36">
        <v>9.3000000000017694E-2</v>
      </c>
      <c r="G3694" s="34">
        <v>9.3000000000017694E-2</v>
      </c>
      <c r="H3694" s="35">
        <v>25.3</v>
      </c>
      <c r="I3694" s="37">
        <f t="shared" si="57"/>
        <v>1.5249507254064024E-3</v>
      </c>
      <c r="J3694" s="33"/>
    </row>
    <row r="3695" spans="1:10">
      <c r="A3695" s="33" t="s">
        <v>27</v>
      </c>
      <c r="B3695" s="34">
        <v>386.34100000000001</v>
      </c>
      <c r="C3695" s="35">
        <v>16590.7</v>
      </c>
      <c r="D3695" s="33" t="s">
        <v>236</v>
      </c>
      <c r="E3695" s="34">
        <v>386.43400000000003</v>
      </c>
      <c r="F3695" s="36">
        <v>9.3000000000017694E-2</v>
      </c>
      <c r="G3695" s="34">
        <v>9.3000000000017694E-2</v>
      </c>
      <c r="H3695" s="35">
        <v>329.6</v>
      </c>
      <c r="I3695" s="37">
        <f t="shared" si="57"/>
        <v>1.9866551742843883E-2</v>
      </c>
      <c r="J3695" s="33"/>
    </row>
    <row r="3696" spans="1:10">
      <c r="A3696" s="33" t="s">
        <v>27</v>
      </c>
      <c r="B3696" s="34">
        <v>386.34100000000001</v>
      </c>
      <c r="C3696" s="35">
        <v>16590.7</v>
      </c>
      <c r="D3696" s="33" t="s">
        <v>277</v>
      </c>
      <c r="E3696" s="34">
        <v>386.447</v>
      </c>
      <c r="F3696" s="36">
        <v>0.105999999999995</v>
      </c>
      <c r="G3696" s="34">
        <v>0.105999999999995</v>
      </c>
      <c r="H3696" s="35">
        <v>241.4</v>
      </c>
      <c r="I3696" s="37">
        <f t="shared" si="57"/>
        <v>1.4550320360201799E-2</v>
      </c>
      <c r="J3696" s="33"/>
    </row>
    <row r="3697" spans="1:10">
      <c r="A3697" s="33" t="s">
        <v>27</v>
      </c>
      <c r="B3697" s="34">
        <v>386.34100000000001</v>
      </c>
      <c r="C3697" s="35">
        <v>16590.7</v>
      </c>
      <c r="D3697" s="33" t="s">
        <v>133</v>
      </c>
      <c r="E3697" s="34">
        <v>386.44900000000001</v>
      </c>
      <c r="F3697" s="36">
        <v>0.108000000000004</v>
      </c>
      <c r="G3697" s="34">
        <v>0.108000000000004</v>
      </c>
      <c r="H3697" s="35">
        <v>2361.1999999999998</v>
      </c>
      <c r="I3697" s="37">
        <f t="shared" si="57"/>
        <v>0.14232069774030026</v>
      </c>
      <c r="J3697" s="33"/>
    </row>
    <row r="3698" spans="1:10">
      <c r="A3698" s="33" t="s">
        <v>27</v>
      </c>
      <c r="B3698" s="34">
        <v>386.34100000000001</v>
      </c>
      <c r="C3698" s="35">
        <v>16590.7</v>
      </c>
      <c r="D3698" s="33" t="s">
        <v>269</v>
      </c>
      <c r="E3698" s="34">
        <v>386.47500000000002</v>
      </c>
      <c r="F3698" s="36">
        <v>0.134000000000015</v>
      </c>
      <c r="G3698" s="34">
        <v>0.134000000000015</v>
      </c>
      <c r="H3698" s="35">
        <v>416.6</v>
      </c>
      <c r="I3698" s="37">
        <f t="shared" si="57"/>
        <v>2.5110453446810562E-2</v>
      </c>
      <c r="J3698" s="33"/>
    </row>
    <row r="3699" spans="1:10">
      <c r="A3699" s="33" t="s">
        <v>27</v>
      </c>
      <c r="B3699" s="34">
        <v>386.34100000000001</v>
      </c>
      <c r="C3699" s="35">
        <v>16590.7</v>
      </c>
      <c r="D3699" s="33" t="s">
        <v>84</v>
      </c>
      <c r="E3699" s="34">
        <v>386.48</v>
      </c>
      <c r="F3699" s="36">
        <v>0.13900000000001</v>
      </c>
      <c r="G3699" s="34">
        <v>0.13900000000001</v>
      </c>
      <c r="H3699" s="35">
        <v>2571.8000000000002</v>
      </c>
      <c r="I3699" s="37">
        <f t="shared" si="57"/>
        <v>0.15501455634783343</v>
      </c>
      <c r="J3699" s="33" t="s">
        <v>116</v>
      </c>
    </row>
    <row r="3700" spans="1:10">
      <c r="A3700" s="33" t="s">
        <v>27</v>
      </c>
      <c r="B3700" s="34">
        <v>386.34100000000001</v>
      </c>
      <c r="C3700" s="35">
        <v>16590.7</v>
      </c>
      <c r="D3700" s="33" t="s">
        <v>278</v>
      </c>
      <c r="E3700" s="34">
        <v>386.48599999999999</v>
      </c>
      <c r="F3700" s="36">
        <v>0.144999999999982</v>
      </c>
      <c r="G3700" s="34">
        <v>0.144999999999982</v>
      </c>
      <c r="H3700" s="35">
        <v>1214.5999999999999</v>
      </c>
      <c r="I3700" s="37">
        <f t="shared" si="57"/>
        <v>7.3209689765953212E-2</v>
      </c>
      <c r="J3700" s="33"/>
    </row>
    <row r="3701" spans="1:10">
      <c r="A3701" s="33" t="s">
        <v>27</v>
      </c>
      <c r="B3701" s="34">
        <v>395.11399999999998</v>
      </c>
      <c r="C3701" s="35">
        <v>10000.9</v>
      </c>
      <c r="D3701" s="33" t="s">
        <v>133</v>
      </c>
      <c r="E3701" s="34">
        <v>394.91</v>
      </c>
      <c r="F3701" s="36">
        <v>0.203999999999951</v>
      </c>
      <c r="G3701" s="34">
        <v>0.203999999999951</v>
      </c>
      <c r="H3701" s="35">
        <v>114995.4</v>
      </c>
      <c r="I3701" s="37">
        <f t="shared" si="57"/>
        <v>11.498505134537892</v>
      </c>
      <c r="J3701" s="33"/>
    </row>
    <row r="3702" spans="1:10">
      <c r="A3702" s="33" t="s">
        <v>27</v>
      </c>
      <c r="B3702" s="34">
        <v>395.11399999999998</v>
      </c>
      <c r="C3702" s="35">
        <v>10000.9</v>
      </c>
      <c r="D3702" s="33" t="s">
        <v>36</v>
      </c>
      <c r="E3702" s="34">
        <v>394.92399999999998</v>
      </c>
      <c r="F3702" s="36">
        <v>0.19</v>
      </c>
      <c r="G3702" s="34">
        <v>0.19</v>
      </c>
      <c r="H3702" s="35">
        <v>351.1</v>
      </c>
      <c r="I3702" s="37">
        <f t="shared" si="57"/>
        <v>3.5106840384365408E-2</v>
      </c>
      <c r="J3702" s="33" t="s">
        <v>116</v>
      </c>
    </row>
    <row r="3703" spans="1:10">
      <c r="A3703" s="33" t="s">
        <v>27</v>
      </c>
      <c r="B3703" s="34">
        <v>395.11399999999998</v>
      </c>
      <c r="C3703" s="35">
        <v>10000.9</v>
      </c>
      <c r="D3703" s="33" t="s">
        <v>109</v>
      </c>
      <c r="E3703" s="34">
        <v>394.92700000000002</v>
      </c>
      <c r="F3703" s="36">
        <v>0.18699999999995501</v>
      </c>
      <c r="G3703" s="34">
        <v>0.18699999999995501</v>
      </c>
      <c r="H3703" s="35">
        <v>211.8</v>
      </c>
      <c r="I3703" s="37">
        <f t="shared" si="57"/>
        <v>2.1178093971542564E-2</v>
      </c>
      <c r="J3703" s="33" t="s">
        <v>116</v>
      </c>
    </row>
    <row r="3704" spans="1:10">
      <c r="A3704" s="33" t="s">
        <v>27</v>
      </c>
      <c r="B3704" s="34">
        <v>395.11399999999998</v>
      </c>
      <c r="C3704" s="35">
        <v>10000.9</v>
      </c>
      <c r="D3704" s="33" t="s">
        <v>273</v>
      </c>
      <c r="E3704" s="34">
        <v>394.93299999999999</v>
      </c>
      <c r="F3704" s="36">
        <v>0.18099999999998301</v>
      </c>
      <c r="G3704" s="34">
        <v>0.18099999999998301</v>
      </c>
      <c r="H3704" s="35">
        <v>186.7</v>
      </c>
      <c r="I3704" s="37">
        <f t="shared" si="57"/>
        <v>1.8668319851213391E-2</v>
      </c>
      <c r="J3704" s="33"/>
    </row>
    <row r="3705" spans="1:10">
      <c r="A3705" s="33" t="s">
        <v>27</v>
      </c>
      <c r="B3705" s="34">
        <v>395.11399999999998</v>
      </c>
      <c r="C3705" s="35">
        <v>10000.9</v>
      </c>
      <c r="D3705" s="33" t="s">
        <v>25</v>
      </c>
      <c r="E3705" s="34">
        <v>394.94</v>
      </c>
      <c r="F3705" s="36">
        <v>0.17399999999997801</v>
      </c>
      <c r="G3705" s="34">
        <v>0.17399999999997801</v>
      </c>
      <c r="H3705" s="35">
        <v>503.7</v>
      </c>
      <c r="I3705" s="37">
        <f t="shared" si="57"/>
        <v>5.0365467107960284E-2</v>
      </c>
      <c r="J3705" s="33" t="s">
        <v>116</v>
      </c>
    </row>
    <row r="3706" spans="1:10">
      <c r="A3706" s="33" t="s">
        <v>27</v>
      </c>
      <c r="B3706" s="34">
        <v>395.11399999999998</v>
      </c>
      <c r="C3706" s="35">
        <v>10000.9</v>
      </c>
      <c r="D3706" s="33" t="s">
        <v>268</v>
      </c>
      <c r="E3706" s="34">
        <v>394.94200000000001</v>
      </c>
      <c r="F3706" s="36">
        <v>0.17199999999996901</v>
      </c>
      <c r="G3706" s="34">
        <v>0.17199999999996901</v>
      </c>
      <c r="H3706" s="35">
        <v>6.6</v>
      </c>
      <c r="I3706" s="37">
        <f t="shared" si="57"/>
        <v>6.5994060534551886E-4</v>
      </c>
      <c r="J3706" s="33"/>
    </row>
    <row r="3707" spans="1:10">
      <c r="A3707" s="33" t="s">
        <v>27</v>
      </c>
      <c r="B3707" s="34">
        <v>395.11399999999998</v>
      </c>
      <c r="C3707" s="35">
        <v>10000.9</v>
      </c>
      <c r="D3707" s="33" t="s">
        <v>173</v>
      </c>
      <c r="E3707" s="34">
        <v>394.94299999999998</v>
      </c>
      <c r="F3707" s="36">
        <v>0.17099999999999199</v>
      </c>
      <c r="G3707" s="34">
        <v>0.17099999999999199</v>
      </c>
      <c r="H3707" s="35">
        <v>3845.4</v>
      </c>
      <c r="I3707" s="37">
        <f t="shared" si="57"/>
        <v>0.38450539451449373</v>
      </c>
      <c r="J3707" s="33"/>
    </row>
    <row r="3708" spans="1:10">
      <c r="A3708" s="33" t="s">
        <v>27</v>
      </c>
      <c r="B3708" s="34">
        <v>395.11399999999998</v>
      </c>
      <c r="C3708" s="35">
        <v>10000.9</v>
      </c>
      <c r="D3708" s="33" t="s">
        <v>239</v>
      </c>
      <c r="E3708" s="34">
        <v>394.959</v>
      </c>
      <c r="F3708" s="36">
        <v>0.15499999999997299</v>
      </c>
      <c r="G3708" s="34">
        <v>0.15499999999997299</v>
      </c>
      <c r="H3708" s="35">
        <v>27</v>
      </c>
      <c r="I3708" s="37">
        <f t="shared" si="57"/>
        <v>2.6997570218680318E-3</v>
      </c>
      <c r="J3708" s="33"/>
    </row>
    <row r="3709" spans="1:10">
      <c r="A3709" s="33" t="s">
        <v>27</v>
      </c>
      <c r="B3709" s="34">
        <v>395.11399999999998</v>
      </c>
      <c r="C3709" s="35">
        <v>10000.9</v>
      </c>
      <c r="D3709" s="33" t="s">
        <v>284</v>
      </c>
      <c r="E3709" s="34">
        <v>394.97800000000001</v>
      </c>
      <c r="F3709" s="36">
        <v>0.13599999999996701</v>
      </c>
      <c r="G3709" s="34">
        <v>0.13599999999996701</v>
      </c>
      <c r="H3709" s="35">
        <v>0.4</v>
      </c>
      <c r="I3709" s="37">
        <f t="shared" si="57"/>
        <v>3.9996400323970846E-5</v>
      </c>
      <c r="J3709" s="33"/>
    </row>
    <row r="3710" spans="1:10">
      <c r="A3710" s="33" t="s">
        <v>27</v>
      </c>
      <c r="B3710" s="34">
        <v>395.11399999999998</v>
      </c>
      <c r="C3710" s="35">
        <v>10000.9</v>
      </c>
      <c r="D3710" s="33" t="s">
        <v>97</v>
      </c>
      <c r="E3710" s="34">
        <v>394.995</v>
      </c>
      <c r="F3710" s="36">
        <v>0.118999999999971</v>
      </c>
      <c r="G3710" s="34">
        <v>0.118999999999971</v>
      </c>
      <c r="H3710" s="35">
        <v>12.6</v>
      </c>
      <c r="I3710" s="37">
        <f t="shared" si="57"/>
        <v>1.2598866102050816E-3</v>
      </c>
      <c r="J3710" s="33"/>
    </row>
    <row r="3711" spans="1:10">
      <c r="A3711" s="33" t="s">
        <v>27</v>
      </c>
      <c r="B3711" s="34">
        <v>395.11399999999998</v>
      </c>
      <c r="C3711" s="35">
        <v>10000.9</v>
      </c>
      <c r="D3711" s="33" t="s">
        <v>268</v>
      </c>
      <c r="E3711" s="34">
        <v>395.02199999999999</v>
      </c>
      <c r="F3711" s="36">
        <v>9.1999999999984497E-2</v>
      </c>
      <c r="G3711" s="34">
        <v>9.1999999999984497E-2</v>
      </c>
      <c r="H3711" s="35">
        <v>80.400000000000006</v>
      </c>
      <c r="I3711" s="37">
        <f t="shared" si="57"/>
        <v>8.0392764651181399E-3</v>
      </c>
      <c r="J3711" s="33"/>
    </row>
    <row r="3712" spans="1:10">
      <c r="A3712" s="33" t="s">
        <v>27</v>
      </c>
      <c r="B3712" s="34">
        <v>395.11399999999998</v>
      </c>
      <c r="C3712" s="35">
        <v>10000.9</v>
      </c>
      <c r="D3712" s="33" t="s">
        <v>116</v>
      </c>
      <c r="E3712" s="34">
        <v>395.03500000000003</v>
      </c>
      <c r="F3712" s="36">
        <v>7.9000000000000001E-2</v>
      </c>
      <c r="G3712" s="34">
        <v>7.9000000000000001E-2</v>
      </c>
      <c r="H3712" s="35">
        <v>49398.2</v>
      </c>
      <c r="I3712" s="37">
        <f t="shared" si="57"/>
        <v>4.9393754562089409</v>
      </c>
      <c r="J3712" s="33" t="s">
        <v>116</v>
      </c>
    </row>
    <row r="3713" spans="1:10">
      <c r="A3713" s="33" t="s">
        <v>27</v>
      </c>
      <c r="B3713" s="34">
        <v>395.11399999999998</v>
      </c>
      <c r="C3713" s="35">
        <v>10000.9</v>
      </c>
      <c r="D3713" s="33" t="s">
        <v>33</v>
      </c>
      <c r="E3713" s="34">
        <v>395.03899999999999</v>
      </c>
      <c r="F3713" s="36">
        <v>7.4999999999988604E-2</v>
      </c>
      <c r="G3713" s="34">
        <v>7.4999999999988604E-2</v>
      </c>
      <c r="H3713" s="35">
        <v>1497.7</v>
      </c>
      <c r="I3713" s="37">
        <f t="shared" si="57"/>
        <v>0.14975652191302785</v>
      </c>
      <c r="J3713" s="33" t="s">
        <v>116</v>
      </c>
    </row>
    <row r="3714" spans="1:10">
      <c r="A3714" s="33" t="s">
        <v>27</v>
      </c>
      <c r="B3714" s="34">
        <v>395.11399999999998</v>
      </c>
      <c r="C3714" s="35">
        <v>10000.9</v>
      </c>
      <c r="D3714" s="33" t="s">
        <v>271</v>
      </c>
      <c r="E3714" s="34">
        <v>395.03899999999999</v>
      </c>
      <c r="F3714" s="36">
        <v>7.4999999999988604E-2</v>
      </c>
      <c r="G3714" s="34">
        <v>7.4999999999988604E-2</v>
      </c>
      <c r="H3714" s="35">
        <v>659</v>
      </c>
      <c r="I3714" s="37">
        <f t="shared" ref="I3714:I3777" si="58">H3714/C3714</f>
        <v>6.5894069533741967E-2</v>
      </c>
      <c r="J3714" s="33"/>
    </row>
    <row r="3715" spans="1:10">
      <c r="A3715" s="33" t="s">
        <v>27</v>
      </c>
      <c r="B3715" s="34">
        <v>395.11399999999998</v>
      </c>
      <c r="C3715" s="35">
        <v>10000.9</v>
      </c>
      <c r="D3715" s="33" t="s">
        <v>25</v>
      </c>
      <c r="E3715" s="34">
        <v>395.04300000000001</v>
      </c>
      <c r="F3715" s="36">
        <v>7.0999999999969504E-2</v>
      </c>
      <c r="G3715" s="34">
        <v>7.0999999999969504E-2</v>
      </c>
      <c r="H3715" s="35">
        <v>671.6</v>
      </c>
      <c r="I3715" s="37">
        <f t="shared" si="58"/>
        <v>6.7153956143947049E-2</v>
      </c>
      <c r="J3715" s="33" t="s">
        <v>116</v>
      </c>
    </row>
    <row r="3716" spans="1:10">
      <c r="A3716" s="33" t="s">
        <v>27</v>
      </c>
      <c r="B3716" s="34">
        <v>395.11399999999998</v>
      </c>
      <c r="C3716" s="35">
        <v>10000.9</v>
      </c>
      <c r="D3716" s="33" t="s">
        <v>279</v>
      </c>
      <c r="E3716" s="34">
        <v>395.06299999999999</v>
      </c>
      <c r="F3716" s="36">
        <v>5.0999999999987701E-2</v>
      </c>
      <c r="G3716" s="34">
        <v>5.0999999999987701E-2</v>
      </c>
      <c r="H3716" s="35">
        <v>2.4</v>
      </c>
      <c r="I3716" s="37">
        <f t="shared" si="58"/>
        <v>2.3997840194382505E-4</v>
      </c>
      <c r="J3716" s="33"/>
    </row>
    <row r="3717" spans="1:10">
      <c r="A3717" s="33" t="s">
        <v>27</v>
      </c>
      <c r="B3717" s="34">
        <v>395.11399999999998</v>
      </c>
      <c r="C3717" s="35">
        <v>10000.9</v>
      </c>
      <c r="D3717" s="33" t="s">
        <v>280</v>
      </c>
      <c r="E3717" s="34">
        <v>395.07600000000002</v>
      </c>
      <c r="F3717" s="36">
        <v>3.7999999999954098E-2</v>
      </c>
      <c r="G3717" s="34">
        <v>3.7999999999954098E-2</v>
      </c>
      <c r="H3717" s="35">
        <v>53.4</v>
      </c>
      <c r="I3717" s="37">
        <f t="shared" si="58"/>
        <v>5.3395194432501077E-3</v>
      </c>
      <c r="J3717" s="33"/>
    </row>
    <row r="3718" spans="1:10">
      <c r="A3718" s="33" t="s">
        <v>27</v>
      </c>
      <c r="B3718" s="34">
        <v>395.11399999999998</v>
      </c>
      <c r="C3718" s="35">
        <v>10000.9</v>
      </c>
      <c r="D3718" s="33" t="s">
        <v>25</v>
      </c>
      <c r="E3718" s="34">
        <v>395.08100000000002</v>
      </c>
      <c r="F3718" s="36">
        <v>3.2999999999958597E-2</v>
      </c>
      <c r="G3718" s="34">
        <v>3.2999999999958597E-2</v>
      </c>
      <c r="H3718" s="35">
        <v>223.1</v>
      </c>
      <c r="I3718" s="37">
        <f t="shared" si="58"/>
        <v>2.2307992280694737E-2</v>
      </c>
      <c r="J3718" s="33" t="s">
        <v>116</v>
      </c>
    </row>
    <row r="3719" spans="1:10">
      <c r="A3719" s="33" t="s">
        <v>27</v>
      </c>
      <c r="B3719" s="34">
        <v>395.11399999999998</v>
      </c>
      <c r="C3719" s="35">
        <v>10000.9</v>
      </c>
      <c r="D3719" s="33" t="s">
        <v>275</v>
      </c>
      <c r="E3719" s="34">
        <v>395.10599999999999</v>
      </c>
      <c r="F3719" s="36">
        <v>7.9999999999813606E-3</v>
      </c>
      <c r="G3719" s="34">
        <v>7.9999999999813606E-3</v>
      </c>
      <c r="H3719" s="35">
        <v>6.9</v>
      </c>
      <c r="I3719" s="37">
        <f t="shared" si="58"/>
        <v>6.8993790558849705E-4</v>
      </c>
      <c r="J3719" s="33"/>
    </row>
    <row r="3720" spans="1:10">
      <c r="A3720" s="33" t="s">
        <v>27</v>
      </c>
      <c r="B3720" s="34">
        <v>395.11399999999998</v>
      </c>
      <c r="C3720" s="35">
        <v>10000.9</v>
      </c>
      <c r="D3720" s="33" t="s">
        <v>271</v>
      </c>
      <c r="E3720" s="34">
        <v>395.11099999999999</v>
      </c>
      <c r="F3720" s="36">
        <v>2.9999999999858998E-3</v>
      </c>
      <c r="G3720" s="34">
        <v>2.9999999999858998E-3</v>
      </c>
      <c r="H3720" s="35">
        <v>157.1</v>
      </c>
      <c r="I3720" s="37">
        <f t="shared" si="58"/>
        <v>1.570858622723955E-2</v>
      </c>
      <c r="J3720" s="33"/>
    </row>
    <row r="3721" spans="1:10">
      <c r="A3721" s="33" t="s">
        <v>27</v>
      </c>
      <c r="B3721" s="34">
        <v>395.11399999999998</v>
      </c>
      <c r="C3721" s="35">
        <v>10000.9</v>
      </c>
      <c r="D3721" s="33" t="s">
        <v>97</v>
      </c>
      <c r="E3721" s="34">
        <v>395.11599999999999</v>
      </c>
      <c r="F3721" s="36">
        <v>2.0000000000095501E-3</v>
      </c>
      <c r="G3721" s="34">
        <v>2.0000000000095501E-3</v>
      </c>
      <c r="H3721" s="35">
        <v>15</v>
      </c>
      <c r="I3721" s="37">
        <f t="shared" si="58"/>
        <v>1.4998650121489066E-3</v>
      </c>
      <c r="J3721" s="33"/>
    </row>
    <row r="3722" spans="1:10">
      <c r="A3722" s="33" t="s">
        <v>27</v>
      </c>
      <c r="B3722" s="34">
        <v>395.11399999999998</v>
      </c>
      <c r="C3722" s="35">
        <v>10000.9</v>
      </c>
      <c r="D3722" s="33" t="s">
        <v>268</v>
      </c>
      <c r="E3722" s="34">
        <v>395.12200000000001</v>
      </c>
      <c r="F3722" s="36">
        <v>8.0000000000382005E-3</v>
      </c>
      <c r="G3722" s="34">
        <v>8.0000000000382005E-3</v>
      </c>
      <c r="H3722" s="35">
        <v>8.1</v>
      </c>
      <c r="I3722" s="37">
        <f t="shared" si="58"/>
        <v>8.0992710656040958E-4</v>
      </c>
      <c r="J3722" s="33"/>
    </row>
    <row r="3723" spans="1:10">
      <c r="A3723" s="33" t="s">
        <v>27</v>
      </c>
      <c r="B3723" s="34">
        <v>395.11399999999998</v>
      </c>
      <c r="C3723" s="35">
        <v>10000.9</v>
      </c>
      <c r="D3723" s="33" t="s">
        <v>280</v>
      </c>
      <c r="E3723" s="34">
        <v>395.13299999999998</v>
      </c>
      <c r="F3723" s="36">
        <v>1.9000000000005499E-2</v>
      </c>
      <c r="G3723" s="34">
        <v>1.9000000000005499E-2</v>
      </c>
      <c r="H3723" s="35">
        <v>20.100000000000001</v>
      </c>
      <c r="I3723" s="37">
        <f t="shared" si="58"/>
        <v>2.009819116279535E-3</v>
      </c>
      <c r="J3723" s="33"/>
    </row>
    <row r="3724" spans="1:10">
      <c r="A3724" s="33" t="s">
        <v>27</v>
      </c>
      <c r="B3724" s="34">
        <v>395.11399999999998</v>
      </c>
      <c r="C3724" s="35">
        <v>10000.9</v>
      </c>
      <c r="D3724" s="33" t="s">
        <v>277</v>
      </c>
      <c r="E3724" s="34">
        <v>395.14699999999999</v>
      </c>
      <c r="F3724" s="36">
        <v>3.3000000000015503E-2</v>
      </c>
      <c r="G3724" s="34">
        <v>3.3000000000015503E-2</v>
      </c>
      <c r="H3724" s="35">
        <v>106.3</v>
      </c>
      <c r="I3724" s="37">
        <f t="shared" si="58"/>
        <v>1.0629043386095251E-2</v>
      </c>
      <c r="J3724" s="33"/>
    </row>
    <row r="3725" spans="1:10">
      <c r="A3725" s="33" t="s">
        <v>27</v>
      </c>
      <c r="B3725" s="34">
        <v>395.11399999999998</v>
      </c>
      <c r="C3725" s="35">
        <v>10000.9</v>
      </c>
      <c r="D3725" s="33" t="s">
        <v>271</v>
      </c>
      <c r="E3725" s="34">
        <v>395.15199999999999</v>
      </c>
      <c r="F3725" s="36">
        <v>3.80000000000109E-2</v>
      </c>
      <c r="G3725" s="34">
        <v>3.80000000000109E-2</v>
      </c>
      <c r="H3725" s="35">
        <v>1203.5</v>
      </c>
      <c r="I3725" s="37">
        <f t="shared" si="58"/>
        <v>0.12033916947474728</v>
      </c>
      <c r="J3725" s="33"/>
    </row>
    <row r="3726" spans="1:10">
      <c r="A3726" s="33" t="s">
        <v>27</v>
      </c>
      <c r="B3726" s="34">
        <v>395.11399999999998</v>
      </c>
      <c r="C3726" s="35">
        <v>10000.9</v>
      </c>
      <c r="D3726" s="33" t="s">
        <v>116</v>
      </c>
      <c r="E3726" s="34">
        <v>395.15899999999999</v>
      </c>
      <c r="F3726" s="36">
        <v>4.4999999999999998E-2</v>
      </c>
      <c r="G3726" s="34">
        <v>4.4999999999999998E-2</v>
      </c>
      <c r="H3726" s="35">
        <v>1123.3</v>
      </c>
      <c r="I3726" s="37">
        <f t="shared" si="58"/>
        <v>0.11231989120979112</v>
      </c>
      <c r="J3726" s="33" t="s">
        <v>116</v>
      </c>
    </row>
    <row r="3727" spans="1:10">
      <c r="A3727" s="33" t="s">
        <v>27</v>
      </c>
      <c r="B3727" s="34">
        <v>395.11399999999998</v>
      </c>
      <c r="C3727" s="35">
        <v>10000.9</v>
      </c>
      <c r="D3727" s="33" t="s">
        <v>25</v>
      </c>
      <c r="E3727" s="34">
        <v>395.16199999999998</v>
      </c>
      <c r="F3727" s="36">
        <v>4.8000000000001798E-2</v>
      </c>
      <c r="G3727" s="34">
        <v>4.8000000000001798E-2</v>
      </c>
      <c r="H3727" s="35">
        <v>357.3</v>
      </c>
      <c r="I3727" s="37">
        <f t="shared" si="58"/>
        <v>3.572678458938696E-2</v>
      </c>
      <c r="J3727" s="33" t="s">
        <v>116</v>
      </c>
    </row>
    <row r="3728" spans="1:10">
      <c r="A3728" s="33" t="s">
        <v>27</v>
      </c>
      <c r="B3728" s="34">
        <v>395.11399999999998</v>
      </c>
      <c r="C3728" s="35">
        <v>10000.9</v>
      </c>
      <c r="D3728" s="33" t="s">
        <v>54</v>
      </c>
      <c r="E3728" s="34">
        <v>395.17200000000003</v>
      </c>
      <c r="F3728" s="36">
        <v>5.8000000000049602E-2</v>
      </c>
      <c r="G3728" s="34">
        <v>5.8000000000049602E-2</v>
      </c>
      <c r="H3728" s="35">
        <v>27</v>
      </c>
      <c r="I3728" s="37">
        <f t="shared" si="58"/>
        <v>2.6997570218680318E-3</v>
      </c>
      <c r="J3728" s="33"/>
    </row>
    <row r="3729" spans="1:10">
      <c r="A3729" s="33" t="s">
        <v>27</v>
      </c>
      <c r="B3729" s="34">
        <v>395.11399999999998</v>
      </c>
      <c r="C3729" s="35">
        <v>10000.9</v>
      </c>
      <c r="D3729" s="33" t="s">
        <v>269</v>
      </c>
      <c r="E3729" s="34">
        <v>395.18200000000002</v>
      </c>
      <c r="F3729" s="36">
        <v>6.80000000000405E-2</v>
      </c>
      <c r="G3729" s="34">
        <v>6.80000000000405E-2</v>
      </c>
      <c r="H3729" s="35">
        <v>91.5</v>
      </c>
      <c r="I3729" s="37">
        <f t="shared" si="58"/>
        <v>9.1491765741083305E-3</v>
      </c>
      <c r="J3729" s="33"/>
    </row>
    <row r="3730" spans="1:10">
      <c r="A3730" s="33" t="s">
        <v>27</v>
      </c>
      <c r="B3730" s="34">
        <v>395.11399999999998</v>
      </c>
      <c r="C3730" s="35">
        <v>10000.9</v>
      </c>
      <c r="D3730" s="33" t="s">
        <v>290</v>
      </c>
      <c r="E3730" s="34">
        <v>395.19499999999999</v>
      </c>
      <c r="F3730" s="36">
        <v>8.1000000000017294E-2</v>
      </c>
      <c r="G3730" s="34">
        <v>8.1000000000017294E-2</v>
      </c>
      <c r="H3730" s="35">
        <v>9.5</v>
      </c>
      <c r="I3730" s="37">
        <f t="shared" si="58"/>
        <v>9.4991450769430755E-4</v>
      </c>
      <c r="J3730" s="33"/>
    </row>
    <row r="3731" spans="1:10">
      <c r="A3731" s="33" t="s">
        <v>27</v>
      </c>
      <c r="B3731" s="34">
        <v>395.11399999999998</v>
      </c>
      <c r="C3731" s="35">
        <v>10000.9</v>
      </c>
      <c r="D3731" s="33" t="s">
        <v>278</v>
      </c>
      <c r="E3731" s="34">
        <v>395.197</v>
      </c>
      <c r="F3731" s="36">
        <v>8.3000000000026802E-2</v>
      </c>
      <c r="G3731" s="34">
        <v>8.3000000000026802E-2</v>
      </c>
      <c r="H3731" s="35">
        <v>1462.3</v>
      </c>
      <c r="I3731" s="37">
        <f t="shared" si="58"/>
        <v>0.1462168404843564</v>
      </c>
      <c r="J3731" s="33"/>
    </row>
    <row r="3732" spans="1:10">
      <c r="A3732" s="33" t="s">
        <v>27</v>
      </c>
      <c r="B3732" s="34">
        <v>395.11399999999998</v>
      </c>
      <c r="C3732" s="35">
        <v>10000.9</v>
      </c>
      <c r="D3732" s="33" t="s">
        <v>36</v>
      </c>
      <c r="E3732" s="34">
        <v>395.2</v>
      </c>
      <c r="F3732" s="36">
        <v>8.5999999999999993E-2</v>
      </c>
      <c r="G3732" s="34">
        <v>8.5999999999999993E-2</v>
      </c>
      <c r="H3732" s="35">
        <v>1106.4000000000001</v>
      </c>
      <c r="I3732" s="37">
        <f t="shared" si="58"/>
        <v>0.11063004329610336</v>
      </c>
      <c r="J3732" s="33" t="s">
        <v>116</v>
      </c>
    </row>
    <row r="3733" spans="1:10">
      <c r="A3733" s="33" t="s">
        <v>27</v>
      </c>
      <c r="B3733" s="34">
        <v>395.11399999999998</v>
      </c>
      <c r="C3733" s="35">
        <v>10000.9</v>
      </c>
      <c r="D3733" s="33" t="s">
        <v>27</v>
      </c>
      <c r="E3733" s="34">
        <v>395.21899999999999</v>
      </c>
      <c r="F3733" s="36">
        <v>0.105000000000018</v>
      </c>
      <c r="G3733" s="34">
        <v>0.105000000000018</v>
      </c>
      <c r="H3733" s="35">
        <v>5045.3999999999996</v>
      </c>
      <c r="I3733" s="37">
        <f t="shared" si="58"/>
        <v>0.50449459548640618</v>
      </c>
      <c r="J3733" s="33" t="s">
        <v>116</v>
      </c>
    </row>
    <row r="3734" spans="1:10">
      <c r="A3734" s="33" t="s">
        <v>27</v>
      </c>
      <c r="B3734" s="34">
        <v>395.11399999999998</v>
      </c>
      <c r="C3734" s="35">
        <v>10000.9</v>
      </c>
      <c r="D3734" s="33" t="s">
        <v>273</v>
      </c>
      <c r="E3734" s="34">
        <v>395.22699999999998</v>
      </c>
      <c r="F3734" s="36">
        <v>0.113</v>
      </c>
      <c r="G3734" s="34">
        <v>0.113</v>
      </c>
      <c r="H3734" s="35">
        <v>430.6</v>
      </c>
      <c r="I3734" s="37">
        <f t="shared" si="58"/>
        <v>4.3056124948754618E-2</v>
      </c>
      <c r="J3734" s="33"/>
    </row>
    <row r="3735" spans="1:10">
      <c r="A3735" s="33" t="s">
        <v>27</v>
      </c>
      <c r="B3735" s="34">
        <v>395.11399999999998</v>
      </c>
      <c r="C3735" s="35">
        <v>10000.9</v>
      </c>
      <c r="D3735" s="33" t="s">
        <v>54</v>
      </c>
      <c r="E3735" s="34">
        <v>395.23200000000003</v>
      </c>
      <c r="F3735" s="36">
        <v>0.11800000000005199</v>
      </c>
      <c r="G3735" s="34">
        <v>0.11800000000005199</v>
      </c>
      <c r="H3735" s="35">
        <v>5.5</v>
      </c>
      <c r="I3735" s="37">
        <f t="shared" si="58"/>
        <v>5.4995050445459908E-4</v>
      </c>
      <c r="J3735" s="33"/>
    </row>
    <row r="3736" spans="1:10">
      <c r="A3736" s="33" t="s">
        <v>27</v>
      </c>
      <c r="B3736" s="34">
        <v>395.11399999999998</v>
      </c>
      <c r="C3736" s="35">
        <v>10000.9</v>
      </c>
      <c r="D3736" s="33" t="s">
        <v>274</v>
      </c>
      <c r="E3736" s="34">
        <v>395.25200000000001</v>
      </c>
      <c r="F3736" s="36">
        <v>0.13800000000003401</v>
      </c>
      <c r="G3736" s="34">
        <v>0.13800000000003401</v>
      </c>
      <c r="H3736" s="35">
        <v>8.3000000000000007</v>
      </c>
      <c r="I3736" s="37">
        <f t="shared" si="58"/>
        <v>8.2992530672239512E-4</v>
      </c>
      <c r="J3736" s="33"/>
    </row>
    <row r="3737" spans="1:10">
      <c r="A3737" s="33" t="s">
        <v>27</v>
      </c>
      <c r="B3737" s="34">
        <v>395.11399999999998</v>
      </c>
      <c r="C3737" s="35">
        <v>10000.9</v>
      </c>
      <c r="D3737" s="33" t="s">
        <v>25</v>
      </c>
      <c r="E3737" s="34">
        <v>395.25299999999999</v>
      </c>
      <c r="F3737" s="36">
        <v>0.13900000000001</v>
      </c>
      <c r="G3737" s="34">
        <v>0.13900000000001</v>
      </c>
      <c r="H3737" s="35">
        <v>7908.5</v>
      </c>
      <c r="I3737" s="37">
        <f t="shared" si="58"/>
        <v>0.79077882990530857</v>
      </c>
      <c r="J3737" s="33" t="s">
        <v>116</v>
      </c>
    </row>
    <row r="3738" spans="1:10">
      <c r="A3738" s="33" t="s">
        <v>27</v>
      </c>
      <c r="B3738" s="34">
        <v>395.11399999999998</v>
      </c>
      <c r="C3738" s="35">
        <v>10000.9</v>
      </c>
      <c r="D3738" s="33" t="s">
        <v>290</v>
      </c>
      <c r="E3738" s="34">
        <v>395.262</v>
      </c>
      <c r="F3738" s="36">
        <v>0.148000000000025</v>
      </c>
      <c r="G3738" s="34">
        <v>0.148000000000025</v>
      </c>
      <c r="H3738" s="35">
        <v>23</v>
      </c>
      <c r="I3738" s="37">
        <f t="shared" si="58"/>
        <v>2.2997930186283233E-3</v>
      </c>
      <c r="J3738" s="33"/>
    </row>
    <row r="3739" spans="1:10">
      <c r="A3739" s="33" t="s">
        <v>27</v>
      </c>
      <c r="B3739" s="34">
        <v>395.11399999999998</v>
      </c>
      <c r="C3739" s="35">
        <v>10000.9</v>
      </c>
      <c r="D3739" s="33" t="s">
        <v>268</v>
      </c>
      <c r="E3739" s="34">
        <v>395.26900000000001</v>
      </c>
      <c r="F3739" s="36">
        <v>0.15500000000003</v>
      </c>
      <c r="G3739" s="34">
        <v>0.15500000000003</v>
      </c>
      <c r="H3739" s="35">
        <v>44.2</v>
      </c>
      <c r="I3739" s="37">
        <f t="shared" si="58"/>
        <v>4.4196022357987788E-3</v>
      </c>
      <c r="J3739" s="33"/>
    </row>
    <row r="3740" spans="1:10">
      <c r="A3740" s="33" t="s">
        <v>27</v>
      </c>
      <c r="B3740" s="34">
        <v>396.31</v>
      </c>
      <c r="C3740" s="35">
        <v>14235.7</v>
      </c>
      <c r="D3740" s="33" t="s">
        <v>274</v>
      </c>
      <c r="E3740" s="34">
        <v>396.17599999999999</v>
      </c>
      <c r="F3740" s="36">
        <v>0.134000000000015</v>
      </c>
      <c r="G3740" s="34">
        <v>0.134000000000015</v>
      </c>
      <c r="H3740" s="35">
        <v>0.8</v>
      </c>
      <c r="I3740" s="37">
        <f t="shared" si="58"/>
        <v>5.6196744803557257E-5</v>
      </c>
      <c r="J3740" s="33"/>
    </row>
    <row r="3741" spans="1:10">
      <c r="A3741" s="33" t="s">
        <v>27</v>
      </c>
      <c r="B3741" s="34">
        <v>396.31</v>
      </c>
      <c r="C3741" s="35">
        <v>14235.7</v>
      </c>
      <c r="D3741" s="33" t="s">
        <v>33</v>
      </c>
      <c r="E3741" s="34">
        <v>396.18</v>
      </c>
      <c r="F3741" s="36">
        <v>0.12999999999999601</v>
      </c>
      <c r="G3741" s="34">
        <v>0.12999999999999601</v>
      </c>
      <c r="H3741" s="35">
        <v>31.7</v>
      </c>
      <c r="I3741" s="37">
        <f t="shared" si="58"/>
        <v>2.2267960128409562E-3</v>
      </c>
      <c r="J3741" s="33" t="s">
        <v>116</v>
      </c>
    </row>
    <row r="3742" spans="1:10">
      <c r="A3742" s="33" t="s">
        <v>27</v>
      </c>
      <c r="B3742" s="34">
        <v>396.31</v>
      </c>
      <c r="C3742" s="35">
        <v>14235.7</v>
      </c>
      <c r="D3742" s="33" t="s">
        <v>270</v>
      </c>
      <c r="E3742" s="34">
        <v>396.18099999999998</v>
      </c>
      <c r="F3742" s="36">
        <v>0.12900000000001899</v>
      </c>
      <c r="G3742" s="34">
        <v>0.12900000000001899</v>
      </c>
      <c r="H3742" s="35">
        <v>884.2</v>
      </c>
      <c r="I3742" s="37">
        <f t="shared" si="58"/>
        <v>6.2111452194131653E-2</v>
      </c>
      <c r="J3742" s="33"/>
    </row>
    <row r="3743" spans="1:10">
      <c r="A3743" s="33" t="s">
        <v>27</v>
      </c>
      <c r="B3743" s="34">
        <v>396.31</v>
      </c>
      <c r="C3743" s="35">
        <v>14235.7</v>
      </c>
      <c r="D3743" s="33" t="s">
        <v>271</v>
      </c>
      <c r="E3743" s="34">
        <v>396.197</v>
      </c>
      <c r="F3743" s="36">
        <v>0.113</v>
      </c>
      <c r="G3743" s="34">
        <v>0.113</v>
      </c>
      <c r="H3743" s="35">
        <v>35.1</v>
      </c>
      <c r="I3743" s="37">
        <f t="shared" si="58"/>
        <v>2.4656321782560746E-3</v>
      </c>
      <c r="J3743" s="33"/>
    </row>
    <row r="3744" spans="1:10">
      <c r="A3744" s="33" t="s">
        <v>27</v>
      </c>
      <c r="B3744" s="34">
        <v>396.31</v>
      </c>
      <c r="C3744" s="35">
        <v>14235.7</v>
      </c>
      <c r="D3744" s="33" t="s">
        <v>277</v>
      </c>
      <c r="E3744" s="34">
        <v>396.197</v>
      </c>
      <c r="F3744" s="36">
        <v>0.113</v>
      </c>
      <c r="G3744" s="34">
        <v>0.113</v>
      </c>
      <c r="H3744" s="35">
        <v>49</v>
      </c>
      <c r="I3744" s="37">
        <f t="shared" si="58"/>
        <v>3.4420506192178817E-3</v>
      </c>
      <c r="J3744" s="33"/>
    </row>
    <row r="3745" spans="1:10">
      <c r="A3745" s="33" t="s">
        <v>27</v>
      </c>
      <c r="B3745" s="34">
        <v>396.31</v>
      </c>
      <c r="C3745" s="35">
        <v>14235.7</v>
      </c>
      <c r="D3745" s="33" t="s">
        <v>25</v>
      </c>
      <c r="E3745" s="34">
        <v>396.20800000000003</v>
      </c>
      <c r="F3745" s="36">
        <v>0.101999999999975</v>
      </c>
      <c r="G3745" s="34">
        <v>0.101999999999975</v>
      </c>
      <c r="H3745" s="35">
        <v>1036</v>
      </c>
      <c r="I3745" s="37">
        <f t="shared" si="58"/>
        <v>7.2774784520606636E-2</v>
      </c>
      <c r="J3745" s="33" t="s">
        <v>116</v>
      </c>
    </row>
    <row r="3746" spans="1:10">
      <c r="A3746" s="33" t="s">
        <v>27</v>
      </c>
      <c r="B3746" s="34">
        <v>396.31</v>
      </c>
      <c r="C3746" s="35">
        <v>14235.7</v>
      </c>
      <c r="D3746" s="33" t="s">
        <v>36</v>
      </c>
      <c r="E3746" s="34">
        <v>396.21100000000001</v>
      </c>
      <c r="F3746" s="36">
        <v>9.9000000000000005E-2</v>
      </c>
      <c r="G3746" s="34">
        <v>9.9000000000000005E-2</v>
      </c>
      <c r="H3746" s="35">
        <v>300</v>
      </c>
      <c r="I3746" s="37">
        <f t="shared" si="58"/>
        <v>2.1073779301333969E-2</v>
      </c>
      <c r="J3746" s="33" t="s">
        <v>116</v>
      </c>
    </row>
    <row r="3747" spans="1:10">
      <c r="A3747" s="33" t="s">
        <v>27</v>
      </c>
      <c r="B3747" s="34">
        <v>396.31</v>
      </c>
      <c r="C3747" s="35">
        <v>14235.7</v>
      </c>
      <c r="D3747" s="33" t="s">
        <v>270</v>
      </c>
      <c r="E3747" s="34">
        <v>396.21300000000002</v>
      </c>
      <c r="F3747" s="36">
        <v>9.6999999999980005E-2</v>
      </c>
      <c r="G3747" s="34">
        <v>9.6999999999980005E-2</v>
      </c>
      <c r="H3747" s="35">
        <v>464.2</v>
      </c>
      <c r="I3747" s="37">
        <f t="shared" si="58"/>
        <v>3.2608161172264095E-2</v>
      </c>
      <c r="J3747" s="33"/>
    </row>
    <row r="3748" spans="1:10">
      <c r="A3748" s="33" t="s">
        <v>27</v>
      </c>
      <c r="B3748" s="34">
        <v>396.31</v>
      </c>
      <c r="C3748" s="35">
        <v>14235.7</v>
      </c>
      <c r="D3748" s="33" t="s">
        <v>27</v>
      </c>
      <c r="E3748" s="34">
        <v>396.221</v>
      </c>
      <c r="F3748" s="36">
        <v>8.8999999999998594E-2</v>
      </c>
      <c r="G3748" s="34">
        <v>8.8999999999998594E-2</v>
      </c>
      <c r="H3748" s="35">
        <v>3097.7</v>
      </c>
      <c r="I3748" s="37">
        <f t="shared" si="58"/>
        <v>0.21760082047247412</v>
      </c>
      <c r="J3748" s="33" t="s">
        <v>116</v>
      </c>
    </row>
    <row r="3749" spans="1:10">
      <c r="A3749" s="33" t="s">
        <v>27</v>
      </c>
      <c r="B3749" s="34">
        <v>396.31</v>
      </c>
      <c r="C3749" s="35">
        <v>14235.7</v>
      </c>
      <c r="D3749" s="33" t="s">
        <v>240</v>
      </c>
      <c r="E3749" s="34">
        <v>396.23200000000003</v>
      </c>
      <c r="F3749" s="36">
        <v>7.7999999999974506E-2</v>
      </c>
      <c r="G3749" s="34">
        <v>7.7999999999974506E-2</v>
      </c>
      <c r="H3749" s="35">
        <v>1</v>
      </c>
      <c r="I3749" s="37">
        <f t="shared" si="58"/>
        <v>7.0245931004446566E-5</v>
      </c>
      <c r="J3749" s="33"/>
    </row>
    <row r="3750" spans="1:10">
      <c r="A3750" s="33" t="s">
        <v>27</v>
      </c>
      <c r="B3750" s="34">
        <v>396.31</v>
      </c>
      <c r="C3750" s="35">
        <v>14235.7</v>
      </c>
      <c r="D3750" s="33" t="s">
        <v>274</v>
      </c>
      <c r="E3750" s="34">
        <v>396.233</v>
      </c>
      <c r="F3750" s="36">
        <v>7.6999999999998195E-2</v>
      </c>
      <c r="G3750" s="34">
        <v>7.6999999999998195E-2</v>
      </c>
      <c r="H3750" s="35">
        <v>8.1</v>
      </c>
      <c r="I3750" s="37">
        <f t="shared" si="58"/>
        <v>5.6899204113601716E-4</v>
      </c>
      <c r="J3750" s="33"/>
    </row>
    <row r="3751" spans="1:10">
      <c r="A3751" s="33" t="s">
        <v>27</v>
      </c>
      <c r="B3751" s="34">
        <v>396.31</v>
      </c>
      <c r="C3751" s="35">
        <v>14235.7</v>
      </c>
      <c r="D3751" s="33" t="s">
        <v>271</v>
      </c>
      <c r="E3751" s="34">
        <v>396.24200000000002</v>
      </c>
      <c r="F3751" s="36">
        <v>6.7999999999983601E-2</v>
      </c>
      <c r="G3751" s="34">
        <v>6.7999999999983601E-2</v>
      </c>
      <c r="H3751" s="35">
        <v>210.7</v>
      </c>
      <c r="I3751" s="37">
        <f t="shared" si="58"/>
        <v>1.4800817662636891E-2</v>
      </c>
      <c r="J3751" s="33"/>
    </row>
    <row r="3752" spans="1:10">
      <c r="A3752" s="33" t="s">
        <v>27</v>
      </c>
      <c r="B3752" s="34">
        <v>396.31</v>
      </c>
      <c r="C3752" s="35">
        <v>14235.7</v>
      </c>
      <c r="D3752" s="33" t="s">
        <v>173</v>
      </c>
      <c r="E3752" s="34">
        <v>396.245</v>
      </c>
      <c r="F3752" s="36">
        <v>6.4999999999997699E-2</v>
      </c>
      <c r="G3752" s="34">
        <v>6.4999999999997699E-2</v>
      </c>
      <c r="H3752" s="35">
        <v>4149.1000000000004</v>
      </c>
      <c r="I3752" s="37">
        <f t="shared" si="58"/>
        <v>0.29145739233054924</v>
      </c>
      <c r="J3752" s="33"/>
    </row>
    <row r="3753" spans="1:10">
      <c r="A3753" s="33" t="s">
        <v>27</v>
      </c>
      <c r="B3753" s="34">
        <v>396.31</v>
      </c>
      <c r="C3753" s="35">
        <v>14235.7</v>
      </c>
      <c r="D3753" s="33" t="s">
        <v>279</v>
      </c>
      <c r="E3753" s="34">
        <v>396.24799999999999</v>
      </c>
      <c r="F3753" s="36">
        <v>6.2000000000011803E-2</v>
      </c>
      <c r="G3753" s="34">
        <v>6.2000000000011803E-2</v>
      </c>
      <c r="H3753" s="35">
        <v>28.1</v>
      </c>
      <c r="I3753" s="37">
        <f t="shared" si="58"/>
        <v>1.9739106612249487E-3</v>
      </c>
      <c r="J3753" s="33"/>
    </row>
    <row r="3754" spans="1:10">
      <c r="A3754" s="33" t="s">
        <v>27</v>
      </c>
      <c r="B3754" s="34">
        <v>396.31</v>
      </c>
      <c r="C3754" s="35">
        <v>14235.7</v>
      </c>
      <c r="D3754" s="33" t="s">
        <v>33</v>
      </c>
      <c r="E3754" s="34">
        <v>396.25900000000001</v>
      </c>
      <c r="F3754" s="36">
        <v>5.0999999999987701E-2</v>
      </c>
      <c r="G3754" s="34">
        <v>5.0999999999987701E-2</v>
      </c>
      <c r="H3754" s="35">
        <v>156.9</v>
      </c>
      <c r="I3754" s="37">
        <f t="shared" si="58"/>
        <v>1.1021586574597666E-2</v>
      </c>
      <c r="J3754" s="33" t="s">
        <v>116</v>
      </c>
    </row>
    <row r="3755" spans="1:10">
      <c r="A3755" s="33" t="s">
        <v>27</v>
      </c>
      <c r="B3755" s="34">
        <v>396.31</v>
      </c>
      <c r="C3755" s="35">
        <v>14235.7</v>
      </c>
      <c r="D3755" s="33" t="s">
        <v>290</v>
      </c>
      <c r="E3755" s="34">
        <v>396.27800000000002</v>
      </c>
      <c r="F3755" s="36">
        <v>3.19999999999823E-2</v>
      </c>
      <c r="G3755" s="34">
        <v>3.19999999999823E-2</v>
      </c>
      <c r="H3755" s="35">
        <v>25</v>
      </c>
      <c r="I3755" s="37">
        <f t="shared" si="58"/>
        <v>1.756148275111164E-3</v>
      </c>
      <c r="J3755" s="33"/>
    </row>
    <row r="3756" spans="1:10">
      <c r="A3756" s="33" t="s">
        <v>27</v>
      </c>
      <c r="B3756" s="34">
        <v>396.31</v>
      </c>
      <c r="C3756" s="35">
        <v>14235.7</v>
      </c>
      <c r="D3756" s="33" t="s">
        <v>277</v>
      </c>
      <c r="E3756" s="34">
        <v>396.279</v>
      </c>
      <c r="F3756" s="36">
        <v>3.1000000000005901E-2</v>
      </c>
      <c r="G3756" s="34">
        <v>3.1000000000005901E-2</v>
      </c>
      <c r="H3756" s="35">
        <v>172.1</v>
      </c>
      <c r="I3756" s="37">
        <f t="shared" si="58"/>
        <v>1.2089324725865254E-2</v>
      </c>
      <c r="J3756" s="33"/>
    </row>
    <row r="3757" spans="1:10">
      <c r="A3757" s="33" t="s">
        <v>27</v>
      </c>
      <c r="B3757" s="34">
        <v>396.31</v>
      </c>
      <c r="C3757" s="35">
        <v>14235.7</v>
      </c>
      <c r="D3757" s="33" t="s">
        <v>237</v>
      </c>
      <c r="E3757" s="34">
        <v>396.28500000000003</v>
      </c>
      <c r="F3757" s="36">
        <v>2.4999999999977301E-2</v>
      </c>
      <c r="G3757" s="34">
        <v>2.4999999999977301E-2</v>
      </c>
      <c r="H3757" s="35">
        <v>371.7</v>
      </c>
      <c r="I3757" s="37">
        <f t="shared" si="58"/>
        <v>2.6110412554352785E-2</v>
      </c>
      <c r="J3757" s="33"/>
    </row>
    <row r="3758" spans="1:10">
      <c r="A3758" s="33" t="s">
        <v>27</v>
      </c>
      <c r="B3758" s="34">
        <v>396.31</v>
      </c>
      <c r="C3758" s="35">
        <v>14235.7</v>
      </c>
      <c r="D3758" s="33" t="s">
        <v>25</v>
      </c>
      <c r="E3758" s="34">
        <v>396.29</v>
      </c>
      <c r="F3758" s="36">
        <v>1.99999999999818E-2</v>
      </c>
      <c r="G3758" s="34">
        <v>1.99999999999818E-2</v>
      </c>
      <c r="H3758" s="35">
        <v>91.6</v>
      </c>
      <c r="I3758" s="37">
        <f t="shared" si="58"/>
        <v>6.4345272800073045E-3</v>
      </c>
      <c r="J3758" s="33" t="s">
        <v>116</v>
      </c>
    </row>
    <row r="3759" spans="1:10">
      <c r="A3759" s="33" t="s">
        <v>27</v>
      </c>
      <c r="B3759" s="34">
        <v>396.31</v>
      </c>
      <c r="C3759" s="35">
        <v>14235.7</v>
      </c>
      <c r="D3759" s="33" t="s">
        <v>270</v>
      </c>
      <c r="E3759" s="34">
        <v>396.30200000000002</v>
      </c>
      <c r="F3759" s="36">
        <v>7.9999999999813606E-3</v>
      </c>
      <c r="G3759" s="34">
        <v>7.9999999999813606E-3</v>
      </c>
      <c r="H3759" s="35">
        <v>5820</v>
      </c>
      <c r="I3759" s="37">
        <f t="shared" si="58"/>
        <v>0.408831318445879</v>
      </c>
      <c r="J3759" s="33"/>
    </row>
    <row r="3760" spans="1:10">
      <c r="A3760" s="33" t="s">
        <v>27</v>
      </c>
      <c r="B3760" s="34">
        <v>396.31</v>
      </c>
      <c r="C3760" s="35">
        <v>14235.7</v>
      </c>
      <c r="D3760" s="33" t="s">
        <v>97</v>
      </c>
      <c r="E3760" s="34">
        <v>396.31</v>
      </c>
      <c r="F3760" s="36">
        <v>0</v>
      </c>
      <c r="G3760" s="34">
        <v>0</v>
      </c>
      <c r="H3760" s="35">
        <v>11.3</v>
      </c>
      <c r="I3760" s="37">
        <f t="shared" si="58"/>
        <v>7.9377902035024622E-4</v>
      </c>
      <c r="J3760" s="33"/>
    </row>
    <row r="3761" spans="1:10">
      <c r="A3761" s="33" t="s">
        <v>27</v>
      </c>
      <c r="B3761" s="34">
        <v>396.31</v>
      </c>
      <c r="C3761" s="35">
        <v>14235.7</v>
      </c>
      <c r="D3761" s="33" t="s">
        <v>33</v>
      </c>
      <c r="E3761" s="34">
        <v>396.31700000000001</v>
      </c>
      <c r="F3761" s="36">
        <v>7.0000000000049996E-3</v>
      </c>
      <c r="G3761" s="34">
        <v>7.0000000000049996E-3</v>
      </c>
      <c r="H3761" s="35">
        <v>138.30000000000001</v>
      </c>
      <c r="I3761" s="37">
        <f t="shared" si="58"/>
        <v>9.7150122579149605E-3</v>
      </c>
      <c r="J3761" s="33" t="s">
        <v>116</v>
      </c>
    </row>
    <row r="3762" spans="1:10">
      <c r="A3762" s="33" t="s">
        <v>27</v>
      </c>
      <c r="B3762" s="34">
        <v>396.31</v>
      </c>
      <c r="C3762" s="35">
        <v>14235.7</v>
      </c>
      <c r="D3762" s="33" t="s">
        <v>84</v>
      </c>
      <c r="E3762" s="34">
        <v>396.33600000000001</v>
      </c>
      <c r="F3762" s="36">
        <v>2.5999999999999999E-2</v>
      </c>
      <c r="G3762" s="34">
        <v>2.5999999999999999E-2</v>
      </c>
      <c r="H3762" s="35">
        <v>612</v>
      </c>
      <c r="I3762" s="37">
        <f t="shared" si="58"/>
        <v>4.2990509774721297E-2</v>
      </c>
      <c r="J3762" s="33" t="s">
        <v>116</v>
      </c>
    </row>
    <row r="3763" spans="1:10">
      <c r="A3763" s="33" t="s">
        <v>27</v>
      </c>
      <c r="B3763" s="34">
        <v>396.31</v>
      </c>
      <c r="C3763" s="35">
        <v>14235.7</v>
      </c>
      <c r="D3763" s="33" t="s">
        <v>25</v>
      </c>
      <c r="E3763" s="34">
        <v>396.33699999999999</v>
      </c>
      <c r="F3763" s="36">
        <v>2.6999999999986798E-2</v>
      </c>
      <c r="G3763" s="34">
        <v>2.6999999999986798E-2</v>
      </c>
      <c r="H3763" s="35">
        <v>506.9</v>
      </c>
      <c r="I3763" s="37">
        <f t="shared" si="58"/>
        <v>3.5607662426153965E-2</v>
      </c>
      <c r="J3763" s="33" t="s">
        <v>116</v>
      </c>
    </row>
    <row r="3764" spans="1:10">
      <c r="A3764" s="33" t="s">
        <v>27</v>
      </c>
      <c r="B3764" s="34">
        <v>396.31</v>
      </c>
      <c r="C3764" s="35">
        <v>14235.7</v>
      </c>
      <c r="D3764" s="33" t="s">
        <v>271</v>
      </c>
      <c r="E3764" s="34">
        <v>396.34699999999998</v>
      </c>
      <c r="F3764" s="36">
        <v>3.6999999999977697E-2</v>
      </c>
      <c r="G3764" s="34">
        <v>3.6999999999977697E-2</v>
      </c>
      <c r="H3764" s="35">
        <v>244.2</v>
      </c>
      <c r="I3764" s="37">
        <f t="shared" si="58"/>
        <v>1.7154056351285848E-2</v>
      </c>
      <c r="J3764" s="33"/>
    </row>
    <row r="3765" spans="1:10">
      <c r="A3765" s="33" t="s">
        <v>27</v>
      </c>
      <c r="B3765" s="34">
        <v>396.31</v>
      </c>
      <c r="C3765" s="35">
        <v>14235.7</v>
      </c>
      <c r="D3765" s="33" t="s">
        <v>284</v>
      </c>
      <c r="E3765" s="34">
        <v>396.36200000000002</v>
      </c>
      <c r="F3765" s="36">
        <v>5.2000000000020898E-2</v>
      </c>
      <c r="G3765" s="34">
        <v>5.2000000000020898E-2</v>
      </c>
      <c r="H3765" s="35">
        <v>8.9</v>
      </c>
      <c r="I3765" s="37">
        <f t="shared" si="58"/>
        <v>6.2518878593957443E-4</v>
      </c>
      <c r="J3765" s="33"/>
    </row>
    <row r="3766" spans="1:10">
      <c r="A3766" s="33" t="s">
        <v>27</v>
      </c>
      <c r="B3766" s="34">
        <v>396.31</v>
      </c>
      <c r="C3766" s="35">
        <v>14235.7</v>
      </c>
      <c r="D3766" s="33" t="s">
        <v>36</v>
      </c>
      <c r="E3766" s="34">
        <v>396.36500000000001</v>
      </c>
      <c r="F3766" s="36">
        <v>5.5E-2</v>
      </c>
      <c r="G3766" s="34">
        <v>5.5E-2</v>
      </c>
      <c r="H3766" s="35">
        <v>1603.7</v>
      </c>
      <c r="I3766" s="37">
        <f t="shared" si="58"/>
        <v>0.11265339955183096</v>
      </c>
      <c r="J3766" s="33" t="s">
        <v>116</v>
      </c>
    </row>
    <row r="3767" spans="1:10">
      <c r="A3767" s="33" t="s">
        <v>27</v>
      </c>
      <c r="B3767" s="34">
        <v>396.31</v>
      </c>
      <c r="C3767" s="35">
        <v>14235.7</v>
      </c>
      <c r="D3767" s="33" t="s">
        <v>239</v>
      </c>
      <c r="E3767" s="34">
        <v>396.36900000000003</v>
      </c>
      <c r="F3767" s="36">
        <v>5.90000000000259E-2</v>
      </c>
      <c r="G3767" s="34">
        <v>5.90000000000259E-2</v>
      </c>
      <c r="H3767" s="35">
        <v>1026.5</v>
      </c>
      <c r="I3767" s="37">
        <f t="shared" si="58"/>
        <v>7.2107448176064404E-2</v>
      </c>
      <c r="J3767" s="33"/>
    </row>
    <row r="3768" spans="1:10">
      <c r="A3768" s="33" t="s">
        <v>27</v>
      </c>
      <c r="B3768" s="34">
        <v>396.31</v>
      </c>
      <c r="C3768" s="35">
        <v>14235.7</v>
      </c>
      <c r="D3768" s="33" t="s">
        <v>236</v>
      </c>
      <c r="E3768" s="34">
        <v>396.37900000000002</v>
      </c>
      <c r="F3768" s="36">
        <v>6.9000000000016798E-2</v>
      </c>
      <c r="G3768" s="34">
        <v>6.9000000000016798E-2</v>
      </c>
      <c r="H3768" s="35">
        <v>48.9</v>
      </c>
      <c r="I3768" s="37">
        <f t="shared" si="58"/>
        <v>3.4350260261174371E-3</v>
      </c>
      <c r="J3768" s="33"/>
    </row>
    <row r="3769" spans="1:10">
      <c r="A3769" s="33" t="s">
        <v>27</v>
      </c>
      <c r="B3769" s="34">
        <v>396.31</v>
      </c>
      <c r="C3769" s="35">
        <v>14235.7</v>
      </c>
      <c r="D3769" s="33" t="s">
        <v>33</v>
      </c>
      <c r="E3769" s="34">
        <v>396.38099999999997</v>
      </c>
      <c r="F3769" s="36">
        <v>7.0999999999969504E-2</v>
      </c>
      <c r="G3769" s="34">
        <v>7.0999999999969504E-2</v>
      </c>
      <c r="H3769" s="35">
        <v>423.6</v>
      </c>
      <c r="I3769" s="37">
        <f t="shared" si="58"/>
        <v>2.9756176373483566E-2</v>
      </c>
      <c r="J3769" s="33" t="s">
        <v>116</v>
      </c>
    </row>
    <row r="3770" spans="1:10">
      <c r="A3770" s="33" t="s">
        <v>27</v>
      </c>
      <c r="B3770" s="34">
        <v>396.31</v>
      </c>
      <c r="C3770" s="35">
        <v>14235.7</v>
      </c>
      <c r="D3770" s="33" t="s">
        <v>27</v>
      </c>
      <c r="E3770" s="34">
        <v>396.39100000000002</v>
      </c>
      <c r="F3770" s="36">
        <v>8.1000000000017294E-2</v>
      </c>
      <c r="G3770" s="34">
        <v>8.1000000000017294E-2</v>
      </c>
      <c r="H3770" s="35">
        <v>2709.7</v>
      </c>
      <c r="I3770" s="37">
        <f t="shared" si="58"/>
        <v>0.19034539924274885</v>
      </c>
      <c r="J3770" s="33" t="s">
        <v>116</v>
      </c>
    </row>
    <row r="3771" spans="1:10">
      <c r="A3771" s="33" t="s">
        <v>27</v>
      </c>
      <c r="B3771" s="34">
        <v>396.31</v>
      </c>
      <c r="C3771" s="35">
        <v>14235.7</v>
      </c>
      <c r="D3771" s="33" t="s">
        <v>274</v>
      </c>
      <c r="E3771" s="34">
        <v>396.40800000000002</v>
      </c>
      <c r="F3771" s="36">
        <v>9.8000000000013202E-2</v>
      </c>
      <c r="G3771" s="34">
        <v>9.8000000000013202E-2</v>
      </c>
      <c r="H3771" s="35">
        <v>11.1</v>
      </c>
      <c r="I3771" s="37">
        <f t="shared" si="58"/>
        <v>7.7972983414935685E-4</v>
      </c>
      <c r="J3771" s="33"/>
    </row>
    <row r="3772" spans="1:10">
      <c r="A3772" s="33" t="s">
        <v>27</v>
      </c>
      <c r="B3772" s="34">
        <v>396.31</v>
      </c>
      <c r="C3772" s="35">
        <v>14235.7</v>
      </c>
      <c r="D3772" s="33" t="s">
        <v>25</v>
      </c>
      <c r="E3772" s="34">
        <v>396.41800000000001</v>
      </c>
      <c r="F3772" s="36">
        <v>0.108000000000004</v>
      </c>
      <c r="G3772" s="34">
        <v>0.108000000000004</v>
      </c>
      <c r="H3772" s="35">
        <v>1218.4000000000001</v>
      </c>
      <c r="I3772" s="37">
        <f t="shared" si="58"/>
        <v>8.5587642335817699E-2</v>
      </c>
      <c r="J3772" s="33" t="s">
        <v>116</v>
      </c>
    </row>
    <row r="3773" spans="1:10">
      <c r="A3773" s="33" t="s">
        <v>27</v>
      </c>
      <c r="B3773" s="34">
        <v>396.31</v>
      </c>
      <c r="C3773" s="35">
        <v>14235.7</v>
      </c>
      <c r="D3773" s="33" t="s">
        <v>277</v>
      </c>
      <c r="E3773" s="34">
        <v>396.42099999999999</v>
      </c>
      <c r="F3773" s="36">
        <v>0.11099999999999</v>
      </c>
      <c r="G3773" s="34">
        <v>0.11099999999999</v>
      </c>
      <c r="H3773" s="35">
        <v>206.4</v>
      </c>
      <c r="I3773" s="37">
        <f t="shared" si="58"/>
        <v>1.4498760159317772E-2</v>
      </c>
      <c r="J3773" s="33"/>
    </row>
    <row r="3774" spans="1:10">
      <c r="A3774" s="33" t="s">
        <v>27</v>
      </c>
      <c r="B3774" s="34">
        <v>396.31</v>
      </c>
      <c r="C3774" s="35">
        <v>14235.7</v>
      </c>
      <c r="D3774" s="33" t="s">
        <v>173</v>
      </c>
      <c r="E3774" s="34">
        <v>396.42599999999999</v>
      </c>
      <c r="F3774" s="36">
        <v>0.115999999999985</v>
      </c>
      <c r="G3774" s="34">
        <v>0.115999999999985</v>
      </c>
      <c r="H3774" s="35">
        <v>5052.8</v>
      </c>
      <c r="I3774" s="37">
        <f t="shared" si="58"/>
        <v>0.35493864017926763</v>
      </c>
      <c r="J3774" s="33"/>
    </row>
    <row r="3775" spans="1:10">
      <c r="A3775" s="33" t="s">
        <v>27</v>
      </c>
      <c r="B3775" s="34">
        <v>396.31</v>
      </c>
      <c r="C3775" s="35">
        <v>14235.7</v>
      </c>
      <c r="D3775" s="33" t="s">
        <v>237</v>
      </c>
      <c r="E3775" s="34">
        <v>396.42700000000002</v>
      </c>
      <c r="F3775" s="36">
        <v>0.11700000000001901</v>
      </c>
      <c r="G3775" s="34">
        <v>0.11700000000001901</v>
      </c>
      <c r="H3775" s="35">
        <v>389.4</v>
      </c>
      <c r="I3775" s="37">
        <f t="shared" si="58"/>
        <v>2.7353765533131489E-2</v>
      </c>
      <c r="J3775" s="33"/>
    </row>
    <row r="3776" spans="1:10">
      <c r="A3776" s="33" t="s">
        <v>27</v>
      </c>
      <c r="B3776" s="34">
        <v>396.31</v>
      </c>
      <c r="C3776" s="35">
        <v>14235.7</v>
      </c>
      <c r="D3776" s="33" t="s">
        <v>273</v>
      </c>
      <c r="E3776" s="34">
        <v>396.428</v>
      </c>
      <c r="F3776" s="36">
        <v>0.117999999999995</v>
      </c>
      <c r="G3776" s="34">
        <v>0.117999999999995</v>
      </c>
      <c r="H3776" s="35">
        <v>161.1</v>
      </c>
      <c r="I3776" s="37">
        <f t="shared" si="58"/>
        <v>1.1316619484816342E-2</v>
      </c>
      <c r="J3776" s="33"/>
    </row>
    <row r="3777" spans="1:10">
      <c r="A3777" s="33" t="s">
        <v>27</v>
      </c>
      <c r="B3777" s="34">
        <v>396.31</v>
      </c>
      <c r="C3777" s="35">
        <v>14235.7</v>
      </c>
      <c r="D3777" s="33" t="s">
        <v>25</v>
      </c>
      <c r="E3777" s="34">
        <v>396.45</v>
      </c>
      <c r="F3777" s="36">
        <v>0.139999999999986</v>
      </c>
      <c r="G3777" s="34">
        <v>0.139999999999986</v>
      </c>
      <c r="H3777" s="35">
        <v>2056.5</v>
      </c>
      <c r="I3777" s="37">
        <f t="shared" si="58"/>
        <v>0.14446075711064435</v>
      </c>
      <c r="J3777" s="33" t="s">
        <v>116</v>
      </c>
    </row>
    <row r="3778" spans="1:10">
      <c r="A3778" s="33" t="s">
        <v>27</v>
      </c>
      <c r="B3778" s="34">
        <v>396.31</v>
      </c>
      <c r="C3778" s="35">
        <v>14235.7</v>
      </c>
      <c r="D3778" s="33" t="s">
        <v>84</v>
      </c>
      <c r="E3778" s="34">
        <v>396.45100000000002</v>
      </c>
      <c r="F3778" s="36">
        <v>0.14099999999999999</v>
      </c>
      <c r="G3778" s="34">
        <v>0.14099999999999999</v>
      </c>
      <c r="H3778" s="35">
        <v>124.6</v>
      </c>
      <c r="I3778" s="37">
        <f t="shared" ref="I3778:I3841" si="59">H3778/C3778</f>
        <v>8.7526430031540422E-3</v>
      </c>
      <c r="J3778" s="33" t="s">
        <v>116</v>
      </c>
    </row>
    <row r="3779" spans="1:10">
      <c r="A3779" s="33" t="s">
        <v>27</v>
      </c>
      <c r="B3779" s="34">
        <v>396.31</v>
      </c>
      <c r="C3779" s="35">
        <v>14235.7</v>
      </c>
      <c r="D3779" s="33" t="s">
        <v>282</v>
      </c>
      <c r="E3779" s="34">
        <v>396.45400000000001</v>
      </c>
      <c r="F3779" s="36">
        <v>0.14400000000000601</v>
      </c>
      <c r="G3779" s="34">
        <v>0.14400000000000601</v>
      </c>
      <c r="H3779" s="35">
        <v>15.6</v>
      </c>
      <c r="I3779" s="37">
        <f t="shared" si="59"/>
        <v>1.0958365236693663E-3</v>
      </c>
      <c r="J3779" s="33"/>
    </row>
    <row r="3780" spans="1:10">
      <c r="A3780" s="33" t="s">
        <v>27</v>
      </c>
      <c r="B3780" s="34">
        <v>399.46699999999998</v>
      </c>
      <c r="C3780" s="35">
        <v>9733.7999999999993</v>
      </c>
      <c r="D3780" s="33" t="s">
        <v>275</v>
      </c>
      <c r="E3780" s="34">
        <v>399.30500000000001</v>
      </c>
      <c r="F3780" s="36">
        <v>0.16199999999997799</v>
      </c>
      <c r="G3780" s="34">
        <v>0.16199999999997799</v>
      </c>
      <c r="H3780" s="35">
        <v>3.3</v>
      </c>
      <c r="I3780" s="37">
        <f t="shared" si="59"/>
        <v>3.3902484127473341E-4</v>
      </c>
      <c r="J3780" s="33"/>
    </row>
    <row r="3781" spans="1:10">
      <c r="A3781" s="33" t="s">
        <v>27</v>
      </c>
      <c r="B3781" s="34">
        <v>399.46699999999998</v>
      </c>
      <c r="C3781" s="35">
        <v>9733.7999999999993</v>
      </c>
      <c r="D3781" s="33" t="s">
        <v>173</v>
      </c>
      <c r="E3781" s="34">
        <v>399.31599999999997</v>
      </c>
      <c r="F3781" s="36">
        <v>0.15100000000001099</v>
      </c>
      <c r="G3781" s="34">
        <v>0.15100000000001099</v>
      </c>
      <c r="H3781" s="35">
        <v>314.2</v>
      </c>
      <c r="I3781" s="37">
        <f t="shared" si="59"/>
        <v>3.227927428137007E-2</v>
      </c>
      <c r="J3781" s="33"/>
    </row>
    <row r="3782" spans="1:10">
      <c r="A3782" s="33" t="s">
        <v>27</v>
      </c>
      <c r="B3782" s="34">
        <v>399.46699999999998</v>
      </c>
      <c r="C3782" s="35">
        <v>9733.7999999999993</v>
      </c>
      <c r="D3782" s="33" t="s">
        <v>270</v>
      </c>
      <c r="E3782" s="34">
        <v>399.33100000000002</v>
      </c>
      <c r="F3782" s="36">
        <v>0.13599999999996701</v>
      </c>
      <c r="G3782" s="34">
        <v>0.13599999999996701</v>
      </c>
      <c r="H3782" s="35">
        <v>3673.1</v>
      </c>
      <c r="I3782" s="37">
        <f t="shared" si="59"/>
        <v>0.37735519529885553</v>
      </c>
      <c r="J3782" s="33"/>
    </row>
    <row r="3783" spans="1:10">
      <c r="A3783" s="33" t="s">
        <v>27</v>
      </c>
      <c r="B3783" s="34">
        <v>399.46699999999998</v>
      </c>
      <c r="C3783" s="35">
        <v>9733.7999999999993</v>
      </c>
      <c r="D3783" s="33" t="s">
        <v>288</v>
      </c>
      <c r="E3783" s="34">
        <v>399.34</v>
      </c>
      <c r="F3783" s="36">
        <v>0.12700000000000999</v>
      </c>
      <c r="G3783" s="34">
        <v>0.12700000000000999</v>
      </c>
      <c r="H3783" s="35">
        <v>83.1</v>
      </c>
      <c r="I3783" s="37">
        <f t="shared" si="59"/>
        <v>8.5372619121001046E-3</v>
      </c>
      <c r="J3783" s="33"/>
    </row>
    <row r="3784" spans="1:10">
      <c r="A3784" s="33" t="s">
        <v>27</v>
      </c>
      <c r="B3784" s="34">
        <v>399.46699999999998</v>
      </c>
      <c r="C3784" s="35">
        <v>9733.7999999999993</v>
      </c>
      <c r="D3784" s="33" t="s">
        <v>268</v>
      </c>
      <c r="E3784" s="34">
        <v>399.35300000000001</v>
      </c>
      <c r="F3784" s="36">
        <v>0.113999999999976</v>
      </c>
      <c r="G3784" s="34">
        <v>0.113999999999976</v>
      </c>
      <c r="H3784" s="35">
        <v>6.1</v>
      </c>
      <c r="I3784" s="37">
        <f t="shared" si="59"/>
        <v>6.2668228235632543E-4</v>
      </c>
      <c r="J3784" s="33"/>
    </row>
    <row r="3785" spans="1:10">
      <c r="A3785" s="33" t="s">
        <v>27</v>
      </c>
      <c r="B3785" s="34">
        <v>399.46699999999998</v>
      </c>
      <c r="C3785" s="35">
        <v>9733.7999999999993</v>
      </c>
      <c r="D3785" s="33" t="s">
        <v>94</v>
      </c>
      <c r="E3785" s="34">
        <v>399.37299999999999</v>
      </c>
      <c r="F3785" s="36">
        <v>9.4E-2</v>
      </c>
      <c r="G3785" s="34">
        <v>9.4E-2</v>
      </c>
      <c r="H3785" s="35">
        <v>635.9</v>
      </c>
      <c r="I3785" s="37">
        <f t="shared" si="59"/>
        <v>6.5329059565637268E-2</v>
      </c>
      <c r="J3785" s="33" t="s">
        <v>116</v>
      </c>
    </row>
    <row r="3786" spans="1:10">
      <c r="A3786" s="33" t="s">
        <v>27</v>
      </c>
      <c r="B3786" s="34">
        <v>399.46699999999998</v>
      </c>
      <c r="C3786" s="35">
        <v>9733.7999999999993</v>
      </c>
      <c r="D3786" s="33" t="s">
        <v>25</v>
      </c>
      <c r="E3786" s="34">
        <v>399.38200000000001</v>
      </c>
      <c r="F3786" s="36">
        <v>8.4999999999979495E-2</v>
      </c>
      <c r="G3786" s="34">
        <v>8.4999999999979495E-2</v>
      </c>
      <c r="H3786" s="35">
        <v>5005.5</v>
      </c>
      <c r="I3786" s="37">
        <f t="shared" si="59"/>
        <v>0.51423904333353887</v>
      </c>
      <c r="J3786" s="33" t="s">
        <v>116</v>
      </c>
    </row>
    <row r="3787" spans="1:10">
      <c r="A3787" s="33" t="s">
        <v>27</v>
      </c>
      <c r="B3787" s="34">
        <v>399.46699999999998</v>
      </c>
      <c r="C3787" s="35">
        <v>9733.7999999999993</v>
      </c>
      <c r="D3787" s="33" t="s">
        <v>240</v>
      </c>
      <c r="E3787" s="34">
        <v>399.38400000000001</v>
      </c>
      <c r="F3787" s="36">
        <v>8.2999999999970001E-2</v>
      </c>
      <c r="G3787" s="34">
        <v>8.2999999999970001E-2</v>
      </c>
      <c r="H3787" s="35">
        <v>1.5</v>
      </c>
      <c r="I3787" s="37">
        <f t="shared" si="59"/>
        <v>1.5410220057942428E-4</v>
      </c>
      <c r="J3787" s="33"/>
    </row>
    <row r="3788" spans="1:10">
      <c r="A3788" s="33" t="s">
        <v>27</v>
      </c>
      <c r="B3788" s="34">
        <v>399.46699999999998</v>
      </c>
      <c r="C3788" s="35">
        <v>9733.7999999999993</v>
      </c>
      <c r="D3788" s="33" t="s">
        <v>274</v>
      </c>
      <c r="E3788" s="34">
        <v>399.39100000000002</v>
      </c>
      <c r="F3788" s="36">
        <v>7.5999999999964998E-2</v>
      </c>
      <c r="G3788" s="34">
        <v>7.5999999999964998E-2</v>
      </c>
      <c r="H3788" s="35">
        <v>42</v>
      </c>
      <c r="I3788" s="37">
        <f t="shared" si="59"/>
        <v>4.3148616162238798E-3</v>
      </c>
      <c r="J3788" s="33"/>
    </row>
    <row r="3789" spans="1:10">
      <c r="A3789" s="33" t="s">
        <v>27</v>
      </c>
      <c r="B3789" s="34">
        <v>399.46699999999998</v>
      </c>
      <c r="C3789" s="35">
        <v>9733.7999999999993</v>
      </c>
      <c r="D3789" s="33" t="s">
        <v>280</v>
      </c>
      <c r="E3789" s="34">
        <v>399.39299999999997</v>
      </c>
      <c r="F3789" s="36">
        <v>7.4000000000012306E-2</v>
      </c>
      <c r="G3789" s="34">
        <v>7.4000000000012306E-2</v>
      </c>
      <c r="H3789" s="35">
        <v>243.9</v>
      </c>
      <c r="I3789" s="37">
        <f t="shared" si="59"/>
        <v>2.5057017814214388E-2</v>
      </c>
      <c r="J3789" s="33"/>
    </row>
    <row r="3790" spans="1:10">
      <c r="A3790" s="33" t="s">
        <v>27</v>
      </c>
      <c r="B3790" s="34">
        <v>399.46699999999998</v>
      </c>
      <c r="C3790" s="35">
        <v>9733.7999999999993</v>
      </c>
      <c r="D3790" s="33" t="s">
        <v>275</v>
      </c>
      <c r="E3790" s="34">
        <v>399.39299999999997</v>
      </c>
      <c r="F3790" s="36">
        <v>7.4000000000012306E-2</v>
      </c>
      <c r="G3790" s="34">
        <v>7.4000000000012306E-2</v>
      </c>
      <c r="H3790" s="35">
        <v>42</v>
      </c>
      <c r="I3790" s="37">
        <f t="shared" si="59"/>
        <v>4.3148616162238798E-3</v>
      </c>
      <c r="J3790" s="33"/>
    </row>
    <row r="3791" spans="1:10">
      <c r="A3791" s="33" t="s">
        <v>27</v>
      </c>
      <c r="B3791" s="34">
        <v>399.46699999999998</v>
      </c>
      <c r="C3791" s="35">
        <v>9733.7999999999993</v>
      </c>
      <c r="D3791" s="33" t="s">
        <v>239</v>
      </c>
      <c r="E3791" s="34">
        <v>399.39600000000002</v>
      </c>
      <c r="F3791" s="36">
        <v>7.0999999999969504E-2</v>
      </c>
      <c r="G3791" s="34">
        <v>7.0999999999969504E-2</v>
      </c>
      <c r="H3791" s="35">
        <v>12.3</v>
      </c>
      <c r="I3791" s="37">
        <f t="shared" si="59"/>
        <v>1.2636380447512792E-3</v>
      </c>
      <c r="J3791" s="33"/>
    </row>
    <row r="3792" spans="1:10">
      <c r="A3792" s="33" t="s">
        <v>27</v>
      </c>
      <c r="B3792" s="34">
        <v>399.46699999999998</v>
      </c>
      <c r="C3792" s="35">
        <v>9733.7999999999993</v>
      </c>
      <c r="D3792" s="33" t="s">
        <v>94</v>
      </c>
      <c r="E3792" s="34">
        <v>399.404</v>
      </c>
      <c r="F3792" s="36">
        <v>6.3E-2</v>
      </c>
      <c r="G3792" s="34">
        <v>6.3E-2</v>
      </c>
      <c r="H3792" s="35">
        <v>39.6</v>
      </c>
      <c r="I3792" s="37">
        <f t="shared" si="59"/>
        <v>4.0682980952968014E-3</v>
      </c>
      <c r="J3792" s="33" t="s">
        <v>116</v>
      </c>
    </row>
    <row r="3793" spans="1:10">
      <c r="A3793" s="33" t="s">
        <v>27</v>
      </c>
      <c r="B3793" s="34">
        <v>399.46699999999998</v>
      </c>
      <c r="C3793" s="35">
        <v>9733.7999999999993</v>
      </c>
      <c r="D3793" s="33" t="s">
        <v>97</v>
      </c>
      <c r="E3793" s="34">
        <v>399.411</v>
      </c>
      <c r="F3793" s="36">
        <v>5.5999999999983202E-2</v>
      </c>
      <c r="G3793" s="34">
        <v>5.5999999999983202E-2</v>
      </c>
      <c r="H3793" s="35">
        <v>2</v>
      </c>
      <c r="I3793" s="37">
        <f t="shared" si="59"/>
        <v>2.0546960077256571E-4</v>
      </c>
      <c r="J3793" s="33"/>
    </row>
    <row r="3794" spans="1:10">
      <c r="A3794" s="33" t="s">
        <v>27</v>
      </c>
      <c r="B3794" s="34">
        <v>399.46699999999998</v>
      </c>
      <c r="C3794" s="35">
        <v>9733.7999999999993</v>
      </c>
      <c r="D3794" s="33" t="s">
        <v>36</v>
      </c>
      <c r="E3794" s="34">
        <v>399.416</v>
      </c>
      <c r="F3794" s="36">
        <v>5.0999999999999997E-2</v>
      </c>
      <c r="G3794" s="34">
        <v>5.0999999999999997E-2</v>
      </c>
      <c r="H3794" s="35">
        <v>2318.1</v>
      </c>
      <c r="I3794" s="37">
        <f t="shared" si="59"/>
        <v>0.23814954077544229</v>
      </c>
      <c r="J3794" s="33" t="s">
        <v>116</v>
      </c>
    </row>
    <row r="3795" spans="1:10">
      <c r="A3795" s="33" t="s">
        <v>27</v>
      </c>
      <c r="B3795" s="34">
        <v>399.46699999999998</v>
      </c>
      <c r="C3795" s="35">
        <v>9733.7999999999993</v>
      </c>
      <c r="D3795" s="33" t="s">
        <v>277</v>
      </c>
      <c r="E3795" s="34">
        <v>399.42899999999997</v>
      </c>
      <c r="F3795" s="36">
        <v>3.80000000000109E-2</v>
      </c>
      <c r="G3795" s="34">
        <v>3.80000000000109E-2</v>
      </c>
      <c r="H3795" s="35">
        <v>123.2</v>
      </c>
      <c r="I3795" s="37">
        <f t="shared" si="59"/>
        <v>1.2656927407590049E-2</v>
      </c>
      <c r="J3795" s="33"/>
    </row>
    <row r="3796" spans="1:10">
      <c r="A3796" s="33" t="s">
        <v>27</v>
      </c>
      <c r="B3796" s="34">
        <v>399.46699999999998</v>
      </c>
      <c r="C3796" s="35">
        <v>9733.7999999999993</v>
      </c>
      <c r="D3796" s="33" t="s">
        <v>54</v>
      </c>
      <c r="E3796" s="34">
        <v>399.45299999999997</v>
      </c>
      <c r="F3796" s="36">
        <v>1.4000000000009999E-2</v>
      </c>
      <c r="G3796" s="34">
        <v>1.4000000000009999E-2</v>
      </c>
      <c r="H3796" s="35">
        <v>75</v>
      </c>
      <c r="I3796" s="37">
        <f t="shared" si="59"/>
        <v>7.7051100289712146E-3</v>
      </c>
      <c r="J3796" s="33"/>
    </row>
    <row r="3797" spans="1:10">
      <c r="A3797" s="33" t="s">
        <v>27</v>
      </c>
      <c r="B3797" s="34">
        <v>399.46699999999998</v>
      </c>
      <c r="C3797" s="35">
        <v>9733.7999999999993</v>
      </c>
      <c r="D3797" s="33" t="s">
        <v>271</v>
      </c>
      <c r="E3797" s="34">
        <v>399.45499999999998</v>
      </c>
      <c r="F3797" s="36">
        <v>1.20000000000005E-2</v>
      </c>
      <c r="G3797" s="34">
        <v>1.20000000000005E-2</v>
      </c>
      <c r="H3797" s="35">
        <v>2787.5</v>
      </c>
      <c r="I3797" s="37">
        <f t="shared" si="59"/>
        <v>0.28637325607676345</v>
      </c>
      <c r="J3797" s="33"/>
    </row>
    <row r="3798" spans="1:10">
      <c r="A3798" s="33" t="s">
        <v>27</v>
      </c>
      <c r="B3798" s="34">
        <v>399.46699999999998</v>
      </c>
      <c r="C3798" s="35">
        <v>9733.7999999999993</v>
      </c>
      <c r="D3798" s="33" t="s">
        <v>25</v>
      </c>
      <c r="E3798" s="34">
        <v>399.45800000000003</v>
      </c>
      <c r="F3798" s="36">
        <v>8.9999999999577102E-3</v>
      </c>
      <c r="G3798" s="34">
        <v>8.9999999999577102E-3</v>
      </c>
      <c r="H3798" s="35">
        <v>460.2</v>
      </c>
      <c r="I3798" s="37">
        <f t="shared" si="59"/>
        <v>4.7278555137767367E-2</v>
      </c>
      <c r="J3798" s="33" t="s">
        <v>116</v>
      </c>
    </row>
    <row r="3799" spans="1:10">
      <c r="A3799" s="33" t="s">
        <v>27</v>
      </c>
      <c r="B3799" s="34">
        <v>399.46699999999998</v>
      </c>
      <c r="C3799" s="35">
        <v>9733.7999999999993</v>
      </c>
      <c r="D3799" s="33" t="s">
        <v>274</v>
      </c>
      <c r="E3799" s="34">
        <v>399.45800000000003</v>
      </c>
      <c r="F3799" s="36">
        <v>8.9999999999577102E-3</v>
      </c>
      <c r="G3799" s="34">
        <v>8.9999999999577102E-3</v>
      </c>
      <c r="H3799" s="35">
        <v>3.9</v>
      </c>
      <c r="I3799" s="37">
        <f t="shared" si="59"/>
        <v>4.0066572150650312E-4</v>
      </c>
      <c r="J3799" s="33"/>
    </row>
    <row r="3800" spans="1:10">
      <c r="A3800" s="33" t="s">
        <v>27</v>
      </c>
      <c r="B3800" s="34">
        <v>399.46699999999998</v>
      </c>
      <c r="C3800" s="35">
        <v>9733.7999999999993</v>
      </c>
      <c r="D3800" s="33" t="s">
        <v>173</v>
      </c>
      <c r="E3800" s="34">
        <v>399.47899999999998</v>
      </c>
      <c r="F3800" s="36">
        <v>1.20000000000005E-2</v>
      </c>
      <c r="G3800" s="34">
        <v>1.20000000000005E-2</v>
      </c>
      <c r="H3800" s="35">
        <v>791</v>
      </c>
      <c r="I3800" s="37">
        <f t="shared" si="59"/>
        <v>8.1263227105549743E-2</v>
      </c>
      <c r="J3800" s="33"/>
    </row>
    <row r="3801" spans="1:10">
      <c r="A3801" s="33" t="s">
        <v>27</v>
      </c>
      <c r="B3801" s="34">
        <v>399.46699999999998</v>
      </c>
      <c r="C3801" s="35">
        <v>9733.7999999999993</v>
      </c>
      <c r="D3801" s="33" t="s">
        <v>84</v>
      </c>
      <c r="E3801" s="34">
        <v>399.48500000000001</v>
      </c>
      <c r="F3801" s="36">
        <v>1.7999999999999999E-2</v>
      </c>
      <c r="G3801" s="34">
        <v>1.7999999999999999E-2</v>
      </c>
      <c r="H3801" s="35">
        <v>149.80000000000001</v>
      </c>
      <c r="I3801" s="37">
        <f t="shared" si="59"/>
        <v>1.5389673097865174E-2</v>
      </c>
      <c r="J3801" s="33" t="s">
        <v>116</v>
      </c>
    </row>
    <row r="3802" spans="1:10">
      <c r="A3802" s="33" t="s">
        <v>27</v>
      </c>
      <c r="B3802" s="34">
        <v>399.46699999999998</v>
      </c>
      <c r="C3802" s="35">
        <v>9733.7999999999993</v>
      </c>
      <c r="D3802" s="33" t="s">
        <v>284</v>
      </c>
      <c r="E3802" s="34">
        <v>399.49299999999999</v>
      </c>
      <c r="F3802" s="36">
        <v>2.6000000000010501E-2</v>
      </c>
      <c r="G3802" s="34">
        <v>2.6000000000010501E-2</v>
      </c>
      <c r="H3802" s="35">
        <v>0.3</v>
      </c>
      <c r="I3802" s="37">
        <f t="shared" si="59"/>
        <v>3.0820440115884858E-5</v>
      </c>
      <c r="J3802" s="33"/>
    </row>
    <row r="3803" spans="1:10">
      <c r="A3803" s="33" t="s">
        <v>27</v>
      </c>
      <c r="B3803" s="34">
        <v>399.46699999999998</v>
      </c>
      <c r="C3803" s="35">
        <v>9733.7999999999993</v>
      </c>
      <c r="D3803" s="33" t="s">
        <v>277</v>
      </c>
      <c r="E3803" s="34">
        <v>399.49799999999999</v>
      </c>
      <c r="F3803" s="36">
        <v>3.1000000000005901E-2</v>
      </c>
      <c r="G3803" s="34">
        <v>3.1000000000005901E-2</v>
      </c>
      <c r="H3803" s="35">
        <v>308.3</v>
      </c>
      <c r="I3803" s="37">
        <f t="shared" si="59"/>
        <v>3.1673138959091005E-2</v>
      </c>
      <c r="J3803" s="33"/>
    </row>
    <row r="3804" spans="1:10">
      <c r="A3804" s="33" t="s">
        <v>27</v>
      </c>
      <c r="B3804" s="34">
        <v>399.46699999999998</v>
      </c>
      <c r="C3804" s="35">
        <v>9733.7999999999993</v>
      </c>
      <c r="D3804" s="33" t="s">
        <v>27</v>
      </c>
      <c r="E3804" s="34">
        <v>399.524</v>
      </c>
      <c r="F3804" s="36">
        <v>5.7000000000016399E-2</v>
      </c>
      <c r="G3804" s="34">
        <v>5.7000000000016399E-2</v>
      </c>
      <c r="H3804" s="35">
        <v>895.9</v>
      </c>
      <c r="I3804" s="37">
        <f t="shared" si="59"/>
        <v>9.2040107666070806E-2</v>
      </c>
      <c r="J3804" s="33" t="s">
        <v>116</v>
      </c>
    </row>
    <row r="3805" spans="1:10">
      <c r="A3805" s="33" t="s">
        <v>27</v>
      </c>
      <c r="B3805" s="34">
        <v>399.46699999999998</v>
      </c>
      <c r="C3805" s="35">
        <v>9733.7999999999993</v>
      </c>
      <c r="D3805" s="33" t="s">
        <v>84</v>
      </c>
      <c r="E3805" s="34">
        <v>399.52600000000001</v>
      </c>
      <c r="F3805" s="36">
        <v>5.8999999999999997E-2</v>
      </c>
      <c r="G3805" s="34">
        <v>5.8999999999999997E-2</v>
      </c>
      <c r="H3805" s="35">
        <v>314.5</v>
      </c>
      <c r="I3805" s="37">
        <f t="shared" si="59"/>
        <v>3.2310094721485959E-2</v>
      </c>
      <c r="J3805" s="33" t="s">
        <v>116</v>
      </c>
    </row>
    <row r="3806" spans="1:10">
      <c r="A3806" s="33" t="s">
        <v>27</v>
      </c>
      <c r="B3806" s="34">
        <v>399.46699999999998</v>
      </c>
      <c r="C3806" s="35">
        <v>9733.7999999999993</v>
      </c>
      <c r="D3806" s="33" t="s">
        <v>54</v>
      </c>
      <c r="E3806" s="34">
        <v>399.53</v>
      </c>
      <c r="F3806" s="36">
        <v>6.2999999999988204E-2</v>
      </c>
      <c r="G3806" s="34">
        <v>6.2999999999988204E-2</v>
      </c>
      <c r="H3806" s="35">
        <v>1435</v>
      </c>
      <c r="I3806" s="37">
        <f t="shared" si="59"/>
        <v>0.14742443855431589</v>
      </c>
      <c r="J3806" s="33"/>
    </row>
    <row r="3807" spans="1:10">
      <c r="A3807" s="33" t="s">
        <v>27</v>
      </c>
      <c r="B3807" s="34">
        <v>399.46699999999998</v>
      </c>
      <c r="C3807" s="35">
        <v>9733.7999999999993</v>
      </c>
      <c r="D3807" s="33" t="s">
        <v>25</v>
      </c>
      <c r="E3807" s="34">
        <v>399.54199999999997</v>
      </c>
      <c r="F3807" s="36">
        <v>7.4999999999988604E-2</v>
      </c>
      <c r="G3807" s="34">
        <v>7.4999999999988604E-2</v>
      </c>
      <c r="H3807" s="35">
        <v>155.4</v>
      </c>
      <c r="I3807" s="37">
        <f t="shared" si="59"/>
        <v>1.5964987980028357E-2</v>
      </c>
      <c r="J3807" s="33" t="s">
        <v>116</v>
      </c>
    </row>
    <row r="3808" spans="1:10">
      <c r="A3808" s="33" t="s">
        <v>27</v>
      </c>
      <c r="B3808" s="34">
        <v>399.46699999999998</v>
      </c>
      <c r="C3808" s="35">
        <v>9733.7999999999993</v>
      </c>
      <c r="D3808" s="33" t="s">
        <v>282</v>
      </c>
      <c r="E3808" s="34">
        <v>399.56</v>
      </c>
      <c r="F3808" s="36">
        <v>9.3000000000017694E-2</v>
      </c>
      <c r="G3808" s="34">
        <v>9.3000000000017694E-2</v>
      </c>
      <c r="H3808" s="35">
        <v>48.2</v>
      </c>
      <c r="I3808" s="37">
        <f t="shared" si="59"/>
        <v>4.9518173786188341E-3</v>
      </c>
      <c r="J3808" s="33"/>
    </row>
    <row r="3809" spans="1:10">
      <c r="A3809" s="33" t="s">
        <v>27</v>
      </c>
      <c r="B3809" s="34">
        <v>399.46699999999998</v>
      </c>
      <c r="C3809" s="35">
        <v>9733.7999999999993</v>
      </c>
      <c r="D3809" s="33" t="s">
        <v>133</v>
      </c>
      <c r="E3809" s="34">
        <v>399.57499999999999</v>
      </c>
      <c r="F3809" s="36">
        <v>0.108000000000004</v>
      </c>
      <c r="G3809" s="34">
        <v>0.108000000000004</v>
      </c>
      <c r="H3809" s="35">
        <v>61003.199999999997</v>
      </c>
      <c r="I3809" s="37">
        <f t="shared" si="59"/>
        <v>6.2671515749244904</v>
      </c>
      <c r="J3809" s="33"/>
    </row>
    <row r="3810" spans="1:10">
      <c r="A3810" s="33" t="s">
        <v>27</v>
      </c>
      <c r="B3810" s="34">
        <v>399.46699999999998</v>
      </c>
      <c r="C3810" s="35">
        <v>9733.7999999999993</v>
      </c>
      <c r="D3810" s="33" t="s">
        <v>173</v>
      </c>
      <c r="E3810" s="34">
        <v>399.58300000000003</v>
      </c>
      <c r="F3810" s="36">
        <v>0.116000000000042</v>
      </c>
      <c r="G3810" s="34">
        <v>0.116000000000042</v>
      </c>
      <c r="H3810" s="35">
        <v>1596.3</v>
      </c>
      <c r="I3810" s="37">
        <f t="shared" si="59"/>
        <v>0.16399556185662331</v>
      </c>
      <c r="J3810" s="33"/>
    </row>
    <row r="3811" spans="1:10">
      <c r="A3811" s="33" t="s">
        <v>27</v>
      </c>
      <c r="B3811" s="34">
        <v>399.46699999999998</v>
      </c>
      <c r="C3811" s="35">
        <v>9733.7999999999993</v>
      </c>
      <c r="D3811" s="33" t="s">
        <v>277</v>
      </c>
      <c r="E3811" s="34">
        <v>399.59699999999998</v>
      </c>
      <c r="F3811" s="36">
        <v>0.12999999999999601</v>
      </c>
      <c r="G3811" s="34">
        <v>0.12999999999999601</v>
      </c>
      <c r="H3811" s="35">
        <v>133.30000000000001</v>
      </c>
      <c r="I3811" s="37">
        <f t="shared" si="59"/>
        <v>1.3694548891491506E-2</v>
      </c>
      <c r="J3811" s="33"/>
    </row>
    <row r="3812" spans="1:10">
      <c r="A3812" s="33" t="s">
        <v>27</v>
      </c>
      <c r="B3812" s="34">
        <v>399.46699999999998</v>
      </c>
      <c r="C3812" s="35">
        <v>9733.7999999999993</v>
      </c>
      <c r="D3812" s="33" t="s">
        <v>280</v>
      </c>
      <c r="E3812" s="34">
        <v>399.59800000000001</v>
      </c>
      <c r="F3812" s="36">
        <v>0.13100000000002901</v>
      </c>
      <c r="G3812" s="34">
        <v>0.13100000000002901</v>
      </c>
      <c r="H3812" s="35">
        <v>242.8</v>
      </c>
      <c r="I3812" s="37">
        <f t="shared" si="59"/>
        <v>2.4944009533789478E-2</v>
      </c>
      <c r="J3812" s="33"/>
    </row>
    <row r="3813" spans="1:10">
      <c r="A3813" s="33" t="s">
        <v>27</v>
      </c>
      <c r="B3813" s="34">
        <v>399.46699999999998</v>
      </c>
      <c r="C3813" s="35">
        <v>9733.7999999999993</v>
      </c>
      <c r="D3813" s="33" t="s">
        <v>97</v>
      </c>
      <c r="E3813" s="34">
        <v>399.59800000000001</v>
      </c>
      <c r="F3813" s="36">
        <v>0.13100000000002901</v>
      </c>
      <c r="G3813" s="34">
        <v>0.13100000000002901</v>
      </c>
      <c r="H3813" s="35">
        <v>3.1</v>
      </c>
      <c r="I3813" s="37">
        <f t="shared" si="59"/>
        <v>3.1847788119747687E-4</v>
      </c>
      <c r="J3813" s="33"/>
    </row>
    <row r="3814" spans="1:10">
      <c r="A3814" s="33" t="s">
        <v>27</v>
      </c>
      <c r="B3814" s="34">
        <v>399.46699999999998</v>
      </c>
      <c r="C3814" s="35">
        <v>9733.7999999999993</v>
      </c>
      <c r="D3814" s="33" t="s">
        <v>268</v>
      </c>
      <c r="E3814" s="34">
        <v>399.59800000000001</v>
      </c>
      <c r="F3814" s="36">
        <v>0.13100000000002901</v>
      </c>
      <c r="G3814" s="34">
        <v>0.13100000000002901</v>
      </c>
      <c r="H3814" s="35">
        <v>447</v>
      </c>
      <c r="I3814" s="37">
        <f t="shared" si="59"/>
        <v>4.5922455772668437E-2</v>
      </c>
      <c r="J3814" s="33"/>
    </row>
    <row r="3815" spans="1:10">
      <c r="A3815" s="33" t="s">
        <v>27</v>
      </c>
      <c r="B3815" s="34">
        <v>399.46699999999998</v>
      </c>
      <c r="C3815" s="35">
        <v>9733.7999999999993</v>
      </c>
      <c r="D3815" s="33" t="s">
        <v>271</v>
      </c>
      <c r="E3815" s="34">
        <v>399.60599999999999</v>
      </c>
      <c r="F3815" s="36">
        <v>0.13900000000001</v>
      </c>
      <c r="G3815" s="34">
        <v>0.13900000000001</v>
      </c>
      <c r="H3815" s="35">
        <v>1656</v>
      </c>
      <c r="I3815" s="37">
        <f t="shared" si="59"/>
        <v>0.17012882943968441</v>
      </c>
      <c r="J3815" s="33"/>
    </row>
    <row r="3816" spans="1:10">
      <c r="A3816" s="33" t="s">
        <v>27</v>
      </c>
      <c r="B3816" s="34">
        <v>399.46699999999998</v>
      </c>
      <c r="C3816" s="35">
        <v>9733.7999999999993</v>
      </c>
      <c r="D3816" s="33" t="s">
        <v>240</v>
      </c>
      <c r="E3816" s="34">
        <v>399.608</v>
      </c>
      <c r="F3816" s="36">
        <v>0.14100000000002</v>
      </c>
      <c r="G3816" s="34">
        <v>0.14100000000002</v>
      </c>
      <c r="H3816" s="35">
        <v>27</v>
      </c>
      <c r="I3816" s="37">
        <f t="shared" si="59"/>
        <v>2.7738396104296371E-3</v>
      </c>
      <c r="J3816" s="33"/>
    </row>
    <row r="3817" spans="1:10">
      <c r="A3817" s="33" t="s">
        <v>27</v>
      </c>
      <c r="B3817" s="34">
        <v>399.46699999999998</v>
      </c>
      <c r="C3817" s="35">
        <v>9733.7999999999993</v>
      </c>
      <c r="D3817" s="33" t="s">
        <v>94</v>
      </c>
      <c r="E3817" s="34">
        <v>399.61500000000001</v>
      </c>
      <c r="F3817" s="36">
        <v>0.14799999999999999</v>
      </c>
      <c r="G3817" s="34">
        <v>0.14799999999999999</v>
      </c>
      <c r="H3817" s="35">
        <v>108.4</v>
      </c>
      <c r="I3817" s="37">
        <f t="shared" si="59"/>
        <v>1.1136452361873063E-2</v>
      </c>
      <c r="J3817" s="33" t="s">
        <v>116</v>
      </c>
    </row>
    <row r="3818" spans="1:10">
      <c r="A3818" s="33" t="s">
        <v>27</v>
      </c>
      <c r="B3818" s="34">
        <v>401.22399999999999</v>
      </c>
      <c r="C3818" s="35">
        <v>21334.9</v>
      </c>
      <c r="D3818" s="33" t="s">
        <v>201</v>
      </c>
      <c r="E3818" s="34">
        <v>401.00400000000002</v>
      </c>
      <c r="F3818" s="36">
        <v>0.21999999999997</v>
      </c>
      <c r="G3818" s="34">
        <v>0.21999999999997</v>
      </c>
      <c r="H3818" s="35">
        <v>73</v>
      </c>
      <c r="I3818" s="37">
        <f t="shared" si="59"/>
        <v>3.4216237245077311E-3</v>
      </c>
      <c r="J3818" s="33"/>
    </row>
    <row r="3819" spans="1:10">
      <c r="A3819" s="33" t="s">
        <v>27</v>
      </c>
      <c r="B3819" s="34">
        <v>401.22399999999999</v>
      </c>
      <c r="C3819" s="35">
        <v>21334.9</v>
      </c>
      <c r="D3819" s="33" t="s">
        <v>33</v>
      </c>
      <c r="E3819" s="34">
        <v>401.00599999999997</v>
      </c>
      <c r="F3819" s="36">
        <v>0.21800000000001801</v>
      </c>
      <c r="G3819" s="34">
        <v>0.21800000000001801</v>
      </c>
      <c r="H3819" s="35">
        <v>303.89999999999998</v>
      </c>
      <c r="I3819" s="37">
        <f t="shared" si="59"/>
        <v>1.4244266436683554E-2</v>
      </c>
      <c r="J3819" s="33" t="s">
        <v>116</v>
      </c>
    </row>
    <row r="3820" spans="1:10">
      <c r="A3820" s="33" t="s">
        <v>27</v>
      </c>
      <c r="B3820" s="34">
        <v>401.22399999999999</v>
      </c>
      <c r="C3820" s="35">
        <v>21334.9</v>
      </c>
      <c r="D3820" s="33" t="s">
        <v>54</v>
      </c>
      <c r="E3820" s="34">
        <v>401.00700000000001</v>
      </c>
      <c r="F3820" s="36">
        <v>0.21699999999998501</v>
      </c>
      <c r="G3820" s="34">
        <v>0.21699999999998501</v>
      </c>
      <c r="H3820" s="35">
        <v>1.3</v>
      </c>
      <c r="I3820" s="37">
        <f t="shared" si="59"/>
        <v>6.0933025230959602E-5</v>
      </c>
      <c r="J3820" s="33"/>
    </row>
    <row r="3821" spans="1:10">
      <c r="A3821" s="33" t="s">
        <v>27</v>
      </c>
      <c r="B3821" s="34">
        <v>401.22399999999999</v>
      </c>
      <c r="C3821" s="35">
        <v>21334.9</v>
      </c>
      <c r="D3821" s="33" t="s">
        <v>25</v>
      </c>
      <c r="E3821" s="34">
        <v>401.01400000000001</v>
      </c>
      <c r="F3821" s="36">
        <v>0.20999999999998001</v>
      </c>
      <c r="G3821" s="34">
        <v>0.20999999999998001</v>
      </c>
      <c r="H3821" s="35">
        <v>358.3</v>
      </c>
      <c r="I3821" s="37">
        <f t="shared" si="59"/>
        <v>1.6794079184809865E-2</v>
      </c>
      <c r="J3821" s="33" t="s">
        <v>116</v>
      </c>
    </row>
    <row r="3822" spans="1:10">
      <c r="A3822" s="33" t="s">
        <v>27</v>
      </c>
      <c r="B3822" s="34">
        <v>401.22399999999999</v>
      </c>
      <c r="C3822" s="35">
        <v>21334.9</v>
      </c>
      <c r="D3822" s="33" t="s">
        <v>274</v>
      </c>
      <c r="E3822" s="34">
        <v>401.03800000000001</v>
      </c>
      <c r="F3822" s="36">
        <v>0.18599999999997899</v>
      </c>
      <c r="G3822" s="34">
        <v>0.18599999999997899</v>
      </c>
      <c r="H3822" s="35">
        <v>42</v>
      </c>
      <c r="I3822" s="37">
        <f t="shared" si="59"/>
        <v>1.9686054305386945E-3</v>
      </c>
      <c r="J3822" s="33"/>
    </row>
    <row r="3823" spans="1:10">
      <c r="A3823" s="33" t="s">
        <v>27</v>
      </c>
      <c r="B3823" s="34">
        <v>401.22399999999999</v>
      </c>
      <c r="C3823" s="35">
        <v>21334.9</v>
      </c>
      <c r="D3823" s="33" t="s">
        <v>27</v>
      </c>
      <c r="E3823" s="34">
        <v>401.04500000000002</v>
      </c>
      <c r="F3823" s="36">
        <v>0.17899999999997401</v>
      </c>
      <c r="G3823" s="34">
        <v>0.17899999999997401</v>
      </c>
      <c r="H3823" s="35">
        <v>470.4</v>
      </c>
      <c r="I3823" s="37">
        <f t="shared" si="59"/>
        <v>2.2048380822033378E-2</v>
      </c>
      <c r="J3823" s="33" t="s">
        <v>116</v>
      </c>
    </row>
    <row r="3824" spans="1:10">
      <c r="A3824" s="33" t="s">
        <v>27</v>
      </c>
      <c r="B3824" s="34">
        <v>401.22399999999999</v>
      </c>
      <c r="C3824" s="35">
        <v>21334.9</v>
      </c>
      <c r="D3824" s="33" t="s">
        <v>173</v>
      </c>
      <c r="E3824" s="34">
        <v>401.06</v>
      </c>
      <c r="F3824" s="36">
        <v>0.16399999999998699</v>
      </c>
      <c r="G3824" s="34">
        <v>0.16399999999998699</v>
      </c>
      <c r="H3824" s="35">
        <v>2390.3000000000002</v>
      </c>
      <c r="I3824" s="37">
        <f t="shared" si="59"/>
        <v>0.11203708477658672</v>
      </c>
      <c r="J3824" s="33"/>
    </row>
    <row r="3825" spans="1:10">
      <c r="A3825" s="33" t="s">
        <v>27</v>
      </c>
      <c r="B3825" s="34">
        <v>401.22399999999999</v>
      </c>
      <c r="C3825" s="35">
        <v>21334.9</v>
      </c>
      <c r="D3825" s="33" t="s">
        <v>27</v>
      </c>
      <c r="E3825" s="34">
        <v>401.10599999999999</v>
      </c>
      <c r="F3825" s="36">
        <v>0.117999999999995</v>
      </c>
      <c r="G3825" s="34">
        <v>0.117999999999995</v>
      </c>
      <c r="H3825" s="35">
        <v>801.4</v>
      </c>
      <c r="I3825" s="37">
        <f t="shared" si="59"/>
        <v>3.7562866476993091E-2</v>
      </c>
      <c r="J3825" s="33" t="s">
        <v>116</v>
      </c>
    </row>
    <row r="3826" spans="1:10">
      <c r="A3826" s="33" t="s">
        <v>27</v>
      </c>
      <c r="B3826" s="34">
        <v>401.22399999999999</v>
      </c>
      <c r="C3826" s="35">
        <v>21334.9</v>
      </c>
      <c r="D3826" s="33" t="s">
        <v>33</v>
      </c>
      <c r="E3826" s="34">
        <v>401.12799999999999</v>
      </c>
      <c r="F3826" s="36">
        <v>9.6000000000003596E-2</v>
      </c>
      <c r="G3826" s="34">
        <v>9.6000000000003596E-2</v>
      </c>
      <c r="H3826" s="35">
        <v>752.7</v>
      </c>
      <c r="I3826" s="37">
        <f t="shared" si="59"/>
        <v>3.5280221608725612E-2</v>
      </c>
      <c r="J3826" s="33" t="s">
        <v>116</v>
      </c>
    </row>
    <row r="3827" spans="1:10">
      <c r="A3827" s="33" t="s">
        <v>27</v>
      </c>
      <c r="B3827" s="34">
        <v>401.22399999999999</v>
      </c>
      <c r="C3827" s="35">
        <v>21334.9</v>
      </c>
      <c r="D3827" s="33" t="s">
        <v>277</v>
      </c>
      <c r="E3827" s="34">
        <v>401.14499999999998</v>
      </c>
      <c r="F3827" s="36">
        <v>7.9000000000007703E-2</v>
      </c>
      <c r="G3827" s="34">
        <v>7.9000000000007703E-2</v>
      </c>
      <c r="H3827" s="35">
        <v>84.3</v>
      </c>
      <c r="I3827" s="37">
        <f t="shared" si="59"/>
        <v>3.9512723284383803E-3</v>
      </c>
      <c r="J3827" s="33"/>
    </row>
    <row r="3828" spans="1:10">
      <c r="A3828" s="33" t="s">
        <v>27</v>
      </c>
      <c r="B3828" s="34">
        <v>401.22399999999999</v>
      </c>
      <c r="C3828" s="35">
        <v>21334.9</v>
      </c>
      <c r="D3828" s="33" t="s">
        <v>25</v>
      </c>
      <c r="E3828" s="34">
        <v>401.15600000000001</v>
      </c>
      <c r="F3828" s="36">
        <v>6.7999999999983601E-2</v>
      </c>
      <c r="G3828" s="34">
        <v>6.7999999999983601E-2</v>
      </c>
      <c r="H3828" s="35">
        <v>225.6</v>
      </c>
      <c r="I3828" s="37">
        <f t="shared" si="59"/>
        <v>1.0574223455464988E-2</v>
      </c>
      <c r="J3828" s="33" t="s">
        <v>116</v>
      </c>
    </row>
    <row r="3829" spans="1:10">
      <c r="A3829" s="33" t="s">
        <v>27</v>
      </c>
      <c r="B3829" s="34">
        <v>401.22399999999999</v>
      </c>
      <c r="C3829" s="35">
        <v>21334.9</v>
      </c>
      <c r="D3829" s="33" t="s">
        <v>280</v>
      </c>
      <c r="E3829" s="34">
        <v>401.16800000000001</v>
      </c>
      <c r="F3829" s="36">
        <v>5.5999999999983202E-2</v>
      </c>
      <c r="G3829" s="34">
        <v>5.5999999999983202E-2</v>
      </c>
      <c r="H3829" s="35">
        <v>955.9</v>
      </c>
      <c r="I3829" s="37">
        <f t="shared" si="59"/>
        <v>4.4804522167903288E-2</v>
      </c>
      <c r="J3829" s="33"/>
    </row>
    <row r="3830" spans="1:10">
      <c r="A3830" s="33" t="s">
        <v>27</v>
      </c>
      <c r="B3830" s="34">
        <v>401.22399999999999</v>
      </c>
      <c r="C3830" s="35">
        <v>21334.9</v>
      </c>
      <c r="D3830" s="33" t="s">
        <v>270</v>
      </c>
      <c r="E3830" s="34">
        <v>401.17200000000003</v>
      </c>
      <c r="F3830" s="36">
        <v>5.1999999999964103E-2</v>
      </c>
      <c r="G3830" s="34">
        <v>5.1999999999964103E-2</v>
      </c>
      <c r="H3830" s="35">
        <v>143.69999999999999</v>
      </c>
      <c r="I3830" s="37">
        <f t="shared" si="59"/>
        <v>6.7354428659145331E-3</v>
      </c>
      <c r="J3830" s="33"/>
    </row>
    <row r="3831" spans="1:10">
      <c r="A3831" s="33" t="s">
        <v>27</v>
      </c>
      <c r="B3831" s="34">
        <v>401.22399999999999</v>
      </c>
      <c r="C3831" s="35">
        <v>21334.9</v>
      </c>
      <c r="D3831" s="33" t="s">
        <v>271</v>
      </c>
      <c r="E3831" s="34">
        <v>401.17399999999998</v>
      </c>
      <c r="F3831" s="36">
        <v>5.0000000000011403E-2</v>
      </c>
      <c r="G3831" s="34">
        <v>5.0000000000011403E-2</v>
      </c>
      <c r="H3831" s="35">
        <v>205.2</v>
      </c>
      <c r="I3831" s="37">
        <f t="shared" si="59"/>
        <v>9.6180436749176215E-3</v>
      </c>
      <c r="J3831" s="33"/>
    </row>
    <row r="3832" spans="1:10">
      <c r="A3832" s="33" t="s">
        <v>27</v>
      </c>
      <c r="B3832" s="34">
        <v>401.22399999999999</v>
      </c>
      <c r="C3832" s="35">
        <v>21334.9</v>
      </c>
      <c r="D3832" s="33" t="s">
        <v>240</v>
      </c>
      <c r="E3832" s="34">
        <v>401.19</v>
      </c>
      <c r="F3832" s="36">
        <v>3.3999999999991801E-2</v>
      </c>
      <c r="G3832" s="34">
        <v>3.3999999999991801E-2</v>
      </c>
      <c r="H3832" s="35">
        <v>25</v>
      </c>
      <c r="I3832" s="37">
        <f t="shared" si="59"/>
        <v>1.1717889467492231E-3</v>
      </c>
      <c r="J3832" s="33"/>
    </row>
    <row r="3833" spans="1:10">
      <c r="A3833" s="33" t="s">
        <v>27</v>
      </c>
      <c r="B3833" s="34">
        <v>401.22399999999999</v>
      </c>
      <c r="C3833" s="35">
        <v>21334.9</v>
      </c>
      <c r="D3833" s="33" t="s">
        <v>133</v>
      </c>
      <c r="E3833" s="34">
        <v>401.19299999999998</v>
      </c>
      <c r="F3833" s="36">
        <v>3.1000000000005901E-2</v>
      </c>
      <c r="G3833" s="34">
        <v>3.1000000000005901E-2</v>
      </c>
      <c r="H3833" s="35">
        <v>116.1</v>
      </c>
      <c r="I3833" s="37">
        <f t="shared" si="59"/>
        <v>5.4417878687033914E-3</v>
      </c>
      <c r="J3833" s="33"/>
    </row>
    <row r="3834" spans="1:10">
      <c r="A3834" s="33" t="s">
        <v>27</v>
      </c>
      <c r="B3834" s="34">
        <v>401.22399999999999</v>
      </c>
      <c r="C3834" s="35">
        <v>21334.9</v>
      </c>
      <c r="D3834" s="33" t="s">
        <v>84</v>
      </c>
      <c r="E3834" s="34">
        <v>401.19600000000003</v>
      </c>
      <c r="F3834" s="36">
        <v>2.8000000000000001E-2</v>
      </c>
      <c r="G3834" s="34">
        <v>2.8000000000000001E-2</v>
      </c>
      <c r="H3834" s="35">
        <v>69.8</v>
      </c>
      <c r="I3834" s="37">
        <f t="shared" si="59"/>
        <v>3.2716347393238307E-3</v>
      </c>
      <c r="J3834" s="33" t="s">
        <v>116</v>
      </c>
    </row>
    <row r="3835" spans="1:10">
      <c r="A3835" s="33" t="s">
        <v>27</v>
      </c>
      <c r="B3835" s="34">
        <v>401.22399999999999</v>
      </c>
      <c r="C3835" s="35">
        <v>21334.9</v>
      </c>
      <c r="D3835" s="33" t="s">
        <v>273</v>
      </c>
      <c r="E3835" s="34">
        <v>401.20499999999998</v>
      </c>
      <c r="F3835" s="36">
        <v>1.9000000000005499E-2</v>
      </c>
      <c r="G3835" s="34">
        <v>1.9000000000005499E-2</v>
      </c>
      <c r="H3835" s="35">
        <v>90</v>
      </c>
      <c r="I3835" s="37">
        <f t="shared" si="59"/>
        <v>4.2184402082972028E-3</v>
      </c>
      <c r="J3835" s="33"/>
    </row>
    <row r="3836" spans="1:10">
      <c r="A3836" s="33" t="s">
        <v>27</v>
      </c>
      <c r="B3836" s="34">
        <v>401.22399999999999</v>
      </c>
      <c r="C3836" s="35">
        <v>21334.9</v>
      </c>
      <c r="D3836" s="33" t="s">
        <v>54</v>
      </c>
      <c r="E3836" s="34">
        <v>401.214</v>
      </c>
      <c r="F3836" s="36">
        <v>9.9999999999909103E-3</v>
      </c>
      <c r="G3836" s="34">
        <v>9.9999999999909103E-3</v>
      </c>
      <c r="H3836" s="35">
        <v>1.2</v>
      </c>
      <c r="I3836" s="37">
        <f t="shared" si="59"/>
        <v>5.6245869443962702E-5</v>
      </c>
      <c r="J3836" s="33"/>
    </row>
    <row r="3837" spans="1:10">
      <c r="A3837" s="33" t="s">
        <v>27</v>
      </c>
      <c r="B3837" s="34">
        <v>401.22399999999999</v>
      </c>
      <c r="C3837" s="35">
        <v>21334.9</v>
      </c>
      <c r="D3837" s="33" t="s">
        <v>236</v>
      </c>
      <c r="E3837" s="34">
        <v>401.22399999999999</v>
      </c>
      <c r="F3837" s="36">
        <v>0</v>
      </c>
      <c r="G3837" s="34">
        <v>0</v>
      </c>
      <c r="H3837" s="35">
        <v>41.3</v>
      </c>
      <c r="I3837" s="37">
        <f t="shared" si="59"/>
        <v>1.9357953400297163E-3</v>
      </c>
      <c r="J3837" s="33"/>
    </row>
    <row r="3838" spans="1:10">
      <c r="A3838" s="33" t="s">
        <v>27</v>
      </c>
      <c r="B3838" s="34">
        <v>401.22399999999999</v>
      </c>
      <c r="C3838" s="35">
        <v>21334.9</v>
      </c>
      <c r="D3838" s="33" t="s">
        <v>279</v>
      </c>
      <c r="E3838" s="34">
        <v>401.22500000000002</v>
      </c>
      <c r="F3838" s="36">
        <v>1.0000000000332E-3</v>
      </c>
      <c r="G3838" s="34">
        <v>1.0000000000332E-3</v>
      </c>
      <c r="H3838" s="35">
        <v>3.1</v>
      </c>
      <c r="I3838" s="37">
        <f t="shared" si="59"/>
        <v>1.4530182939690367E-4</v>
      </c>
      <c r="J3838" s="33"/>
    </row>
    <row r="3839" spans="1:10">
      <c r="A3839" s="33" t="s">
        <v>27</v>
      </c>
      <c r="B3839" s="34">
        <v>401.22399999999999</v>
      </c>
      <c r="C3839" s="35">
        <v>21334.9</v>
      </c>
      <c r="D3839" s="33" t="s">
        <v>237</v>
      </c>
      <c r="E3839" s="34">
        <v>401.238</v>
      </c>
      <c r="F3839" s="36">
        <v>1.4000000000009999E-2</v>
      </c>
      <c r="G3839" s="34">
        <v>1.4000000000009999E-2</v>
      </c>
      <c r="H3839" s="35">
        <v>548.1</v>
      </c>
      <c r="I3839" s="37">
        <f t="shared" si="59"/>
        <v>2.5690300868529966E-2</v>
      </c>
      <c r="J3839" s="33"/>
    </row>
    <row r="3840" spans="1:10">
      <c r="A3840" s="33" t="s">
        <v>27</v>
      </c>
      <c r="B3840" s="34">
        <v>401.22399999999999</v>
      </c>
      <c r="C3840" s="35">
        <v>21334.9</v>
      </c>
      <c r="D3840" s="33" t="s">
        <v>25</v>
      </c>
      <c r="E3840" s="34">
        <v>401.23899999999998</v>
      </c>
      <c r="F3840" s="36">
        <v>1.4999999999986399E-2</v>
      </c>
      <c r="G3840" s="34">
        <v>1.4999999999986399E-2</v>
      </c>
      <c r="H3840" s="35">
        <v>6120.2</v>
      </c>
      <c r="I3840" s="37">
        <f t="shared" si="59"/>
        <v>0.28686330847578378</v>
      </c>
      <c r="J3840" s="33" t="s">
        <v>116</v>
      </c>
    </row>
    <row r="3841" spans="1:10">
      <c r="A3841" s="33" t="s">
        <v>27</v>
      </c>
      <c r="B3841" s="34">
        <v>401.22399999999999</v>
      </c>
      <c r="C3841" s="35">
        <v>21334.9</v>
      </c>
      <c r="D3841" s="33" t="s">
        <v>239</v>
      </c>
      <c r="E3841" s="34">
        <v>401.24799999999999</v>
      </c>
      <c r="F3841" s="36">
        <v>2.4000000000000899E-2</v>
      </c>
      <c r="G3841" s="34">
        <v>2.4000000000000899E-2</v>
      </c>
      <c r="H3841" s="35">
        <v>26.4</v>
      </c>
      <c r="I3841" s="37">
        <f t="shared" si="59"/>
        <v>1.2374091277671795E-3</v>
      </c>
      <c r="J3841" s="33"/>
    </row>
    <row r="3842" spans="1:10">
      <c r="A3842" s="33" t="s">
        <v>27</v>
      </c>
      <c r="B3842" s="34">
        <v>401.22399999999999</v>
      </c>
      <c r="C3842" s="35">
        <v>21334.9</v>
      </c>
      <c r="D3842" s="33" t="s">
        <v>271</v>
      </c>
      <c r="E3842" s="34">
        <v>401.24900000000002</v>
      </c>
      <c r="F3842" s="36">
        <v>2.5000000000034099E-2</v>
      </c>
      <c r="G3842" s="34">
        <v>2.5000000000034099E-2</v>
      </c>
      <c r="H3842" s="35">
        <v>54.7</v>
      </c>
      <c r="I3842" s="37">
        <f t="shared" ref="I3842:I3905" si="60">H3842/C3842</f>
        <v>2.5638742154873002E-3</v>
      </c>
      <c r="J3842" s="33"/>
    </row>
    <row r="3843" spans="1:10">
      <c r="A3843" s="33" t="s">
        <v>27</v>
      </c>
      <c r="B3843" s="34">
        <v>401.22399999999999</v>
      </c>
      <c r="C3843" s="35">
        <v>21334.9</v>
      </c>
      <c r="D3843" s="33" t="s">
        <v>84</v>
      </c>
      <c r="E3843" s="34">
        <v>401.25299999999999</v>
      </c>
      <c r="F3843" s="36">
        <v>2.9000000000000001E-2</v>
      </c>
      <c r="G3843" s="34">
        <v>2.9000000000000001E-2</v>
      </c>
      <c r="H3843" s="35">
        <v>373</v>
      </c>
      <c r="I3843" s="37">
        <f t="shared" si="60"/>
        <v>1.7483091085498406E-2</v>
      </c>
      <c r="J3843" s="33" t="s">
        <v>116</v>
      </c>
    </row>
    <row r="3844" spans="1:10">
      <c r="A3844" s="33" t="s">
        <v>27</v>
      </c>
      <c r="B3844" s="34">
        <v>401.22399999999999</v>
      </c>
      <c r="C3844" s="35">
        <v>21334.9</v>
      </c>
      <c r="D3844" s="33" t="s">
        <v>276</v>
      </c>
      <c r="E3844" s="34">
        <v>401.25700000000001</v>
      </c>
      <c r="F3844" s="36">
        <v>3.3000000000015503E-2</v>
      </c>
      <c r="G3844" s="34">
        <v>3.3000000000015503E-2</v>
      </c>
      <c r="H3844" s="35">
        <v>0.7</v>
      </c>
      <c r="I3844" s="37">
        <f t="shared" si="60"/>
        <v>3.2810090508978241E-5</v>
      </c>
      <c r="J3844" s="33"/>
    </row>
    <row r="3845" spans="1:10">
      <c r="A3845" s="33" t="s">
        <v>27</v>
      </c>
      <c r="B3845" s="34">
        <v>401.22399999999999</v>
      </c>
      <c r="C3845" s="35">
        <v>21334.9</v>
      </c>
      <c r="D3845" s="33" t="s">
        <v>27</v>
      </c>
      <c r="E3845" s="34">
        <v>401.27</v>
      </c>
      <c r="F3845" s="36">
        <v>4.5999999999992297E-2</v>
      </c>
      <c r="G3845" s="34">
        <v>4.5999999999992297E-2</v>
      </c>
      <c r="H3845" s="35">
        <v>1887.7</v>
      </c>
      <c r="I3845" s="37">
        <f t="shared" si="60"/>
        <v>8.8479439791140341E-2</v>
      </c>
      <c r="J3845" s="33" t="s">
        <v>116</v>
      </c>
    </row>
    <row r="3846" spans="1:10">
      <c r="A3846" s="33" t="s">
        <v>27</v>
      </c>
      <c r="B3846" s="34">
        <v>401.22399999999999</v>
      </c>
      <c r="C3846" s="35">
        <v>21334.9</v>
      </c>
      <c r="D3846" s="33" t="s">
        <v>201</v>
      </c>
      <c r="E3846" s="34">
        <v>401.27199999999999</v>
      </c>
      <c r="F3846" s="36">
        <v>4.8000000000001798E-2</v>
      </c>
      <c r="G3846" s="34">
        <v>4.8000000000001798E-2</v>
      </c>
      <c r="H3846" s="35">
        <v>1900.1</v>
      </c>
      <c r="I3846" s="37">
        <f t="shared" si="60"/>
        <v>8.9060647108727936E-2</v>
      </c>
      <c r="J3846" s="33"/>
    </row>
    <row r="3847" spans="1:10">
      <c r="A3847" s="33" t="s">
        <v>27</v>
      </c>
      <c r="B3847" s="34">
        <v>401.22399999999999</v>
      </c>
      <c r="C3847" s="35">
        <v>21334.9</v>
      </c>
      <c r="D3847" s="33" t="s">
        <v>280</v>
      </c>
      <c r="E3847" s="34">
        <v>401.27699999999999</v>
      </c>
      <c r="F3847" s="36">
        <v>5.2999999999997299E-2</v>
      </c>
      <c r="G3847" s="34">
        <v>5.2999999999997299E-2</v>
      </c>
      <c r="H3847" s="35">
        <v>447.3</v>
      </c>
      <c r="I3847" s="37">
        <f t="shared" si="60"/>
        <v>2.0965647835237099E-2</v>
      </c>
      <c r="J3847" s="33"/>
    </row>
    <row r="3848" spans="1:10">
      <c r="A3848" s="33" t="s">
        <v>27</v>
      </c>
      <c r="B3848" s="34">
        <v>401.22399999999999</v>
      </c>
      <c r="C3848" s="35">
        <v>21334.9</v>
      </c>
      <c r="D3848" s="33" t="s">
        <v>193</v>
      </c>
      <c r="E3848" s="34">
        <v>401.31799999999998</v>
      </c>
      <c r="F3848" s="36">
        <v>9.3999999999994102E-2</v>
      </c>
      <c r="G3848" s="34">
        <v>9.3999999999994102E-2</v>
      </c>
      <c r="H3848" s="35">
        <v>9.6999999999999993</v>
      </c>
      <c r="I3848" s="37">
        <f t="shared" si="60"/>
        <v>4.5465411133869849E-4</v>
      </c>
      <c r="J3848" s="33"/>
    </row>
    <row r="3849" spans="1:10">
      <c r="A3849" s="33" t="s">
        <v>27</v>
      </c>
      <c r="B3849" s="34">
        <v>401.22399999999999</v>
      </c>
      <c r="C3849" s="35">
        <v>21334.9</v>
      </c>
      <c r="D3849" s="33" t="s">
        <v>27</v>
      </c>
      <c r="E3849" s="34">
        <v>401.322</v>
      </c>
      <c r="F3849" s="36">
        <v>9.8000000000013202E-2</v>
      </c>
      <c r="G3849" s="34">
        <v>9.8000000000013202E-2</v>
      </c>
      <c r="H3849" s="35">
        <v>649.1</v>
      </c>
      <c r="I3849" s="37">
        <f t="shared" si="60"/>
        <v>3.0424328213396828E-2</v>
      </c>
      <c r="J3849" s="33" t="s">
        <v>116</v>
      </c>
    </row>
    <row r="3850" spans="1:10">
      <c r="A3850" s="33" t="s">
        <v>27</v>
      </c>
      <c r="B3850" s="34">
        <v>401.22399999999999</v>
      </c>
      <c r="C3850" s="35">
        <v>21334.9</v>
      </c>
      <c r="D3850" s="33" t="s">
        <v>273</v>
      </c>
      <c r="E3850" s="34">
        <v>401.32600000000002</v>
      </c>
      <c r="F3850" s="36">
        <v>0.102000000000032</v>
      </c>
      <c r="G3850" s="34">
        <v>0.102000000000032</v>
      </c>
      <c r="H3850" s="35">
        <v>21.1</v>
      </c>
      <c r="I3850" s="37">
        <f t="shared" si="60"/>
        <v>9.8898987105634426E-4</v>
      </c>
      <c r="J3850" s="33"/>
    </row>
    <row r="3851" spans="1:10">
      <c r="A3851" s="33" t="s">
        <v>27</v>
      </c>
      <c r="B3851" s="34">
        <v>401.22399999999999</v>
      </c>
      <c r="C3851" s="35">
        <v>21334.9</v>
      </c>
      <c r="D3851" s="33" t="s">
        <v>173</v>
      </c>
      <c r="E3851" s="34">
        <v>401.33699999999999</v>
      </c>
      <c r="F3851" s="36">
        <v>0.113</v>
      </c>
      <c r="G3851" s="34">
        <v>0.113</v>
      </c>
      <c r="H3851" s="35">
        <v>685.5</v>
      </c>
      <c r="I3851" s="37">
        <f t="shared" si="60"/>
        <v>3.2130452919863696E-2</v>
      </c>
      <c r="J3851" s="33"/>
    </row>
    <row r="3852" spans="1:10">
      <c r="A3852" s="33" t="s">
        <v>27</v>
      </c>
      <c r="B3852" s="34">
        <v>401.22399999999999</v>
      </c>
      <c r="C3852" s="35">
        <v>21334.9</v>
      </c>
      <c r="D3852" s="33" t="s">
        <v>268</v>
      </c>
      <c r="E3852" s="34">
        <v>401.35</v>
      </c>
      <c r="F3852" s="36">
        <v>0.126000000000033</v>
      </c>
      <c r="G3852" s="34">
        <v>0.126000000000033</v>
      </c>
      <c r="H3852" s="35">
        <v>44</v>
      </c>
      <c r="I3852" s="37">
        <f t="shared" si="60"/>
        <v>2.0623485462786324E-3</v>
      </c>
      <c r="J3852" s="33"/>
    </row>
    <row r="3853" spans="1:10">
      <c r="A3853" s="33" t="s">
        <v>27</v>
      </c>
      <c r="B3853" s="34">
        <v>401.22399999999999</v>
      </c>
      <c r="C3853" s="35">
        <v>21334.9</v>
      </c>
      <c r="D3853" s="33" t="s">
        <v>36</v>
      </c>
      <c r="E3853" s="34">
        <v>401.37900000000002</v>
      </c>
      <c r="F3853" s="36">
        <v>0.155</v>
      </c>
      <c r="G3853" s="34">
        <v>0.155</v>
      </c>
      <c r="H3853" s="35">
        <v>1076</v>
      </c>
      <c r="I3853" s="37">
        <f t="shared" si="60"/>
        <v>5.0433796268086556E-2</v>
      </c>
      <c r="J3853" s="33" t="s">
        <v>116</v>
      </c>
    </row>
    <row r="3854" spans="1:10">
      <c r="A3854" s="33" t="s">
        <v>27</v>
      </c>
      <c r="B3854" s="34">
        <v>401.22399999999999</v>
      </c>
      <c r="C3854" s="35">
        <v>21334.9</v>
      </c>
      <c r="D3854" s="33" t="s">
        <v>97</v>
      </c>
      <c r="E3854" s="34">
        <v>401.38299999999998</v>
      </c>
      <c r="F3854" s="36">
        <v>0.15899999999999201</v>
      </c>
      <c r="G3854" s="34">
        <v>0.15899999999999201</v>
      </c>
      <c r="H3854" s="35">
        <v>17</v>
      </c>
      <c r="I3854" s="37">
        <f t="shared" si="60"/>
        <v>7.968164837894717E-4</v>
      </c>
      <c r="J3854" s="33"/>
    </row>
    <row r="3855" spans="1:10">
      <c r="A3855" s="33" t="s">
        <v>27</v>
      </c>
      <c r="B3855" s="34">
        <v>401.22399999999999</v>
      </c>
      <c r="C3855" s="35">
        <v>21334.9</v>
      </c>
      <c r="D3855" s="33" t="s">
        <v>54</v>
      </c>
      <c r="E3855" s="34">
        <v>401.39400000000001</v>
      </c>
      <c r="F3855" s="36">
        <v>0.170000000000016</v>
      </c>
      <c r="G3855" s="34">
        <v>0.170000000000016</v>
      </c>
      <c r="H3855" s="35">
        <v>5.7</v>
      </c>
      <c r="I3855" s="37">
        <f t="shared" si="60"/>
        <v>2.6716787985882286E-4</v>
      </c>
      <c r="J3855" s="33"/>
    </row>
    <row r="3856" spans="1:10">
      <c r="A3856" s="33" t="s">
        <v>27</v>
      </c>
      <c r="B3856" s="34">
        <v>401.22399999999999</v>
      </c>
      <c r="C3856" s="35">
        <v>21334.9</v>
      </c>
      <c r="D3856" s="33" t="s">
        <v>277</v>
      </c>
      <c r="E3856" s="34">
        <v>401.416</v>
      </c>
      <c r="F3856" s="36">
        <v>0.192000000000007</v>
      </c>
      <c r="G3856" s="34">
        <v>0.192000000000007</v>
      </c>
      <c r="H3856" s="35">
        <v>104.9</v>
      </c>
      <c r="I3856" s="37">
        <f t="shared" si="60"/>
        <v>4.9168264205597398E-3</v>
      </c>
      <c r="J3856" s="33"/>
    </row>
    <row r="3857" spans="1:10">
      <c r="A3857" s="33" t="s">
        <v>27</v>
      </c>
      <c r="B3857" s="34">
        <v>406.108</v>
      </c>
      <c r="C3857" s="35">
        <v>20406.900000000001</v>
      </c>
      <c r="D3857" s="33" t="s">
        <v>36</v>
      </c>
      <c r="E3857" s="34">
        <v>405.93599999999998</v>
      </c>
      <c r="F3857" s="36">
        <v>0.17199999999999999</v>
      </c>
      <c r="G3857" s="34">
        <v>0.17199999999999999</v>
      </c>
      <c r="H3857" s="35">
        <v>633.6</v>
      </c>
      <c r="I3857" s="37">
        <f t="shared" si="60"/>
        <v>3.1048321891125059E-2</v>
      </c>
      <c r="J3857" s="33" t="s">
        <v>116</v>
      </c>
    </row>
    <row r="3858" spans="1:10">
      <c r="A3858" s="33" t="s">
        <v>27</v>
      </c>
      <c r="B3858" s="34">
        <v>406.108</v>
      </c>
      <c r="C3858" s="35">
        <v>20406.900000000001</v>
      </c>
      <c r="D3858" s="33" t="s">
        <v>25</v>
      </c>
      <c r="E3858" s="34">
        <v>405.93799999999999</v>
      </c>
      <c r="F3858" s="36">
        <v>0.170000000000016</v>
      </c>
      <c r="G3858" s="34">
        <v>0.170000000000016</v>
      </c>
      <c r="H3858" s="35">
        <v>64.2</v>
      </c>
      <c r="I3858" s="37">
        <f t="shared" si="60"/>
        <v>3.1459947370742246E-3</v>
      </c>
      <c r="J3858" s="33" t="s">
        <v>116</v>
      </c>
    </row>
    <row r="3859" spans="1:10">
      <c r="A3859" s="33" t="s">
        <v>27</v>
      </c>
      <c r="B3859" s="34">
        <v>406.108</v>
      </c>
      <c r="C3859" s="35">
        <v>20406.900000000001</v>
      </c>
      <c r="D3859" s="33" t="s">
        <v>240</v>
      </c>
      <c r="E3859" s="34">
        <v>405.93900000000002</v>
      </c>
      <c r="F3859" s="36">
        <v>0.168999999999983</v>
      </c>
      <c r="G3859" s="34">
        <v>0.168999999999983</v>
      </c>
      <c r="H3859" s="35">
        <v>32</v>
      </c>
      <c r="I3859" s="37">
        <f t="shared" si="60"/>
        <v>1.5680970652083362E-3</v>
      </c>
      <c r="J3859" s="33"/>
    </row>
    <row r="3860" spans="1:10">
      <c r="A3860" s="33" t="s">
        <v>27</v>
      </c>
      <c r="B3860" s="34">
        <v>406.108</v>
      </c>
      <c r="C3860" s="35">
        <v>20406.900000000001</v>
      </c>
      <c r="D3860" s="33" t="s">
        <v>273</v>
      </c>
      <c r="E3860" s="34">
        <v>405.95</v>
      </c>
      <c r="F3860" s="36">
        <v>0.15800000000001599</v>
      </c>
      <c r="G3860" s="34">
        <v>0.15800000000001599</v>
      </c>
      <c r="H3860" s="35">
        <v>226.1</v>
      </c>
      <c r="I3860" s="37">
        <f t="shared" si="60"/>
        <v>1.1079585826362651E-2</v>
      </c>
      <c r="J3860" s="33"/>
    </row>
    <row r="3861" spans="1:10">
      <c r="A3861" s="33" t="s">
        <v>27</v>
      </c>
      <c r="B3861" s="34">
        <v>406.108</v>
      </c>
      <c r="C3861" s="35">
        <v>20406.900000000001</v>
      </c>
      <c r="D3861" s="33" t="s">
        <v>84</v>
      </c>
      <c r="E3861" s="34">
        <v>405.976</v>
      </c>
      <c r="F3861" s="36">
        <v>0.13200000000000001</v>
      </c>
      <c r="G3861" s="34">
        <v>0.13200000000000001</v>
      </c>
      <c r="H3861" s="35">
        <v>1651.4</v>
      </c>
      <c r="I3861" s="37">
        <f t="shared" si="60"/>
        <v>8.0923609171407715E-2</v>
      </c>
      <c r="J3861" s="33" t="s">
        <v>116</v>
      </c>
    </row>
    <row r="3862" spans="1:10">
      <c r="A3862" s="33" t="s">
        <v>27</v>
      </c>
      <c r="B3862" s="34">
        <v>406.108</v>
      </c>
      <c r="C3862" s="35">
        <v>20406.900000000001</v>
      </c>
      <c r="D3862" s="33" t="s">
        <v>36</v>
      </c>
      <c r="E3862" s="34">
        <v>405.98700000000002</v>
      </c>
      <c r="F3862" s="36">
        <v>0.120999999999981</v>
      </c>
      <c r="G3862" s="34">
        <v>0.120999999999981</v>
      </c>
      <c r="H3862" s="35">
        <v>50.4</v>
      </c>
      <c r="I3862" s="37">
        <f t="shared" si="60"/>
        <v>2.4697528777031298E-3</v>
      </c>
      <c r="J3862" s="33" t="s">
        <v>116</v>
      </c>
    </row>
    <row r="3863" spans="1:10">
      <c r="A3863" s="33" t="s">
        <v>27</v>
      </c>
      <c r="B3863" s="34">
        <v>406.108</v>
      </c>
      <c r="C3863" s="35">
        <v>20406.900000000001</v>
      </c>
      <c r="D3863" s="33" t="s">
        <v>271</v>
      </c>
      <c r="E3863" s="34">
        <v>405.98899999999998</v>
      </c>
      <c r="F3863" s="36">
        <v>0.119000000000028</v>
      </c>
      <c r="G3863" s="34">
        <v>0.119000000000028</v>
      </c>
      <c r="H3863" s="35">
        <v>142.69999999999999</v>
      </c>
      <c r="I3863" s="37">
        <f t="shared" si="60"/>
        <v>6.9927328501634238E-3</v>
      </c>
      <c r="J3863" s="33"/>
    </row>
    <row r="3864" spans="1:10">
      <c r="A3864" s="33" t="s">
        <v>27</v>
      </c>
      <c r="B3864" s="34">
        <v>406.108</v>
      </c>
      <c r="C3864" s="35">
        <v>20406.900000000001</v>
      </c>
      <c r="D3864" s="33" t="s">
        <v>116</v>
      </c>
      <c r="E3864" s="34">
        <v>405.99400000000003</v>
      </c>
      <c r="F3864" s="36">
        <v>0.114</v>
      </c>
      <c r="G3864" s="34">
        <v>0.114</v>
      </c>
      <c r="H3864" s="35">
        <v>98.8</v>
      </c>
      <c r="I3864" s="37">
        <f t="shared" si="60"/>
        <v>4.8414996888307381E-3</v>
      </c>
      <c r="J3864" s="33" t="s">
        <v>116</v>
      </c>
    </row>
    <row r="3865" spans="1:10">
      <c r="A3865" s="33" t="s">
        <v>27</v>
      </c>
      <c r="B3865" s="34">
        <v>406.108</v>
      </c>
      <c r="C3865" s="35">
        <v>20406.900000000001</v>
      </c>
      <c r="D3865" s="33" t="s">
        <v>27</v>
      </c>
      <c r="E3865" s="34">
        <v>405.995</v>
      </c>
      <c r="F3865" s="36">
        <v>0.113</v>
      </c>
      <c r="G3865" s="34">
        <v>0.113</v>
      </c>
      <c r="H3865" s="35">
        <v>2488</v>
      </c>
      <c r="I3865" s="37">
        <f t="shared" si="60"/>
        <v>0.12191954681994814</v>
      </c>
      <c r="J3865" s="33" t="s">
        <v>116</v>
      </c>
    </row>
    <row r="3866" spans="1:10">
      <c r="A3866" s="33" t="s">
        <v>27</v>
      </c>
      <c r="B3866" s="34">
        <v>406.108</v>
      </c>
      <c r="C3866" s="35">
        <v>20406.900000000001</v>
      </c>
      <c r="D3866" s="33" t="s">
        <v>36</v>
      </c>
      <c r="E3866" s="34">
        <v>405.99700000000001</v>
      </c>
      <c r="F3866" s="36">
        <v>0.111</v>
      </c>
      <c r="G3866" s="34">
        <v>0.111</v>
      </c>
      <c r="H3866" s="35">
        <v>50.4</v>
      </c>
      <c r="I3866" s="37">
        <f t="shared" si="60"/>
        <v>2.4697528777031298E-3</v>
      </c>
      <c r="J3866" s="33" t="s">
        <v>116</v>
      </c>
    </row>
    <row r="3867" spans="1:10">
      <c r="A3867" s="33" t="s">
        <v>27</v>
      </c>
      <c r="B3867" s="34">
        <v>406.108</v>
      </c>
      <c r="C3867" s="35">
        <v>20406.900000000001</v>
      </c>
      <c r="D3867" s="33" t="s">
        <v>277</v>
      </c>
      <c r="E3867" s="34">
        <v>406.01</v>
      </c>
      <c r="F3867" s="36">
        <v>9.8000000000013202E-2</v>
      </c>
      <c r="G3867" s="34">
        <v>9.8000000000013202E-2</v>
      </c>
      <c r="H3867" s="35">
        <v>116.6</v>
      </c>
      <c r="I3867" s="37">
        <f t="shared" si="60"/>
        <v>5.7137536813528754E-3</v>
      </c>
      <c r="J3867" s="33"/>
    </row>
    <row r="3868" spans="1:10">
      <c r="A3868" s="33" t="s">
        <v>27</v>
      </c>
      <c r="B3868" s="34">
        <v>406.108</v>
      </c>
      <c r="C3868" s="35">
        <v>20406.900000000001</v>
      </c>
      <c r="D3868" s="33" t="s">
        <v>237</v>
      </c>
      <c r="E3868" s="34">
        <v>406.02600000000001</v>
      </c>
      <c r="F3868" s="36">
        <v>8.1999999999993606E-2</v>
      </c>
      <c r="G3868" s="34">
        <v>8.1999999999993606E-2</v>
      </c>
      <c r="H3868" s="35">
        <v>87.5</v>
      </c>
      <c r="I3868" s="37">
        <f t="shared" si="60"/>
        <v>4.2877654126790444E-3</v>
      </c>
      <c r="J3868" s="33"/>
    </row>
    <row r="3869" spans="1:10">
      <c r="A3869" s="33" t="s">
        <v>27</v>
      </c>
      <c r="B3869" s="34">
        <v>406.108</v>
      </c>
      <c r="C3869" s="35">
        <v>20406.900000000001</v>
      </c>
      <c r="D3869" s="33" t="s">
        <v>94</v>
      </c>
      <c r="E3869" s="34">
        <v>406.03100000000001</v>
      </c>
      <c r="F3869" s="36">
        <v>7.6999999999999999E-2</v>
      </c>
      <c r="G3869" s="34">
        <v>7.6999999999999999E-2</v>
      </c>
      <c r="H3869" s="35">
        <v>304</v>
      </c>
      <c r="I3869" s="37">
        <f t="shared" si="60"/>
        <v>1.4896922119479194E-2</v>
      </c>
      <c r="J3869" s="33" t="s">
        <v>116</v>
      </c>
    </row>
    <row r="3870" spans="1:10">
      <c r="A3870" s="33" t="s">
        <v>27</v>
      </c>
      <c r="B3870" s="34">
        <v>406.108</v>
      </c>
      <c r="C3870" s="35">
        <v>20406.900000000001</v>
      </c>
      <c r="D3870" s="33" t="s">
        <v>133</v>
      </c>
      <c r="E3870" s="34">
        <v>406.03500000000003</v>
      </c>
      <c r="F3870" s="36">
        <v>7.2999999999979095E-2</v>
      </c>
      <c r="G3870" s="34">
        <v>7.2999999999979095E-2</v>
      </c>
      <c r="H3870" s="35">
        <v>147.30000000000001</v>
      </c>
      <c r="I3870" s="37">
        <f t="shared" si="60"/>
        <v>7.2181468032871234E-3</v>
      </c>
      <c r="J3870" s="33"/>
    </row>
    <row r="3871" spans="1:10">
      <c r="A3871" s="33" t="s">
        <v>27</v>
      </c>
      <c r="B3871" s="34">
        <v>406.108</v>
      </c>
      <c r="C3871" s="35">
        <v>20406.900000000001</v>
      </c>
      <c r="D3871" s="33" t="s">
        <v>201</v>
      </c>
      <c r="E3871" s="34">
        <v>406.03699999999998</v>
      </c>
      <c r="F3871" s="36">
        <v>7.1000000000026403E-2</v>
      </c>
      <c r="G3871" s="34">
        <v>7.1000000000026403E-2</v>
      </c>
      <c r="H3871" s="35">
        <v>195</v>
      </c>
      <c r="I3871" s="37">
        <f t="shared" si="60"/>
        <v>9.5555914911132998E-3</v>
      </c>
      <c r="J3871" s="33"/>
    </row>
    <row r="3872" spans="1:10">
      <c r="A3872" s="33" t="s">
        <v>27</v>
      </c>
      <c r="B3872" s="34">
        <v>406.108</v>
      </c>
      <c r="C3872" s="35">
        <v>20406.900000000001</v>
      </c>
      <c r="D3872" s="33" t="s">
        <v>25</v>
      </c>
      <c r="E3872" s="34">
        <v>406.04700000000003</v>
      </c>
      <c r="F3872" s="36">
        <v>6.0999999999978599E-2</v>
      </c>
      <c r="G3872" s="34">
        <v>6.0999999999978599E-2</v>
      </c>
      <c r="H3872" s="35">
        <v>762.5</v>
      </c>
      <c r="I3872" s="37">
        <f t="shared" si="60"/>
        <v>3.7364812881917391E-2</v>
      </c>
      <c r="J3872" s="33" t="s">
        <v>116</v>
      </c>
    </row>
    <row r="3873" spans="1:10">
      <c r="A3873" s="33" t="s">
        <v>27</v>
      </c>
      <c r="B3873" s="34">
        <v>406.108</v>
      </c>
      <c r="C3873" s="35">
        <v>20406.900000000001</v>
      </c>
      <c r="D3873" s="33" t="s">
        <v>33</v>
      </c>
      <c r="E3873" s="34">
        <v>406.05700000000002</v>
      </c>
      <c r="F3873" s="36">
        <v>5.0999999999987701E-2</v>
      </c>
      <c r="G3873" s="34">
        <v>5.0999999999987701E-2</v>
      </c>
      <c r="H3873" s="35">
        <v>306.5</v>
      </c>
      <c r="I3873" s="37">
        <f t="shared" si="60"/>
        <v>1.5019429702698596E-2</v>
      </c>
      <c r="J3873" s="33" t="s">
        <v>116</v>
      </c>
    </row>
    <row r="3874" spans="1:10">
      <c r="A3874" s="33" t="s">
        <v>27</v>
      </c>
      <c r="B3874" s="34">
        <v>406.108</v>
      </c>
      <c r="C3874" s="35">
        <v>20406.900000000001</v>
      </c>
      <c r="D3874" s="33" t="s">
        <v>274</v>
      </c>
      <c r="E3874" s="34">
        <v>406.07</v>
      </c>
      <c r="F3874" s="36">
        <v>3.80000000000109E-2</v>
      </c>
      <c r="G3874" s="34">
        <v>3.80000000000109E-2</v>
      </c>
      <c r="H3874" s="35">
        <v>5.3</v>
      </c>
      <c r="I3874" s="37">
        <f t="shared" si="60"/>
        <v>2.5971607642513071E-4</v>
      </c>
      <c r="J3874" s="33"/>
    </row>
    <row r="3875" spans="1:10">
      <c r="A3875" s="33" t="s">
        <v>27</v>
      </c>
      <c r="B3875" s="34">
        <v>406.108</v>
      </c>
      <c r="C3875" s="35">
        <v>20406.900000000001</v>
      </c>
      <c r="D3875" s="33" t="s">
        <v>273</v>
      </c>
      <c r="E3875" s="34">
        <v>406.07799999999997</v>
      </c>
      <c r="F3875" s="36">
        <v>3.00000000000296E-2</v>
      </c>
      <c r="G3875" s="34">
        <v>3.00000000000296E-2</v>
      </c>
      <c r="H3875" s="35">
        <v>64.2</v>
      </c>
      <c r="I3875" s="37">
        <f t="shared" si="60"/>
        <v>3.1459947370742246E-3</v>
      </c>
      <c r="J3875" s="33"/>
    </row>
    <row r="3876" spans="1:10">
      <c r="A3876" s="33" t="s">
        <v>27</v>
      </c>
      <c r="B3876" s="34">
        <v>406.108</v>
      </c>
      <c r="C3876" s="35">
        <v>20406.900000000001</v>
      </c>
      <c r="D3876" s="33" t="s">
        <v>201</v>
      </c>
      <c r="E3876" s="34">
        <v>406.08699999999999</v>
      </c>
      <c r="F3876" s="36">
        <v>2.1000000000015E-2</v>
      </c>
      <c r="G3876" s="34">
        <v>2.1000000000015E-2</v>
      </c>
      <c r="H3876" s="35">
        <v>1113</v>
      </c>
      <c r="I3876" s="37">
        <f t="shared" si="60"/>
        <v>5.4540376049277445E-2</v>
      </c>
      <c r="J3876" s="33"/>
    </row>
    <row r="3877" spans="1:10">
      <c r="A3877" s="33" t="s">
        <v>27</v>
      </c>
      <c r="B3877" s="34">
        <v>406.108</v>
      </c>
      <c r="C3877" s="35">
        <v>20406.900000000001</v>
      </c>
      <c r="D3877" s="33" t="s">
        <v>270</v>
      </c>
      <c r="E3877" s="34">
        <v>406.10500000000002</v>
      </c>
      <c r="F3877" s="36">
        <v>2.9999999999858998E-3</v>
      </c>
      <c r="G3877" s="34">
        <v>2.9999999999858998E-3</v>
      </c>
      <c r="H3877" s="35">
        <v>358.8</v>
      </c>
      <c r="I3877" s="37">
        <f t="shared" si="60"/>
        <v>1.7582288343648472E-2</v>
      </c>
      <c r="J3877" s="33"/>
    </row>
    <row r="3878" spans="1:10">
      <c r="A3878" s="33" t="s">
        <v>27</v>
      </c>
      <c r="B3878" s="34">
        <v>406.108</v>
      </c>
      <c r="C3878" s="35">
        <v>20406.900000000001</v>
      </c>
      <c r="D3878" s="33" t="s">
        <v>36</v>
      </c>
      <c r="E3878" s="34">
        <v>406.12900000000002</v>
      </c>
      <c r="F3878" s="36">
        <v>2.1000000000000001E-2</v>
      </c>
      <c r="G3878" s="34">
        <v>2.1000000000000001E-2</v>
      </c>
      <c r="H3878" s="35">
        <v>61.2</v>
      </c>
      <c r="I3878" s="37">
        <f t="shared" si="60"/>
        <v>2.9989856372109433E-3</v>
      </c>
      <c r="J3878" s="33" t="s">
        <v>116</v>
      </c>
    </row>
    <row r="3879" spans="1:10">
      <c r="A3879" s="33" t="s">
        <v>27</v>
      </c>
      <c r="B3879" s="34">
        <v>406.108</v>
      </c>
      <c r="C3879" s="35">
        <v>20406.900000000001</v>
      </c>
      <c r="D3879" s="33" t="s">
        <v>173</v>
      </c>
      <c r="E3879" s="34">
        <v>406.13200000000001</v>
      </c>
      <c r="F3879" s="36">
        <v>2.4000000000000899E-2</v>
      </c>
      <c r="G3879" s="34">
        <v>2.4000000000000899E-2</v>
      </c>
      <c r="H3879" s="35">
        <v>386.3</v>
      </c>
      <c r="I3879" s="37">
        <f t="shared" si="60"/>
        <v>1.8929871759061884E-2</v>
      </c>
      <c r="J3879" s="33"/>
    </row>
    <row r="3880" spans="1:10">
      <c r="A3880" s="33" t="s">
        <v>27</v>
      </c>
      <c r="B3880" s="34">
        <v>406.108</v>
      </c>
      <c r="C3880" s="35">
        <v>20406.900000000001</v>
      </c>
      <c r="D3880" s="33" t="s">
        <v>193</v>
      </c>
      <c r="E3880" s="34">
        <v>406.13799999999998</v>
      </c>
      <c r="F3880" s="36">
        <v>2.9999999999972701E-2</v>
      </c>
      <c r="G3880" s="34">
        <v>2.9999999999972701E-2</v>
      </c>
      <c r="H3880" s="35">
        <v>65</v>
      </c>
      <c r="I3880" s="37">
        <f t="shared" si="60"/>
        <v>3.1851971637044331E-3</v>
      </c>
      <c r="J3880" s="33"/>
    </row>
    <row r="3881" spans="1:10">
      <c r="A3881" s="33" t="s">
        <v>27</v>
      </c>
      <c r="B3881" s="34">
        <v>406.108</v>
      </c>
      <c r="C3881" s="35">
        <v>20406.900000000001</v>
      </c>
      <c r="D3881" s="33" t="s">
        <v>25</v>
      </c>
      <c r="E3881" s="34">
        <v>406.14100000000002</v>
      </c>
      <c r="F3881" s="36">
        <v>3.3000000000015503E-2</v>
      </c>
      <c r="G3881" s="34">
        <v>3.3000000000015503E-2</v>
      </c>
      <c r="H3881" s="35">
        <v>122.8</v>
      </c>
      <c r="I3881" s="37">
        <f t="shared" si="60"/>
        <v>6.0175724877369902E-3</v>
      </c>
      <c r="J3881" s="33" t="s">
        <v>116</v>
      </c>
    </row>
    <row r="3882" spans="1:10">
      <c r="A3882" s="33" t="s">
        <v>27</v>
      </c>
      <c r="B3882" s="34">
        <v>406.108</v>
      </c>
      <c r="C3882" s="35">
        <v>20406.900000000001</v>
      </c>
      <c r="D3882" s="33" t="s">
        <v>236</v>
      </c>
      <c r="E3882" s="34">
        <v>406.15100000000001</v>
      </c>
      <c r="F3882" s="36">
        <v>4.3000000000006401E-2</v>
      </c>
      <c r="G3882" s="34">
        <v>4.3000000000006401E-2</v>
      </c>
      <c r="H3882" s="35">
        <v>76.900000000000006</v>
      </c>
      <c r="I3882" s="37">
        <f t="shared" si="60"/>
        <v>3.7683332598287835E-3</v>
      </c>
      <c r="J3882" s="33"/>
    </row>
    <row r="3883" spans="1:10">
      <c r="A3883" s="33" t="s">
        <v>27</v>
      </c>
      <c r="B3883" s="34">
        <v>406.108</v>
      </c>
      <c r="C3883" s="35">
        <v>20406.900000000001</v>
      </c>
      <c r="D3883" s="33" t="s">
        <v>201</v>
      </c>
      <c r="E3883" s="34">
        <v>406.15800000000002</v>
      </c>
      <c r="F3883" s="36">
        <v>5.0000000000011403E-2</v>
      </c>
      <c r="G3883" s="34">
        <v>5.0000000000011403E-2</v>
      </c>
      <c r="H3883" s="35">
        <v>316.3</v>
      </c>
      <c r="I3883" s="37">
        <f t="shared" si="60"/>
        <v>1.549965942891865E-2</v>
      </c>
      <c r="J3883" s="33"/>
    </row>
    <row r="3884" spans="1:10">
      <c r="A3884" s="33" t="s">
        <v>27</v>
      </c>
      <c r="B3884" s="34">
        <v>406.108</v>
      </c>
      <c r="C3884" s="35">
        <v>20406.900000000001</v>
      </c>
      <c r="D3884" s="33" t="s">
        <v>116</v>
      </c>
      <c r="E3884" s="34">
        <v>406.166</v>
      </c>
      <c r="F3884" s="36">
        <v>5.8000000000000003E-2</v>
      </c>
      <c r="G3884" s="34">
        <v>5.8000000000000003E-2</v>
      </c>
      <c r="H3884" s="35">
        <v>101.1</v>
      </c>
      <c r="I3884" s="37">
        <f t="shared" si="60"/>
        <v>4.9542066653925874E-3</v>
      </c>
      <c r="J3884" s="33" t="s">
        <v>116</v>
      </c>
    </row>
    <row r="3885" spans="1:10">
      <c r="A3885" s="33" t="s">
        <v>27</v>
      </c>
      <c r="B3885" s="34">
        <v>406.108</v>
      </c>
      <c r="C3885" s="35">
        <v>20406.900000000001</v>
      </c>
      <c r="D3885" s="33" t="s">
        <v>240</v>
      </c>
      <c r="E3885" s="34">
        <v>406.173</v>
      </c>
      <c r="F3885" s="36">
        <v>6.4999999999997699E-2</v>
      </c>
      <c r="G3885" s="34">
        <v>6.4999999999997699E-2</v>
      </c>
      <c r="H3885" s="35">
        <v>49.5</v>
      </c>
      <c r="I3885" s="37">
        <f t="shared" si="60"/>
        <v>2.4256501477441452E-3</v>
      </c>
      <c r="J3885" s="33"/>
    </row>
    <row r="3886" spans="1:10">
      <c r="A3886" s="33" t="s">
        <v>27</v>
      </c>
      <c r="B3886" s="34">
        <v>406.108</v>
      </c>
      <c r="C3886" s="35">
        <v>20406.900000000001</v>
      </c>
      <c r="D3886" s="33" t="s">
        <v>277</v>
      </c>
      <c r="E3886" s="34">
        <v>406.17500000000001</v>
      </c>
      <c r="F3886" s="36">
        <v>6.7000000000007304E-2</v>
      </c>
      <c r="G3886" s="34">
        <v>6.7000000000007304E-2</v>
      </c>
      <c r="H3886" s="35">
        <v>97.7</v>
      </c>
      <c r="I3886" s="37">
        <f t="shared" si="60"/>
        <v>4.7875963522142021E-3</v>
      </c>
      <c r="J3886" s="33"/>
    </row>
    <row r="3887" spans="1:10">
      <c r="A3887" s="33" t="s">
        <v>27</v>
      </c>
      <c r="B3887" s="34">
        <v>406.108</v>
      </c>
      <c r="C3887" s="35">
        <v>20406.900000000001</v>
      </c>
      <c r="D3887" s="33" t="s">
        <v>279</v>
      </c>
      <c r="E3887" s="34">
        <v>406.18599999999998</v>
      </c>
      <c r="F3887" s="36">
        <v>7.7999999999974506E-2</v>
      </c>
      <c r="G3887" s="34">
        <v>7.7999999999974506E-2</v>
      </c>
      <c r="H3887" s="35">
        <v>2</v>
      </c>
      <c r="I3887" s="37">
        <f t="shared" si="60"/>
        <v>9.8006066575521012E-5</v>
      </c>
      <c r="J3887" s="33"/>
    </row>
    <row r="3888" spans="1:10">
      <c r="A3888" s="33" t="s">
        <v>27</v>
      </c>
      <c r="B3888" s="34">
        <v>406.108</v>
      </c>
      <c r="C3888" s="35">
        <v>20406.900000000001</v>
      </c>
      <c r="D3888" s="33" t="s">
        <v>273</v>
      </c>
      <c r="E3888" s="34">
        <v>406.19799999999998</v>
      </c>
      <c r="F3888" s="36">
        <v>8.9999999999975003E-2</v>
      </c>
      <c r="G3888" s="34">
        <v>8.9999999999975003E-2</v>
      </c>
      <c r="H3888" s="35">
        <v>285.60000000000002</v>
      </c>
      <c r="I3888" s="37">
        <f t="shared" si="60"/>
        <v>1.3995266306984402E-2</v>
      </c>
      <c r="J3888" s="33"/>
    </row>
    <row r="3889" spans="1:10">
      <c r="A3889" s="33" t="s">
        <v>27</v>
      </c>
      <c r="B3889" s="34">
        <v>406.108</v>
      </c>
      <c r="C3889" s="35">
        <v>20406.900000000001</v>
      </c>
      <c r="D3889" s="33" t="s">
        <v>275</v>
      </c>
      <c r="E3889" s="34">
        <v>406.20800000000003</v>
      </c>
      <c r="F3889" s="36">
        <v>0.100000000000023</v>
      </c>
      <c r="G3889" s="34">
        <v>0.100000000000023</v>
      </c>
      <c r="H3889" s="35">
        <v>131.9</v>
      </c>
      <c r="I3889" s="37">
        <f t="shared" si="60"/>
        <v>6.4635000906556111E-3</v>
      </c>
      <c r="J3889" s="33"/>
    </row>
    <row r="3890" spans="1:10">
      <c r="A3890" s="33" t="s">
        <v>27</v>
      </c>
      <c r="B3890" s="34">
        <v>406.108</v>
      </c>
      <c r="C3890" s="35">
        <v>20406.900000000001</v>
      </c>
      <c r="D3890" s="33" t="s">
        <v>300</v>
      </c>
      <c r="E3890" s="34">
        <v>406.214</v>
      </c>
      <c r="F3890" s="36">
        <v>0.105999999999995</v>
      </c>
      <c r="G3890" s="34">
        <v>0.105999999999995</v>
      </c>
      <c r="H3890" s="35">
        <v>29.6</v>
      </c>
      <c r="I3890" s="37">
        <f t="shared" si="60"/>
        <v>1.4504897853177112E-3</v>
      </c>
      <c r="J3890" s="33"/>
    </row>
    <row r="3891" spans="1:10">
      <c r="A3891" s="33" t="s">
        <v>27</v>
      </c>
      <c r="B3891" s="34">
        <v>406.108</v>
      </c>
      <c r="C3891" s="35">
        <v>20406.900000000001</v>
      </c>
      <c r="D3891" s="33" t="s">
        <v>25</v>
      </c>
      <c r="E3891" s="34">
        <v>406.22199999999998</v>
      </c>
      <c r="F3891" s="36">
        <v>0.113999999999976</v>
      </c>
      <c r="G3891" s="34">
        <v>0.113999999999976</v>
      </c>
      <c r="H3891" s="35">
        <v>2307</v>
      </c>
      <c r="I3891" s="37">
        <f t="shared" si="60"/>
        <v>0.11304999779486349</v>
      </c>
      <c r="J3891" s="33" t="s">
        <v>116</v>
      </c>
    </row>
    <row r="3892" spans="1:10">
      <c r="A3892" s="33" t="s">
        <v>27</v>
      </c>
      <c r="B3892" s="34">
        <v>406.108</v>
      </c>
      <c r="C3892" s="35">
        <v>20406.900000000001</v>
      </c>
      <c r="D3892" s="33" t="s">
        <v>173</v>
      </c>
      <c r="E3892" s="34">
        <v>406.22199999999998</v>
      </c>
      <c r="F3892" s="36">
        <v>0.113999999999976</v>
      </c>
      <c r="G3892" s="34">
        <v>0.113999999999976</v>
      </c>
      <c r="H3892" s="35">
        <v>1436.9</v>
      </c>
      <c r="I3892" s="37">
        <f t="shared" si="60"/>
        <v>7.0412458531183081E-2</v>
      </c>
      <c r="J3892" s="33"/>
    </row>
    <row r="3893" spans="1:10">
      <c r="A3893" s="33" t="s">
        <v>27</v>
      </c>
      <c r="B3893" s="34">
        <v>406.108</v>
      </c>
      <c r="C3893" s="35">
        <v>20406.900000000001</v>
      </c>
      <c r="D3893" s="33" t="s">
        <v>97</v>
      </c>
      <c r="E3893" s="34">
        <v>406.24400000000003</v>
      </c>
      <c r="F3893" s="36">
        <v>0.13600000000002399</v>
      </c>
      <c r="G3893" s="34">
        <v>0.13600000000002399</v>
      </c>
      <c r="H3893" s="35">
        <v>11.7</v>
      </c>
      <c r="I3893" s="37">
        <f t="shared" si="60"/>
        <v>5.7333548946679794E-4</v>
      </c>
      <c r="J3893" s="33"/>
    </row>
    <row r="3894" spans="1:10">
      <c r="A3894" s="33" t="s">
        <v>27</v>
      </c>
      <c r="B3894" s="34">
        <v>406.108</v>
      </c>
      <c r="C3894" s="35">
        <v>20406.900000000001</v>
      </c>
      <c r="D3894" s="33" t="s">
        <v>277</v>
      </c>
      <c r="E3894" s="34">
        <v>406.25400000000002</v>
      </c>
      <c r="F3894" s="36">
        <v>0.14600000000001501</v>
      </c>
      <c r="G3894" s="34">
        <v>0.14600000000001501</v>
      </c>
      <c r="H3894" s="35">
        <v>1224.0999999999999</v>
      </c>
      <c r="I3894" s="37">
        <f t="shared" si="60"/>
        <v>5.9984613047547632E-2</v>
      </c>
      <c r="J3894" s="33"/>
    </row>
    <row r="3895" spans="1:10">
      <c r="A3895" s="33" t="s">
        <v>27</v>
      </c>
      <c r="B3895" s="34">
        <v>406.108</v>
      </c>
      <c r="C3895" s="35">
        <v>20406.900000000001</v>
      </c>
      <c r="D3895" s="33" t="s">
        <v>36</v>
      </c>
      <c r="E3895" s="34">
        <v>406.25900000000001</v>
      </c>
      <c r="F3895" s="36">
        <v>0.151</v>
      </c>
      <c r="G3895" s="34">
        <v>0.151</v>
      </c>
      <c r="H3895" s="35">
        <v>3226.9</v>
      </c>
      <c r="I3895" s="37">
        <f t="shared" si="60"/>
        <v>0.1581278881162744</v>
      </c>
      <c r="J3895" s="33" t="s">
        <v>116</v>
      </c>
    </row>
    <row r="3896" spans="1:10">
      <c r="A3896" s="33" t="s">
        <v>27</v>
      </c>
      <c r="B3896" s="34">
        <v>406.108</v>
      </c>
      <c r="C3896" s="35">
        <v>20406.900000000001</v>
      </c>
      <c r="D3896" s="33" t="s">
        <v>286</v>
      </c>
      <c r="E3896" s="34">
        <v>406.26400000000001</v>
      </c>
      <c r="F3896" s="36">
        <v>0.15600000000000599</v>
      </c>
      <c r="G3896" s="34">
        <v>0.15600000000000599</v>
      </c>
      <c r="H3896" s="35">
        <v>101.2</v>
      </c>
      <c r="I3896" s="37">
        <f t="shared" si="60"/>
        <v>4.959106968721364E-3</v>
      </c>
      <c r="J3896" s="33"/>
    </row>
    <row r="3897" spans="1:10">
      <c r="A3897" s="33" t="s">
        <v>27</v>
      </c>
      <c r="B3897" s="34">
        <v>406.108</v>
      </c>
      <c r="C3897" s="35">
        <v>20406.900000000001</v>
      </c>
      <c r="D3897" s="33" t="s">
        <v>173</v>
      </c>
      <c r="E3897" s="34">
        <v>406.28100000000001</v>
      </c>
      <c r="F3897" s="36">
        <v>0.17300000000000201</v>
      </c>
      <c r="G3897" s="34">
        <v>0.17300000000000201</v>
      </c>
      <c r="H3897" s="35">
        <v>13744.9</v>
      </c>
      <c r="I3897" s="37">
        <f t="shared" si="60"/>
        <v>0.67354179223693944</v>
      </c>
      <c r="J3897" s="33"/>
    </row>
    <row r="3898" spans="1:10">
      <c r="A3898" s="33" t="s">
        <v>27</v>
      </c>
      <c r="B3898" s="34">
        <v>410.94499999999999</v>
      </c>
      <c r="C3898" s="35">
        <v>22075.9</v>
      </c>
      <c r="D3898" s="33" t="s">
        <v>282</v>
      </c>
      <c r="E3898" s="34">
        <v>410.74900000000002</v>
      </c>
      <c r="F3898" s="36">
        <v>0.19599999999997</v>
      </c>
      <c r="G3898" s="34">
        <v>0.19599999999997</v>
      </c>
      <c r="H3898" s="35">
        <v>13.9</v>
      </c>
      <c r="I3898" s="37">
        <f t="shared" si="60"/>
        <v>6.2964590345127491E-4</v>
      </c>
      <c r="J3898" s="33"/>
    </row>
    <row r="3899" spans="1:10">
      <c r="A3899" s="33" t="s">
        <v>27</v>
      </c>
      <c r="B3899" s="34">
        <v>410.94499999999999</v>
      </c>
      <c r="C3899" s="35">
        <v>22075.9</v>
      </c>
      <c r="D3899" s="33" t="s">
        <v>236</v>
      </c>
      <c r="E3899" s="34">
        <v>410.755</v>
      </c>
      <c r="F3899" s="36">
        <v>0.189999999999998</v>
      </c>
      <c r="G3899" s="34">
        <v>0.189999999999998</v>
      </c>
      <c r="H3899" s="35">
        <v>429</v>
      </c>
      <c r="I3899" s="37">
        <f t="shared" si="60"/>
        <v>1.9432956300762368E-2</v>
      </c>
      <c r="J3899" s="33"/>
    </row>
    <row r="3900" spans="1:10">
      <c r="A3900" s="33" t="s">
        <v>27</v>
      </c>
      <c r="B3900" s="34">
        <v>410.94499999999999</v>
      </c>
      <c r="C3900" s="35">
        <v>22075.9</v>
      </c>
      <c r="D3900" s="33" t="s">
        <v>25</v>
      </c>
      <c r="E3900" s="34">
        <v>410.779</v>
      </c>
      <c r="F3900" s="36">
        <v>0.16599999999999701</v>
      </c>
      <c r="G3900" s="34">
        <v>0.16599999999999701</v>
      </c>
      <c r="H3900" s="35">
        <v>742</v>
      </c>
      <c r="I3900" s="37">
        <f t="shared" si="60"/>
        <v>3.3611313695024889E-2</v>
      </c>
      <c r="J3900" s="33" t="s">
        <v>116</v>
      </c>
    </row>
    <row r="3901" spans="1:10">
      <c r="A3901" s="33" t="s">
        <v>27</v>
      </c>
      <c r="B3901" s="34">
        <v>410.94499999999999</v>
      </c>
      <c r="C3901" s="35">
        <v>22075.9</v>
      </c>
      <c r="D3901" s="33" t="s">
        <v>268</v>
      </c>
      <c r="E3901" s="34">
        <v>410.78300000000002</v>
      </c>
      <c r="F3901" s="36">
        <v>0.16199999999997799</v>
      </c>
      <c r="G3901" s="34">
        <v>0.16199999999997799</v>
      </c>
      <c r="H3901" s="35">
        <v>20</v>
      </c>
      <c r="I3901" s="37">
        <f t="shared" si="60"/>
        <v>9.0596532870687032E-4</v>
      </c>
      <c r="J3901" s="33"/>
    </row>
    <row r="3902" spans="1:10">
      <c r="A3902" s="33" t="s">
        <v>27</v>
      </c>
      <c r="B3902" s="34">
        <v>410.94499999999999</v>
      </c>
      <c r="C3902" s="35">
        <v>22075.9</v>
      </c>
      <c r="D3902" s="33" t="s">
        <v>27</v>
      </c>
      <c r="E3902" s="34">
        <v>410.79500000000002</v>
      </c>
      <c r="F3902" s="36">
        <v>0.14999999999997701</v>
      </c>
      <c r="G3902" s="34">
        <v>0.14999999999997701</v>
      </c>
      <c r="H3902" s="35">
        <v>1367.6</v>
      </c>
      <c r="I3902" s="37">
        <f t="shared" si="60"/>
        <v>6.1949909176975786E-2</v>
      </c>
      <c r="J3902" s="33" t="s">
        <v>116</v>
      </c>
    </row>
    <row r="3903" spans="1:10">
      <c r="A3903" s="33" t="s">
        <v>27</v>
      </c>
      <c r="B3903" s="34">
        <v>410.94499999999999</v>
      </c>
      <c r="C3903" s="35">
        <v>22075.9</v>
      </c>
      <c r="D3903" s="33" t="s">
        <v>278</v>
      </c>
      <c r="E3903" s="34">
        <v>410.82</v>
      </c>
      <c r="F3903" s="36">
        <v>0.125</v>
      </c>
      <c r="G3903" s="34">
        <v>0.125</v>
      </c>
      <c r="H3903" s="35">
        <v>46.5</v>
      </c>
      <c r="I3903" s="37">
        <f t="shared" si="60"/>
        <v>2.1063693892434737E-3</v>
      </c>
      <c r="J3903" s="33"/>
    </row>
    <row r="3904" spans="1:10">
      <c r="A3904" s="33" t="s">
        <v>27</v>
      </c>
      <c r="B3904" s="34">
        <v>410.94499999999999</v>
      </c>
      <c r="C3904" s="35">
        <v>22075.9</v>
      </c>
      <c r="D3904" s="33" t="s">
        <v>25</v>
      </c>
      <c r="E3904" s="34">
        <v>410.82499999999999</v>
      </c>
      <c r="F3904" s="36">
        <v>0.12000000000000501</v>
      </c>
      <c r="G3904" s="34">
        <v>0.12000000000000501</v>
      </c>
      <c r="H3904" s="35">
        <v>277.2</v>
      </c>
      <c r="I3904" s="37">
        <f t="shared" si="60"/>
        <v>1.2556679455877223E-2</v>
      </c>
      <c r="J3904" s="33" t="s">
        <v>116</v>
      </c>
    </row>
    <row r="3905" spans="1:10">
      <c r="A3905" s="33" t="s">
        <v>27</v>
      </c>
      <c r="B3905" s="34">
        <v>410.94499999999999</v>
      </c>
      <c r="C3905" s="35">
        <v>22075.9</v>
      </c>
      <c r="D3905" s="33" t="s">
        <v>173</v>
      </c>
      <c r="E3905" s="34">
        <v>410.827</v>
      </c>
      <c r="F3905" s="36">
        <v>0.117999999999995</v>
      </c>
      <c r="G3905" s="34">
        <v>0.117999999999995</v>
      </c>
      <c r="H3905" s="35">
        <v>509.3</v>
      </c>
      <c r="I3905" s="37">
        <f t="shared" si="60"/>
        <v>2.3070407095520454E-2</v>
      </c>
      <c r="J3905" s="33"/>
    </row>
    <row r="3906" spans="1:10">
      <c r="A3906" s="33" t="s">
        <v>27</v>
      </c>
      <c r="B3906" s="34">
        <v>410.94499999999999</v>
      </c>
      <c r="C3906" s="35">
        <v>22075.9</v>
      </c>
      <c r="D3906" s="33" t="s">
        <v>270</v>
      </c>
      <c r="E3906" s="34">
        <v>410.83100000000002</v>
      </c>
      <c r="F3906" s="36">
        <v>0.113999999999976</v>
      </c>
      <c r="G3906" s="34">
        <v>0.113999999999976</v>
      </c>
      <c r="H3906" s="35">
        <v>317</v>
      </c>
      <c r="I3906" s="37">
        <f t="shared" ref="I3906:I3969" si="61">H3906/C3906</f>
        <v>1.4359550460003895E-2</v>
      </c>
      <c r="J3906" s="33"/>
    </row>
    <row r="3907" spans="1:10">
      <c r="A3907" s="33" t="s">
        <v>27</v>
      </c>
      <c r="B3907" s="34">
        <v>410.94499999999999</v>
      </c>
      <c r="C3907" s="35">
        <v>22075.9</v>
      </c>
      <c r="D3907" s="33" t="s">
        <v>277</v>
      </c>
      <c r="E3907" s="34">
        <v>410.83499999999998</v>
      </c>
      <c r="F3907" s="36">
        <v>0.110000000000014</v>
      </c>
      <c r="G3907" s="34">
        <v>0.110000000000014</v>
      </c>
      <c r="H3907" s="35">
        <v>64</v>
      </c>
      <c r="I3907" s="37">
        <f t="shared" si="61"/>
        <v>2.8990890518619849E-3</v>
      </c>
      <c r="J3907" s="33"/>
    </row>
    <row r="3908" spans="1:10">
      <c r="A3908" s="33" t="s">
        <v>27</v>
      </c>
      <c r="B3908" s="34">
        <v>410.94499999999999</v>
      </c>
      <c r="C3908" s="35">
        <v>22075.9</v>
      </c>
      <c r="D3908" s="33" t="s">
        <v>236</v>
      </c>
      <c r="E3908" s="34">
        <v>410.83800000000002</v>
      </c>
      <c r="F3908" s="36">
        <v>0.10699999999997099</v>
      </c>
      <c r="G3908" s="34">
        <v>0.10699999999997099</v>
      </c>
      <c r="H3908" s="35">
        <v>80.400000000000006</v>
      </c>
      <c r="I3908" s="37">
        <f t="shared" si="61"/>
        <v>3.6419806214016189E-3</v>
      </c>
      <c r="J3908" s="33"/>
    </row>
    <row r="3909" spans="1:10">
      <c r="A3909" s="33" t="s">
        <v>27</v>
      </c>
      <c r="B3909" s="34">
        <v>410.94499999999999</v>
      </c>
      <c r="C3909" s="35">
        <v>22075.9</v>
      </c>
      <c r="D3909" s="33" t="s">
        <v>36</v>
      </c>
      <c r="E3909" s="34">
        <v>410.839</v>
      </c>
      <c r="F3909" s="36">
        <v>0.106</v>
      </c>
      <c r="G3909" s="34">
        <v>0.106</v>
      </c>
      <c r="H3909" s="35">
        <v>4767</v>
      </c>
      <c r="I3909" s="37">
        <f t="shared" si="61"/>
        <v>0.21593683609728254</v>
      </c>
      <c r="J3909" s="33" t="s">
        <v>116</v>
      </c>
    </row>
    <row r="3910" spans="1:10">
      <c r="A3910" s="33" t="s">
        <v>27</v>
      </c>
      <c r="B3910" s="34">
        <v>410.94499999999999</v>
      </c>
      <c r="C3910" s="35">
        <v>22075.9</v>
      </c>
      <c r="D3910" s="33" t="s">
        <v>271</v>
      </c>
      <c r="E3910" s="34">
        <v>410.84199999999998</v>
      </c>
      <c r="F3910" s="36">
        <v>0.103000000000009</v>
      </c>
      <c r="G3910" s="34">
        <v>0.103000000000009</v>
      </c>
      <c r="H3910" s="35">
        <v>5115.6000000000004</v>
      </c>
      <c r="I3910" s="37">
        <f t="shared" si="61"/>
        <v>0.23172781177664331</v>
      </c>
      <c r="J3910" s="33"/>
    </row>
    <row r="3911" spans="1:10">
      <c r="A3911" s="33" t="s">
        <v>27</v>
      </c>
      <c r="B3911" s="34">
        <v>410.94499999999999</v>
      </c>
      <c r="C3911" s="35">
        <v>22075.9</v>
      </c>
      <c r="D3911" s="33" t="s">
        <v>274</v>
      </c>
      <c r="E3911" s="34">
        <v>410.85300000000001</v>
      </c>
      <c r="F3911" s="36">
        <v>9.1999999999984497E-2</v>
      </c>
      <c r="G3911" s="34">
        <v>9.1999999999984497E-2</v>
      </c>
      <c r="H3911" s="35">
        <v>42</v>
      </c>
      <c r="I3911" s="37">
        <f t="shared" si="61"/>
        <v>1.9025271902844277E-3</v>
      </c>
      <c r="J3911" s="33"/>
    </row>
    <row r="3912" spans="1:10">
      <c r="A3912" s="33" t="s">
        <v>27</v>
      </c>
      <c r="B3912" s="34">
        <v>410.94499999999999</v>
      </c>
      <c r="C3912" s="35">
        <v>22075.9</v>
      </c>
      <c r="D3912" s="33" t="s">
        <v>94</v>
      </c>
      <c r="E3912" s="34">
        <v>410.86200000000002</v>
      </c>
      <c r="F3912" s="36">
        <v>8.3000000000000004E-2</v>
      </c>
      <c r="G3912" s="34">
        <v>8.3000000000000004E-2</v>
      </c>
      <c r="H3912" s="35">
        <v>621.1</v>
      </c>
      <c r="I3912" s="37">
        <f t="shared" si="61"/>
        <v>2.8134753282991858E-2</v>
      </c>
      <c r="J3912" s="33" t="s">
        <v>116</v>
      </c>
    </row>
    <row r="3913" spans="1:10">
      <c r="A3913" s="33" t="s">
        <v>27</v>
      </c>
      <c r="B3913" s="34">
        <v>410.94499999999999</v>
      </c>
      <c r="C3913" s="35">
        <v>22075.9</v>
      </c>
      <c r="D3913" s="33" t="s">
        <v>25</v>
      </c>
      <c r="E3913" s="34">
        <v>410.87200000000001</v>
      </c>
      <c r="F3913" s="36">
        <v>7.2999999999979095E-2</v>
      </c>
      <c r="G3913" s="34">
        <v>7.2999999999979095E-2</v>
      </c>
      <c r="H3913" s="35">
        <v>231.8</v>
      </c>
      <c r="I3913" s="37">
        <f t="shared" si="61"/>
        <v>1.0500138159712628E-2</v>
      </c>
      <c r="J3913" s="33" t="s">
        <v>116</v>
      </c>
    </row>
    <row r="3914" spans="1:10">
      <c r="A3914" s="33" t="s">
        <v>27</v>
      </c>
      <c r="B3914" s="34">
        <v>410.94499999999999</v>
      </c>
      <c r="C3914" s="35">
        <v>22075.9</v>
      </c>
      <c r="D3914" s="33" t="s">
        <v>97</v>
      </c>
      <c r="E3914" s="34">
        <v>410.90600000000001</v>
      </c>
      <c r="F3914" s="36">
        <v>3.8999999999987302E-2</v>
      </c>
      <c r="G3914" s="34">
        <v>3.8999999999987302E-2</v>
      </c>
      <c r="H3914" s="35">
        <v>1.5</v>
      </c>
      <c r="I3914" s="37">
        <f t="shared" si="61"/>
        <v>6.7947399653015277E-5</v>
      </c>
      <c r="J3914" s="33"/>
    </row>
    <row r="3915" spans="1:10">
      <c r="A3915" s="33" t="s">
        <v>27</v>
      </c>
      <c r="B3915" s="34">
        <v>410.94499999999999</v>
      </c>
      <c r="C3915" s="35">
        <v>22075.9</v>
      </c>
      <c r="D3915" s="33" t="s">
        <v>27</v>
      </c>
      <c r="E3915" s="34">
        <v>410.90699999999998</v>
      </c>
      <c r="F3915" s="36">
        <v>3.80000000000109E-2</v>
      </c>
      <c r="G3915" s="34">
        <v>3.80000000000109E-2</v>
      </c>
      <c r="H3915" s="35">
        <v>10363</v>
      </c>
      <c r="I3915" s="37">
        <f t="shared" si="61"/>
        <v>0.46942593506946484</v>
      </c>
      <c r="J3915" s="33" t="s">
        <v>116</v>
      </c>
    </row>
    <row r="3916" spans="1:10">
      <c r="A3916" s="33" t="s">
        <v>27</v>
      </c>
      <c r="B3916" s="34">
        <v>410.94499999999999</v>
      </c>
      <c r="C3916" s="35">
        <v>22075.9</v>
      </c>
      <c r="D3916" s="33" t="s">
        <v>238</v>
      </c>
      <c r="E3916" s="34">
        <v>410.92700000000002</v>
      </c>
      <c r="F3916" s="36">
        <v>1.7999999999972299E-2</v>
      </c>
      <c r="G3916" s="34">
        <v>1.7999999999972299E-2</v>
      </c>
      <c r="H3916" s="35">
        <v>159.4</v>
      </c>
      <c r="I3916" s="37">
        <f t="shared" si="61"/>
        <v>7.2205436697937572E-3</v>
      </c>
      <c r="J3916" s="33"/>
    </row>
    <row r="3917" spans="1:10">
      <c r="A3917" s="33" t="s">
        <v>27</v>
      </c>
      <c r="B3917" s="34">
        <v>410.94499999999999</v>
      </c>
      <c r="C3917" s="35">
        <v>22075.9</v>
      </c>
      <c r="D3917" s="33" t="s">
        <v>270</v>
      </c>
      <c r="E3917" s="34">
        <v>410.93900000000002</v>
      </c>
      <c r="F3917" s="36">
        <v>5.99999999997181E-3</v>
      </c>
      <c r="G3917" s="34">
        <v>5.99999999997181E-3</v>
      </c>
      <c r="H3917" s="35">
        <v>2161.1</v>
      </c>
      <c r="I3917" s="37">
        <f t="shared" si="61"/>
        <v>9.7894083593420875E-2</v>
      </c>
      <c r="J3917" s="33"/>
    </row>
    <row r="3918" spans="1:10">
      <c r="A3918" s="33" t="s">
        <v>27</v>
      </c>
      <c r="B3918" s="34">
        <v>410.94499999999999</v>
      </c>
      <c r="C3918" s="35">
        <v>22075.9</v>
      </c>
      <c r="D3918" s="33" t="s">
        <v>25</v>
      </c>
      <c r="E3918" s="34">
        <v>410.95400000000001</v>
      </c>
      <c r="F3918" s="36">
        <v>9.0000000000145502E-3</v>
      </c>
      <c r="G3918" s="34">
        <v>9.0000000000145502E-3</v>
      </c>
      <c r="H3918" s="35">
        <v>336</v>
      </c>
      <c r="I3918" s="37">
        <f t="shared" si="61"/>
        <v>1.5220217522275422E-2</v>
      </c>
      <c r="J3918" s="33" t="s">
        <v>116</v>
      </c>
    </row>
    <row r="3919" spans="1:10">
      <c r="A3919" s="33" t="s">
        <v>27</v>
      </c>
      <c r="B3919" s="34">
        <v>410.94499999999999</v>
      </c>
      <c r="C3919" s="35">
        <v>22075.9</v>
      </c>
      <c r="D3919" s="33" t="s">
        <v>268</v>
      </c>
      <c r="E3919" s="34">
        <v>410.96300000000002</v>
      </c>
      <c r="F3919" s="36">
        <v>1.80000000000291E-2</v>
      </c>
      <c r="G3919" s="34">
        <v>1.80000000000291E-2</v>
      </c>
      <c r="H3919" s="35">
        <v>3.6</v>
      </c>
      <c r="I3919" s="37">
        <f t="shared" si="61"/>
        <v>1.6307375916723666E-4</v>
      </c>
      <c r="J3919" s="33"/>
    </row>
    <row r="3920" spans="1:10">
      <c r="A3920" s="33" t="s">
        <v>27</v>
      </c>
      <c r="B3920" s="34">
        <v>410.94499999999999</v>
      </c>
      <c r="C3920" s="35">
        <v>22075.9</v>
      </c>
      <c r="D3920" s="33" t="s">
        <v>274</v>
      </c>
      <c r="E3920" s="34">
        <v>410.97500000000002</v>
      </c>
      <c r="F3920" s="36">
        <v>3.00000000000296E-2</v>
      </c>
      <c r="G3920" s="34">
        <v>3.00000000000296E-2</v>
      </c>
      <c r="H3920" s="35">
        <v>20.3</v>
      </c>
      <c r="I3920" s="37">
        <f t="shared" si="61"/>
        <v>9.1955480863747344E-4</v>
      </c>
      <c r="J3920" s="33"/>
    </row>
    <row r="3921" spans="1:10">
      <c r="A3921" s="33" t="s">
        <v>27</v>
      </c>
      <c r="B3921" s="34">
        <v>410.94499999999999</v>
      </c>
      <c r="C3921" s="35">
        <v>22075.9</v>
      </c>
      <c r="D3921" s="33" t="s">
        <v>278</v>
      </c>
      <c r="E3921" s="34">
        <v>410.97800000000001</v>
      </c>
      <c r="F3921" s="36">
        <v>3.3000000000015503E-2</v>
      </c>
      <c r="G3921" s="34">
        <v>3.3000000000015503E-2</v>
      </c>
      <c r="H3921" s="35">
        <v>1136.8</v>
      </c>
      <c r="I3921" s="37">
        <f t="shared" si="61"/>
        <v>5.1495069283698507E-2</v>
      </c>
      <c r="J3921" s="33"/>
    </row>
    <row r="3922" spans="1:10">
      <c r="A3922" s="33" t="s">
        <v>27</v>
      </c>
      <c r="B3922" s="34">
        <v>410.94499999999999</v>
      </c>
      <c r="C3922" s="35">
        <v>22075.9</v>
      </c>
      <c r="D3922" s="33" t="s">
        <v>133</v>
      </c>
      <c r="E3922" s="34">
        <v>410.97899999999998</v>
      </c>
      <c r="F3922" s="36">
        <v>3.3999999999991801E-2</v>
      </c>
      <c r="G3922" s="34">
        <v>3.3999999999991801E-2</v>
      </c>
      <c r="H3922" s="35">
        <v>40.9</v>
      </c>
      <c r="I3922" s="37">
        <f t="shared" si="61"/>
        <v>1.8526990972055498E-3</v>
      </c>
      <c r="J3922" s="33"/>
    </row>
    <row r="3923" spans="1:10">
      <c r="A3923" s="33" t="s">
        <v>27</v>
      </c>
      <c r="B3923" s="34">
        <v>410.94499999999999</v>
      </c>
      <c r="C3923" s="35">
        <v>22075.9</v>
      </c>
      <c r="D3923" s="33" t="s">
        <v>97</v>
      </c>
      <c r="E3923" s="34">
        <v>410.98</v>
      </c>
      <c r="F3923" s="36">
        <v>3.5000000000024997E-2</v>
      </c>
      <c r="G3923" s="34">
        <v>3.5000000000024997E-2</v>
      </c>
      <c r="H3923" s="35">
        <v>12.7</v>
      </c>
      <c r="I3923" s="37">
        <f t="shared" si="61"/>
        <v>5.7528798372886265E-4</v>
      </c>
      <c r="J3923" s="33"/>
    </row>
    <row r="3924" spans="1:10">
      <c r="A3924" s="33" t="s">
        <v>27</v>
      </c>
      <c r="B3924" s="34">
        <v>410.94499999999999</v>
      </c>
      <c r="C3924" s="35">
        <v>22075.9</v>
      </c>
      <c r="D3924" s="33" t="s">
        <v>54</v>
      </c>
      <c r="E3924" s="34">
        <v>411.00599999999997</v>
      </c>
      <c r="F3924" s="36">
        <v>6.0999999999978599E-2</v>
      </c>
      <c r="G3924" s="34">
        <v>6.0999999999978599E-2</v>
      </c>
      <c r="H3924" s="35">
        <v>5.6</v>
      </c>
      <c r="I3924" s="37">
        <f t="shared" si="61"/>
        <v>2.5367029203792369E-4</v>
      </c>
      <c r="J3924" s="33"/>
    </row>
    <row r="3925" spans="1:10">
      <c r="A3925" s="33" t="s">
        <v>27</v>
      </c>
      <c r="B3925" s="34">
        <v>410.94499999999999</v>
      </c>
      <c r="C3925" s="35">
        <v>22075.9</v>
      </c>
      <c r="D3925" s="33" t="s">
        <v>236</v>
      </c>
      <c r="E3925" s="34">
        <v>411.00599999999997</v>
      </c>
      <c r="F3925" s="36">
        <v>6.0999999999978599E-2</v>
      </c>
      <c r="G3925" s="34">
        <v>6.0999999999978599E-2</v>
      </c>
      <c r="H3925" s="35">
        <v>374.6</v>
      </c>
      <c r="I3925" s="37">
        <f t="shared" si="61"/>
        <v>1.6968730606679683E-2</v>
      </c>
      <c r="J3925" s="33"/>
    </row>
    <row r="3926" spans="1:10">
      <c r="A3926" s="33" t="s">
        <v>27</v>
      </c>
      <c r="B3926" s="34">
        <v>410.94499999999999</v>
      </c>
      <c r="C3926" s="35">
        <v>22075.9</v>
      </c>
      <c r="D3926" s="33" t="s">
        <v>270</v>
      </c>
      <c r="E3926" s="34">
        <v>411.01799999999997</v>
      </c>
      <c r="F3926" s="36">
        <v>7.2999999999979095E-2</v>
      </c>
      <c r="G3926" s="34">
        <v>7.2999999999979095E-2</v>
      </c>
      <c r="H3926" s="35">
        <v>1349.5</v>
      </c>
      <c r="I3926" s="37">
        <f t="shared" si="61"/>
        <v>6.1130010554496073E-2</v>
      </c>
      <c r="J3926" s="33"/>
    </row>
    <row r="3927" spans="1:10">
      <c r="A3927" s="33" t="s">
        <v>27</v>
      </c>
      <c r="B3927" s="34">
        <v>410.94499999999999</v>
      </c>
      <c r="C3927" s="35">
        <v>22075.9</v>
      </c>
      <c r="D3927" s="33" t="s">
        <v>25</v>
      </c>
      <c r="E3927" s="34">
        <v>411.03800000000001</v>
      </c>
      <c r="F3927" s="36">
        <v>9.3000000000017694E-2</v>
      </c>
      <c r="G3927" s="34">
        <v>9.3000000000017694E-2</v>
      </c>
      <c r="H3927" s="35">
        <v>2104.5</v>
      </c>
      <c r="I3927" s="37">
        <f t="shared" si="61"/>
        <v>9.5330201713180435E-2</v>
      </c>
      <c r="J3927" s="33" t="s">
        <v>116</v>
      </c>
    </row>
    <row r="3928" spans="1:10">
      <c r="A3928" s="33" t="s">
        <v>27</v>
      </c>
      <c r="B3928" s="34">
        <v>410.94499999999999</v>
      </c>
      <c r="C3928" s="35">
        <v>22075.9</v>
      </c>
      <c r="D3928" s="33" t="s">
        <v>271</v>
      </c>
      <c r="E3928" s="34">
        <v>411.05099999999999</v>
      </c>
      <c r="F3928" s="36">
        <v>0.105999999999995</v>
      </c>
      <c r="G3928" s="34">
        <v>0.105999999999995</v>
      </c>
      <c r="H3928" s="35">
        <v>659.6</v>
      </c>
      <c r="I3928" s="37">
        <f t="shared" si="61"/>
        <v>2.9878736540752585E-2</v>
      </c>
      <c r="J3928" s="33"/>
    </row>
    <row r="3929" spans="1:10">
      <c r="A3929" s="33" t="s">
        <v>27</v>
      </c>
      <c r="B3929" s="34">
        <v>410.94499999999999</v>
      </c>
      <c r="C3929" s="35">
        <v>22075.9</v>
      </c>
      <c r="D3929" s="33" t="s">
        <v>54</v>
      </c>
      <c r="E3929" s="34">
        <v>411.053</v>
      </c>
      <c r="F3929" s="36">
        <v>0.108000000000004</v>
      </c>
      <c r="G3929" s="34">
        <v>0.108000000000004</v>
      </c>
      <c r="H3929" s="35">
        <v>120.1</v>
      </c>
      <c r="I3929" s="37">
        <f t="shared" si="61"/>
        <v>5.4403217988847558E-3</v>
      </c>
      <c r="J3929" s="33"/>
    </row>
    <row r="3930" spans="1:10">
      <c r="A3930" s="33" t="s">
        <v>27</v>
      </c>
      <c r="B3930" s="34">
        <v>410.94499999999999</v>
      </c>
      <c r="C3930" s="35">
        <v>22075.9</v>
      </c>
      <c r="D3930" s="33" t="s">
        <v>274</v>
      </c>
      <c r="E3930" s="34">
        <v>411.05599999999998</v>
      </c>
      <c r="F3930" s="36">
        <v>0.11099999999999</v>
      </c>
      <c r="G3930" s="34">
        <v>0.11099999999999</v>
      </c>
      <c r="H3930" s="35">
        <v>75</v>
      </c>
      <c r="I3930" s="37">
        <f t="shared" si="61"/>
        <v>3.3973699826507636E-3</v>
      </c>
      <c r="J3930" s="33"/>
    </row>
    <row r="3931" spans="1:10">
      <c r="A3931" s="33" t="s">
        <v>27</v>
      </c>
      <c r="B3931" s="34">
        <v>410.94499999999999</v>
      </c>
      <c r="C3931" s="35">
        <v>22075.9</v>
      </c>
      <c r="D3931" s="33" t="s">
        <v>36</v>
      </c>
      <c r="E3931" s="34">
        <v>411.06</v>
      </c>
      <c r="F3931" s="36">
        <v>0.115</v>
      </c>
      <c r="G3931" s="34">
        <v>0.115</v>
      </c>
      <c r="H3931" s="35">
        <v>1308.8</v>
      </c>
      <c r="I3931" s="37">
        <f t="shared" si="61"/>
        <v>5.9286371110577593E-2</v>
      </c>
      <c r="J3931" s="33" t="s">
        <v>116</v>
      </c>
    </row>
    <row r="3932" spans="1:10">
      <c r="A3932" s="33" t="s">
        <v>27</v>
      </c>
      <c r="B3932" s="34">
        <v>410.94499999999999</v>
      </c>
      <c r="C3932" s="35">
        <v>22075.9</v>
      </c>
      <c r="D3932" s="33" t="s">
        <v>116</v>
      </c>
      <c r="E3932" s="34">
        <v>411.08</v>
      </c>
      <c r="F3932" s="36">
        <v>0.13500000000000001</v>
      </c>
      <c r="G3932" s="34">
        <v>0.13500000000000001</v>
      </c>
      <c r="H3932" s="35">
        <v>25.1</v>
      </c>
      <c r="I3932" s="37">
        <f t="shared" si="61"/>
        <v>1.1369864875271224E-3</v>
      </c>
      <c r="J3932" s="33" t="s">
        <v>116</v>
      </c>
    </row>
    <row r="3933" spans="1:10">
      <c r="A3933" s="33" t="s">
        <v>27</v>
      </c>
      <c r="B3933" s="34">
        <v>410.94499999999999</v>
      </c>
      <c r="C3933" s="35">
        <v>22075.9</v>
      </c>
      <c r="D3933" s="33" t="s">
        <v>277</v>
      </c>
      <c r="E3933" s="34">
        <v>411.08300000000003</v>
      </c>
      <c r="F3933" s="36">
        <v>0.13800000000003401</v>
      </c>
      <c r="G3933" s="34">
        <v>0.13800000000003401</v>
      </c>
      <c r="H3933" s="35">
        <v>129.5</v>
      </c>
      <c r="I3933" s="37">
        <f t="shared" si="61"/>
        <v>5.8661255033769857E-3</v>
      </c>
      <c r="J3933" s="33"/>
    </row>
    <row r="3934" spans="1:10">
      <c r="A3934" s="33" t="s">
        <v>27</v>
      </c>
      <c r="B3934" s="34">
        <v>410.94499999999999</v>
      </c>
      <c r="C3934" s="35">
        <v>22075.9</v>
      </c>
      <c r="D3934" s="33" t="s">
        <v>279</v>
      </c>
      <c r="E3934" s="34">
        <v>411.089</v>
      </c>
      <c r="F3934" s="36">
        <v>0.14400000000000601</v>
      </c>
      <c r="G3934" s="34">
        <v>0.14400000000000601</v>
      </c>
      <c r="H3934" s="35">
        <v>11.7</v>
      </c>
      <c r="I3934" s="37">
        <f t="shared" si="61"/>
        <v>5.2998971729351909E-4</v>
      </c>
      <c r="J3934" s="33"/>
    </row>
    <row r="3935" spans="1:10">
      <c r="A3935" s="33" t="s">
        <v>27</v>
      </c>
      <c r="B3935" s="34">
        <v>410.94499999999999</v>
      </c>
      <c r="C3935" s="35">
        <v>22075.9</v>
      </c>
      <c r="D3935" s="33" t="s">
        <v>240</v>
      </c>
      <c r="E3935" s="34">
        <v>411.09</v>
      </c>
      <c r="F3935" s="36">
        <v>0.144999999999982</v>
      </c>
      <c r="G3935" s="34">
        <v>0.144999999999982</v>
      </c>
      <c r="H3935" s="35">
        <v>40.700000000000003</v>
      </c>
      <c r="I3935" s="37">
        <f t="shared" si="61"/>
        <v>1.8436394439184812E-3</v>
      </c>
      <c r="J3935" s="33"/>
    </row>
    <row r="3936" spans="1:10">
      <c r="A3936" s="33" t="s">
        <v>27</v>
      </c>
      <c r="B3936" s="34">
        <v>410.94499999999999</v>
      </c>
      <c r="C3936" s="35">
        <v>22075.9</v>
      </c>
      <c r="D3936" s="33" t="s">
        <v>239</v>
      </c>
      <c r="E3936" s="34">
        <v>411.09399999999999</v>
      </c>
      <c r="F3936" s="36">
        <v>0.14900000000000099</v>
      </c>
      <c r="G3936" s="34">
        <v>0.14900000000000099</v>
      </c>
      <c r="H3936" s="35">
        <v>38.5</v>
      </c>
      <c r="I3936" s="37">
        <f t="shared" si="61"/>
        <v>1.7439832577607255E-3</v>
      </c>
      <c r="J3936" s="33"/>
    </row>
    <row r="3937" spans="1:10">
      <c r="A3937" s="33" t="s">
        <v>27</v>
      </c>
      <c r="B3937" s="34">
        <v>430.35700000000003</v>
      </c>
      <c r="C3937" s="35">
        <v>24740.7</v>
      </c>
      <c r="D3937" s="33" t="s">
        <v>116</v>
      </c>
      <c r="E3937" s="34">
        <v>430.05099999999999</v>
      </c>
      <c r="F3937" s="36">
        <v>0.30599999999999999</v>
      </c>
      <c r="G3937" s="34">
        <v>0.30599999999999999</v>
      </c>
      <c r="H3937" s="35">
        <v>183.7</v>
      </c>
      <c r="I3937" s="37">
        <f t="shared" si="61"/>
        <v>7.4250122268165403E-3</v>
      </c>
      <c r="J3937" s="33" t="s">
        <v>116</v>
      </c>
    </row>
    <row r="3938" spans="1:10">
      <c r="A3938" s="33" t="s">
        <v>27</v>
      </c>
      <c r="B3938" s="34">
        <v>430.35700000000003</v>
      </c>
      <c r="C3938" s="35">
        <v>24740.7</v>
      </c>
      <c r="D3938" s="33" t="s">
        <v>273</v>
      </c>
      <c r="E3938" s="34">
        <v>430.09800000000001</v>
      </c>
      <c r="F3938" s="36">
        <v>0.259000000000015</v>
      </c>
      <c r="G3938" s="34">
        <v>0.259000000000015</v>
      </c>
      <c r="H3938" s="35">
        <v>268.10000000000002</v>
      </c>
      <c r="I3938" s="37">
        <f t="shared" si="61"/>
        <v>1.0836395089872155E-2</v>
      </c>
      <c r="J3938" s="33"/>
    </row>
    <row r="3939" spans="1:10">
      <c r="A3939" s="33" t="s">
        <v>27</v>
      </c>
      <c r="B3939" s="34">
        <v>430.35700000000003</v>
      </c>
      <c r="C3939" s="35">
        <v>24740.7</v>
      </c>
      <c r="D3939" s="33" t="s">
        <v>278</v>
      </c>
      <c r="E3939" s="34">
        <v>430.113</v>
      </c>
      <c r="F3939" s="36">
        <v>0.244000000000028</v>
      </c>
      <c r="G3939" s="34">
        <v>0.244000000000028</v>
      </c>
      <c r="H3939" s="35">
        <v>25.4</v>
      </c>
      <c r="I3939" s="37">
        <f t="shared" si="61"/>
        <v>1.0266483971755043E-3</v>
      </c>
      <c r="J3939" s="33"/>
    </row>
    <row r="3940" spans="1:10">
      <c r="A3940" s="33" t="s">
        <v>27</v>
      </c>
      <c r="B3940" s="34">
        <v>430.35700000000003</v>
      </c>
      <c r="C3940" s="35">
        <v>24740.7</v>
      </c>
      <c r="D3940" s="33" t="s">
        <v>239</v>
      </c>
      <c r="E3940" s="34">
        <v>430.11799999999999</v>
      </c>
      <c r="F3940" s="36">
        <v>0.23900000000003299</v>
      </c>
      <c r="G3940" s="34">
        <v>0.23900000000003299</v>
      </c>
      <c r="H3940" s="35">
        <v>21</v>
      </c>
      <c r="I3940" s="37">
        <f t="shared" si="61"/>
        <v>8.4880379294037761E-4</v>
      </c>
      <c r="J3940" s="33"/>
    </row>
    <row r="3941" spans="1:10">
      <c r="A3941" s="33" t="s">
        <v>27</v>
      </c>
      <c r="B3941" s="34">
        <v>430.35700000000003</v>
      </c>
      <c r="C3941" s="35">
        <v>24740.7</v>
      </c>
      <c r="D3941" s="33" t="s">
        <v>27</v>
      </c>
      <c r="E3941" s="34">
        <v>430.12</v>
      </c>
      <c r="F3941" s="36">
        <v>0.237000000000023</v>
      </c>
      <c r="G3941" s="34">
        <v>0.237000000000023</v>
      </c>
      <c r="H3941" s="35">
        <v>743.9</v>
      </c>
      <c r="I3941" s="37">
        <f t="shared" si="61"/>
        <v>3.0067863884206993E-2</v>
      </c>
      <c r="J3941" s="33" t="s">
        <v>116</v>
      </c>
    </row>
    <row r="3942" spans="1:10">
      <c r="A3942" s="33" t="s">
        <v>27</v>
      </c>
      <c r="B3942" s="34">
        <v>430.35700000000003</v>
      </c>
      <c r="C3942" s="35">
        <v>24740.7</v>
      </c>
      <c r="D3942" s="33" t="s">
        <v>277</v>
      </c>
      <c r="E3942" s="34">
        <v>430.14600000000002</v>
      </c>
      <c r="F3942" s="36">
        <v>0.21100000000001301</v>
      </c>
      <c r="G3942" s="34">
        <v>0.21100000000001301</v>
      </c>
      <c r="H3942" s="35">
        <v>306</v>
      </c>
      <c r="I3942" s="37">
        <f t="shared" si="61"/>
        <v>1.2368283839988359E-2</v>
      </c>
      <c r="J3942" s="33"/>
    </row>
    <row r="3943" spans="1:10">
      <c r="A3943" s="33" t="s">
        <v>27</v>
      </c>
      <c r="B3943" s="34">
        <v>430.35700000000003</v>
      </c>
      <c r="C3943" s="35">
        <v>24740.7</v>
      </c>
      <c r="D3943" s="33" t="s">
        <v>84</v>
      </c>
      <c r="E3943" s="34">
        <v>430.16</v>
      </c>
      <c r="F3943" s="36">
        <v>0.19700000000000001</v>
      </c>
      <c r="G3943" s="34">
        <v>0.19700000000000001</v>
      </c>
      <c r="H3943" s="35">
        <v>1386.6</v>
      </c>
      <c r="I3943" s="37">
        <f t="shared" si="61"/>
        <v>5.6045301871006072E-2</v>
      </c>
      <c r="J3943" s="33" t="s">
        <v>116</v>
      </c>
    </row>
    <row r="3944" spans="1:10">
      <c r="A3944" s="33" t="s">
        <v>27</v>
      </c>
      <c r="B3944" s="34">
        <v>430.35700000000003</v>
      </c>
      <c r="C3944" s="35">
        <v>24740.7</v>
      </c>
      <c r="D3944" s="33" t="s">
        <v>290</v>
      </c>
      <c r="E3944" s="34">
        <v>430.161</v>
      </c>
      <c r="F3944" s="36">
        <v>0.19600000000002599</v>
      </c>
      <c r="G3944" s="34">
        <v>0.19600000000002599</v>
      </c>
      <c r="H3944" s="35">
        <v>20.100000000000001</v>
      </c>
      <c r="I3944" s="37">
        <f t="shared" si="61"/>
        <v>8.1242648752864711E-4</v>
      </c>
      <c r="J3944" s="33"/>
    </row>
    <row r="3945" spans="1:10">
      <c r="A3945" s="33" t="s">
        <v>27</v>
      </c>
      <c r="B3945" s="34">
        <v>430.35700000000003</v>
      </c>
      <c r="C3945" s="35">
        <v>24740.7</v>
      </c>
      <c r="D3945" s="33" t="s">
        <v>236</v>
      </c>
      <c r="E3945" s="34">
        <v>430.18400000000003</v>
      </c>
      <c r="F3945" s="36">
        <v>0.17300000000000201</v>
      </c>
      <c r="G3945" s="34">
        <v>0.17300000000000201</v>
      </c>
      <c r="H3945" s="35">
        <v>470.6</v>
      </c>
      <c r="I3945" s="37">
        <f t="shared" si="61"/>
        <v>1.902128880751151E-2</v>
      </c>
      <c r="J3945" s="33"/>
    </row>
    <row r="3946" spans="1:10">
      <c r="A3946" s="33" t="s">
        <v>27</v>
      </c>
      <c r="B3946" s="34">
        <v>430.35700000000003</v>
      </c>
      <c r="C3946" s="35">
        <v>24740.7</v>
      </c>
      <c r="D3946" s="33" t="s">
        <v>237</v>
      </c>
      <c r="E3946" s="34">
        <v>430.19099999999997</v>
      </c>
      <c r="F3946" s="36">
        <v>0.16600000000005399</v>
      </c>
      <c r="G3946" s="34">
        <v>0.16600000000005399</v>
      </c>
      <c r="H3946" s="35">
        <v>1457.2</v>
      </c>
      <c r="I3946" s="37">
        <f t="shared" si="61"/>
        <v>5.8898899384415157E-2</v>
      </c>
      <c r="J3946" s="33"/>
    </row>
    <row r="3947" spans="1:10">
      <c r="A3947" s="33" t="s">
        <v>27</v>
      </c>
      <c r="B3947" s="34">
        <v>430.35700000000003</v>
      </c>
      <c r="C3947" s="35">
        <v>24740.7</v>
      </c>
      <c r="D3947" s="33" t="s">
        <v>274</v>
      </c>
      <c r="E3947" s="34">
        <v>430.21</v>
      </c>
      <c r="F3947" s="36">
        <v>0.14700000000004801</v>
      </c>
      <c r="G3947" s="34">
        <v>0.14700000000004801</v>
      </c>
      <c r="H3947" s="35">
        <v>348.9</v>
      </c>
      <c r="I3947" s="37">
        <f t="shared" si="61"/>
        <v>1.4102268731280844E-2</v>
      </c>
      <c r="J3947" s="33"/>
    </row>
    <row r="3948" spans="1:10">
      <c r="A3948" s="33" t="s">
        <v>27</v>
      </c>
      <c r="B3948" s="34">
        <v>430.35700000000003</v>
      </c>
      <c r="C3948" s="35">
        <v>24740.7</v>
      </c>
      <c r="D3948" s="33" t="s">
        <v>173</v>
      </c>
      <c r="E3948" s="34">
        <v>430.21499999999997</v>
      </c>
      <c r="F3948" s="36">
        <v>0.142000000000053</v>
      </c>
      <c r="G3948" s="34">
        <v>0.142000000000053</v>
      </c>
      <c r="H3948" s="35">
        <v>711</v>
      </c>
      <c r="I3948" s="37">
        <f t="shared" si="61"/>
        <v>2.873807127526707E-2</v>
      </c>
      <c r="J3948" s="33"/>
    </row>
    <row r="3949" spans="1:10">
      <c r="A3949" s="33" t="s">
        <v>27</v>
      </c>
      <c r="B3949" s="34">
        <v>430.35700000000003</v>
      </c>
      <c r="C3949" s="35">
        <v>24740.7</v>
      </c>
      <c r="D3949" s="33" t="s">
        <v>116</v>
      </c>
      <c r="E3949" s="34">
        <v>430.22899999999998</v>
      </c>
      <c r="F3949" s="36">
        <v>0.128</v>
      </c>
      <c r="G3949" s="34">
        <v>0.128</v>
      </c>
      <c r="H3949" s="35">
        <v>232.4</v>
      </c>
      <c r="I3949" s="37">
        <f t="shared" si="61"/>
        <v>9.3934286418735115E-3</v>
      </c>
      <c r="J3949" s="33" t="s">
        <v>116</v>
      </c>
    </row>
    <row r="3950" spans="1:10">
      <c r="A3950" s="33" t="s">
        <v>27</v>
      </c>
      <c r="B3950" s="34">
        <v>430.35700000000003</v>
      </c>
      <c r="C3950" s="35">
        <v>24740.7</v>
      </c>
      <c r="D3950" s="33" t="s">
        <v>238</v>
      </c>
      <c r="E3950" s="34">
        <v>430.25299999999999</v>
      </c>
      <c r="F3950" s="36">
        <v>0.104000000000042</v>
      </c>
      <c r="G3950" s="34">
        <v>0.104000000000042</v>
      </c>
      <c r="H3950" s="35">
        <v>2561.6999999999998</v>
      </c>
      <c r="I3950" s="37">
        <f t="shared" si="61"/>
        <v>0.10354193697025547</v>
      </c>
      <c r="J3950" s="33"/>
    </row>
    <row r="3951" spans="1:10">
      <c r="A3951" s="33" t="s">
        <v>27</v>
      </c>
      <c r="B3951" s="34">
        <v>430.35700000000003</v>
      </c>
      <c r="C3951" s="35">
        <v>24740.7</v>
      </c>
      <c r="D3951" s="33" t="s">
        <v>25</v>
      </c>
      <c r="E3951" s="34">
        <v>430.26499999999999</v>
      </c>
      <c r="F3951" s="36">
        <v>9.2000000000041396E-2</v>
      </c>
      <c r="G3951" s="34">
        <v>9.2000000000041396E-2</v>
      </c>
      <c r="H3951" s="35">
        <v>70</v>
      </c>
      <c r="I3951" s="37">
        <f t="shared" si="61"/>
        <v>2.8293459764679252E-3</v>
      </c>
      <c r="J3951" s="33" t="s">
        <v>116</v>
      </c>
    </row>
    <row r="3952" spans="1:10">
      <c r="A3952" s="33" t="s">
        <v>27</v>
      </c>
      <c r="B3952" s="34">
        <v>430.35700000000003</v>
      </c>
      <c r="C3952" s="35">
        <v>24740.7</v>
      </c>
      <c r="D3952" s="33" t="s">
        <v>33</v>
      </c>
      <c r="E3952" s="34">
        <v>430.27100000000002</v>
      </c>
      <c r="F3952" s="36">
        <v>8.6000000000012705E-2</v>
      </c>
      <c r="G3952" s="34">
        <v>8.6000000000012705E-2</v>
      </c>
      <c r="H3952" s="35">
        <v>474</v>
      </c>
      <c r="I3952" s="37">
        <f t="shared" si="61"/>
        <v>1.915871418351138E-2</v>
      </c>
      <c r="J3952" s="33" t="s">
        <v>116</v>
      </c>
    </row>
    <row r="3953" spans="1:10">
      <c r="A3953" s="33" t="s">
        <v>27</v>
      </c>
      <c r="B3953" s="34">
        <v>430.35700000000003</v>
      </c>
      <c r="C3953" s="35">
        <v>24740.7</v>
      </c>
      <c r="D3953" s="33" t="s">
        <v>133</v>
      </c>
      <c r="E3953" s="34">
        <v>430.27199999999999</v>
      </c>
      <c r="F3953" s="36">
        <v>8.5000000000036394E-2</v>
      </c>
      <c r="G3953" s="34">
        <v>8.5000000000036394E-2</v>
      </c>
      <c r="H3953" s="35">
        <v>13.7</v>
      </c>
      <c r="I3953" s="37">
        <f t="shared" si="61"/>
        <v>5.5374342682300824E-4</v>
      </c>
      <c r="J3953" s="33"/>
    </row>
    <row r="3954" spans="1:10">
      <c r="A3954" s="33" t="s">
        <v>27</v>
      </c>
      <c r="B3954" s="34">
        <v>430.35700000000003</v>
      </c>
      <c r="C3954" s="35">
        <v>24740.7</v>
      </c>
      <c r="D3954" s="33" t="s">
        <v>236</v>
      </c>
      <c r="E3954" s="34">
        <v>430.28699999999998</v>
      </c>
      <c r="F3954" s="36">
        <v>7.0000000000049994E-2</v>
      </c>
      <c r="G3954" s="34">
        <v>7.0000000000049994E-2</v>
      </c>
      <c r="H3954" s="35">
        <v>199.7</v>
      </c>
      <c r="I3954" s="37">
        <f t="shared" si="61"/>
        <v>8.0717198785806368E-3</v>
      </c>
      <c r="J3954" s="33"/>
    </row>
    <row r="3955" spans="1:10">
      <c r="A3955" s="33" t="s">
        <v>27</v>
      </c>
      <c r="B3955" s="34">
        <v>430.35700000000003</v>
      </c>
      <c r="C3955" s="35">
        <v>24740.7</v>
      </c>
      <c r="D3955" s="33" t="s">
        <v>201</v>
      </c>
      <c r="E3955" s="34">
        <v>430.29500000000002</v>
      </c>
      <c r="F3955" s="36">
        <v>6.2000000000011803E-2</v>
      </c>
      <c r="G3955" s="34">
        <v>6.2000000000011803E-2</v>
      </c>
      <c r="H3955" s="35">
        <v>185.3</v>
      </c>
      <c r="I3955" s="37">
        <f t="shared" si="61"/>
        <v>7.4896829919929514E-3</v>
      </c>
      <c r="J3955" s="33"/>
    </row>
    <row r="3956" spans="1:10">
      <c r="A3956" s="33" t="s">
        <v>27</v>
      </c>
      <c r="B3956" s="34">
        <v>430.35700000000003</v>
      </c>
      <c r="C3956" s="35">
        <v>24740.7</v>
      </c>
      <c r="D3956" s="33" t="s">
        <v>278</v>
      </c>
      <c r="E3956" s="34">
        <v>430.351</v>
      </c>
      <c r="F3956" s="36">
        <v>6.00000000002865E-3</v>
      </c>
      <c r="G3956" s="34">
        <v>6.00000000002865E-3</v>
      </c>
      <c r="H3956" s="35">
        <v>21.3</v>
      </c>
      <c r="I3956" s="37">
        <f t="shared" si="61"/>
        <v>8.6092956141095437E-4</v>
      </c>
      <c r="J3956" s="33"/>
    </row>
    <row r="3957" spans="1:10">
      <c r="A3957" s="33" t="s">
        <v>27</v>
      </c>
      <c r="B3957" s="34">
        <v>430.35700000000003</v>
      </c>
      <c r="C3957" s="35">
        <v>24740.7</v>
      </c>
      <c r="D3957" s="33" t="s">
        <v>173</v>
      </c>
      <c r="E3957" s="34">
        <v>430.36099999999999</v>
      </c>
      <c r="F3957" s="36">
        <v>3.9999999999622603E-3</v>
      </c>
      <c r="G3957" s="34">
        <v>3.9999999999622603E-3</v>
      </c>
      <c r="H3957" s="35">
        <v>1946.8</v>
      </c>
      <c r="I3957" s="37">
        <f t="shared" si="61"/>
        <v>7.8688153528396518E-2</v>
      </c>
      <c r="J3957" s="33"/>
    </row>
    <row r="3958" spans="1:10">
      <c r="A3958" s="33" t="s">
        <v>27</v>
      </c>
      <c r="B3958" s="34">
        <v>430.35700000000003</v>
      </c>
      <c r="C3958" s="35">
        <v>24740.7</v>
      </c>
      <c r="D3958" s="33" t="s">
        <v>84</v>
      </c>
      <c r="E3958" s="34">
        <v>430.37900000000002</v>
      </c>
      <c r="F3958" s="36">
        <v>2.1999999999999999E-2</v>
      </c>
      <c r="G3958" s="34">
        <v>2.1999999999999999E-2</v>
      </c>
      <c r="H3958" s="35">
        <v>410.9</v>
      </c>
      <c r="I3958" s="37">
        <f t="shared" si="61"/>
        <v>1.6608260881866722E-2</v>
      </c>
      <c r="J3958" s="33" t="s">
        <v>116</v>
      </c>
    </row>
    <row r="3959" spans="1:10">
      <c r="A3959" s="33" t="s">
        <v>27</v>
      </c>
      <c r="B3959" s="34">
        <v>430.35700000000003</v>
      </c>
      <c r="C3959" s="35">
        <v>24740.7</v>
      </c>
      <c r="D3959" s="33" t="s">
        <v>270</v>
      </c>
      <c r="E3959" s="34">
        <v>430.404</v>
      </c>
      <c r="F3959" s="36">
        <v>4.6999999999968602E-2</v>
      </c>
      <c r="G3959" s="34">
        <v>4.6999999999968602E-2</v>
      </c>
      <c r="H3959" s="35">
        <v>296.3</v>
      </c>
      <c r="I3959" s="37">
        <f t="shared" si="61"/>
        <v>1.1976217326106375E-2</v>
      </c>
      <c r="J3959" s="33"/>
    </row>
    <row r="3960" spans="1:10">
      <c r="A3960" s="33" t="s">
        <v>27</v>
      </c>
      <c r="B3960" s="34">
        <v>430.35700000000003</v>
      </c>
      <c r="C3960" s="35">
        <v>24740.7</v>
      </c>
      <c r="D3960" s="33" t="s">
        <v>279</v>
      </c>
      <c r="E3960" s="34">
        <v>430.44099999999997</v>
      </c>
      <c r="F3960" s="36">
        <v>8.3999999999946298E-2</v>
      </c>
      <c r="G3960" s="34">
        <v>8.3999999999946298E-2</v>
      </c>
      <c r="H3960" s="35">
        <v>13.3</v>
      </c>
      <c r="I3960" s="37">
        <f t="shared" si="61"/>
        <v>5.3757573552890578E-4</v>
      </c>
      <c r="J3960" s="33"/>
    </row>
    <row r="3961" spans="1:10">
      <c r="A3961" s="33" t="s">
        <v>27</v>
      </c>
      <c r="B3961" s="34">
        <v>430.35700000000003</v>
      </c>
      <c r="C3961" s="35">
        <v>24740.7</v>
      </c>
      <c r="D3961" s="33" t="s">
        <v>27</v>
      </c>
      <c r="E3961" s="34">
        <v>430.44299999999998</v>
      </c>
      <c r="F3961" s="36">
        <v>8.5999999999955903E-2</v>
      </c>
      <c r="G3961" s="34">
        <v>8.5999999999955903E-2</v>
      </c>
      <c r="H3961" s="35">
        <v>2806.7</v>
      </c>
      <c r="I3961" s="37">
        <f t="shared" si="61"/>
        <v>0.11344464788789321</v>
      </c>
      <c r="J3961" s="33" t="s">
        <v>116</v>
      </c>
    </row>
    <row r="3962" spans="1:10">
      <c r="A3962" s="33" t="s">
        <v>27</v>
      </c>
      <c r="B3962" s="34">
        <v>430.35700000000003</v>
      </c>
      <c r="C3962" s="35">
        <v>24740.7</v>
      </c>
      <c r="D3962" s="33" t="s">
        <v>36</v>
      </c>
      <c r="E3962" s="34">
        <v>430.459</v>
      </c>
      <c r="F3962" s="36">
        <v>0.10199999999999999</v>
      </c>
      <c r="G3962" s="34">
        <v>0.10199999999999999</v>
      </c>
      <c r="H3962" s="35">
        <v>1541.2</v>
      </c>
      <c r="I3962" s="37">
        <f t="shared" si="61"/>
        <v>6.2294114556176665E-2</v>
      </c>
      <c r="J3962" s="33" t="s">
        <v>116</v>
      </c>
    </row>
    <row r="3963" spans="1:10">
      <c r="A3963" s="33" t="s">
        <v>27</v>
      </c>
      <c r="B3963" s="34">
        <v>430.35700000000003</v>
      </c>
      <c r="C3963" s="35">
        <v>24740.7</v>
      </c>
      <c r="D3963" s="33" t="s">
        <v>238</v>
      </c>
      <c r="E3963" s="34">
        <v>430.46699999999998</v>
      </c>
      <c r="F3963" s="36">
        <v>0.10999999999995699</v>
      </c>
      <c r="G3963" s="34">
        <v>0.10999999999995699</v>
      </c>
      <c r="H3963" s="35">
        <v>15.5</v>
      </c>
      <c r="I3963" s="37">
        <f t="shared" si="61"/>
        <v>6.2649803764646913E-4</v>
      </c>
      <c r="J3963" s="33"/>
    </row>
    <row r="3964" spans="1:10">
      <c r="A3964" s="33" t="s">
        <v>27</v>
      </c>
      <c r="B3964" s="34">
        <v>430.35700000000003</v>
      </c>
      <c r="C3964" s="35">
        <v>24740.7</v>
      </c>
      <c r="D3964" s="33" t="s">
        <v>236</v>
      </c>
      <c r="E3964" s="34">
        <v>430.46899999999999</v>
      </c>
      <c r="F3964" s="36">
        <v>0.111999999999966</v>
      </c>
      <c r="G3964" s="34">
        <v>0.111999999999966</v>
      </c>
      <c r="H3964" s="35">
        <v>107.1</v>
      </c>
      <c r="I3964" s="37">
        <f t="shared" si="61"/>
        <v>4.3288993439959253E-3</v>
      </c>
      <c r="J3964" s="33"/>
    </row>
    <row r="3965" spans="1:10">
      <c r="A3965" s="33" t="s">
        <v>27</v>
      </c>
      <c r="B3965" s="34">
        <v>430.35700000000003</v>
      </c>
      <c r="C3965" s="35">
        <v>24740.7</v>
      </c>
      <c r="D3965" s="33" t="s">
        <v>270</v>
      </c>
      <c r="E3965" s="34">
        <v>430.495</v>
      </c>
      <c r="F3965" s="36">
        <v>0.137999999999977</v>
      </c>
      <c r="G3965" s="34">
        <v>0.137999999999977</v>
      </c>
      <c r="H3965" s="35">
        <v>2076.4</v>
      </c>
      <c r="I3965" s="37">
        <f t="shared" si="61"/>
        <v>8.3926485507685722E-2</v>
      </c>
      <c r="J3965" s="33"/>
    </row>
    <row r="3966" spans="1:10">
      <c r="A3966" s="33" t="s">
        <v>27</v>
      </c>
      <c r="B3966" s="34">
        <v>430.35700000000003</v>
      </c>
      <c r="C3966" s="35">
        <v>24740.7</v>
      </c>
      <c r="D3966" s="33" t="s">
        <v>25</v>
      </c>
      <c r="E3966" s="34">
        <v>430.51400000000001</v>
      </c>
      <c r="F3966" s="36">
        <v>0.15699999999998199</v>
      </c>
      <c r="G3966" s="34">
        <v>0.15699999999998199</v>
      </c>
      <c r="H3966" s="35">
        <v>2870</v>
      </c>
      <c r="I3966" s="37">
        <f t="shared" si="61"/>
        <v>0.11600318503518493</v>
      </c>
      <c r="J3966" s="33" t="s">
        <v>116</v>
      </c>
    </row>
    <row r="3967" spans="1:10">
      <c r="A3967" s="33" t="s">
        <v>27</v>
      </c>
      <c r="B3967" s="34">
        <v>430.35700000000003</v>
      </c>
      <c r="C3967" s="35">
        <v>24740.7</v>
      </c>
      <c r="D3967" s="33" t="s">
        <v>280</v>
      </c>
      <c r="E3967" s="34">
        <v>430.52499999999998</v>
      </c>
      <c r="F3967" s="36">
        <v>0.16799999999994999</v>
      </c>
      <c r="G3967" s="34">
        <v>0.16799999999994999</v>
      </c>
      <c r="H3967" s="35">
        <v>1075.7</v>
      </c>
      <c r="I3967" s="37">
        <f t="shared" si="61"/>
        <v>4.3478963812664959E-2</v>
      </c>
      <c r="J3967" s="33"/>
    </row>
    <row r="3968" spans="1:10">
      <c r="A3968" s="33" t="s">
        <v>27</v>
      </c>
      <c r="B3968" s="34">
        <v>430.35700000000003</v>
      </c>
      <c r="C3968" s="35">
        <v>24740.7</v>
      </c>
      <c r="D3968" s="33" t="s">
        <v>302</v>
      </c>
      <c r="E3968" s="34">
        <v>430.54399999999998</v>
      </c>
      <c r="F3968" s="36">
        <v>0.18699999999995501</v>
      </c>
      <c r="G3968" s="34">
        <v>0.18699999999995501</v>
      </c>
      <c r="H3968" s="35">
        <v>17776.400000000001</v>
      </c>
      <c r="I3968" s="37">
        <f t="shared" si="61"/>
        <v>0.71850836880120617</v>
      </c>
      <c r="J3968" s="33"/>
    </row>
    <row r="3969" spans="1:10">
      <c r="A3969" s="33" t="s">
        <v>27</v>
      </c>
      <c r="B3969" s="34">
        <v>430.35700000000003</v>
      </c>
      <c r="C3969" s="35">
        <v>24740.7</v>
      </c>
      <c r="D3969" s="33" t="s">
        <v>239</v>
      </c>
      <c r="E3969" s="34">
        <v>430.54500000000002</v>
      </c>
      <c r="F3969" s="36">
        <v>0.18799999999998801</v>
      </c>
      <c r="G3969" s="34">
        <v>0.18799999999998801</v>
      </c>
      <c r="H3969" s="35">
        <v>9.5</v>
      </c>
      <c r="I3969" s="37">
        <f t="shared" si="61"/>
        <v>3.8398266823493272E-4</v>
      </c>
      <c r="J3969" s="33"/>
    </row>
    <row r="3970" spans="1:10">
      <c r="A3970" s="33" t="s">
        <v>27</v>
      </c>
      <c r="B3970" s="34">
        <v>430.35700000000003</v>
      </c>
      <c r="C3970" s="35">
        <v>24740.7</v>
      </c>
      <c r="D3970" s="33" t="s">
        <v>278</v>
      </c>
      <c r="E3970" s="34">
        <v>430.54700000000003</v>
      </c>
      <c r="F3970" s="36">
        <v>0.189999999999998</v>
      </c>
      <c r="G3970" s="34">
        <v>0.189999999999998</v>
      </c>
      <c r="H3970" s="35">
        <v>22.4</v>
      </c>
      <c r="I3970" s="37">
        <f t="shared" ref="I3970:I4033" si="62">H3970/C3970</f>
        <v>9.0539071246973604E-4</v>
      </c>
      <c r="J3970" s="33"/>
    </row>
    <row r="3971" spans="1:10">
      <c r="A3971" s="33" t="s">
        <v>27</v>
      </c>
      <c r="B3971" s="34">
        <v>430.35700000000003</v>
      </c>
      <c r="C3971" s="35">
        <v>24740.7</v>
      </c>
      <c r="D3971" s="33" t="s">
        <v>184</v>
      </c>
      <c r="E3971" s="34">
        <v>430.57100000000003</v>
      </c>
      <c r="F3971" s="36">
        <v>0.213999999999999</v>
      </c>
      <c r="G3971" s="34">
        <v>0.213999999999999</v>
      </c>
      <c r="H3971" s="35">
        <v>7818.6</v>
      </c>
      <c r="I3971" s="37">
        <f t="shared" si="62"/>
        <v>0.31602177788017316</v>
      </c>
      <c r="J3971" s="33"/>
    </row>
    <row r="3972" spans="1:10">
      <c r="A3972" s="33" t="s">
        <v>27</v>
      </c>
      <c r="B3972" s="34">
        <v>430.35700000000003</v>
      </c>
      <c r="C3972" s="35">
        <v>24740.7</v>
      </c>
      <c r="D3972" s="33" t="s">
        <v>173</v>
      </c>
      <c r="E3972" s="34">
        <v>430.57499999999999</v>
      </c>
      <c r="F3972" s="36">
        <v>0.217999999999961</v>
      </c>
      <c r="G3972" s="34">
        <v>0.217999999999961</v>
      </c>
      <c r="H3972" s="35">
        <v>7805.1</v>
      </c>
      <c r="I3972" s="37">
        <f t="shared" si="62"/>
        <v>0.31547611829899719</v>
      </c>
      <c r="J3972" s="33"/>
    </row>
    <row r="3973" spans="1:10">
      <c r="A3973" s="33" t="s">
        <v>27</v>
      </c>
      <c r="B3973" s="34">
        <v>430.35700000000003</v>
      </c>
      <c r="C3973" s="35">
        <v>24740.7</v>
      </c>
      <c r="D3973" s="33" t="s">
        <v>237</v>
      </c>
      <c r="E3973" s="34">
        <v>430.59100000000001</v>
      </c>
      <c r="F3973" s="36">
        <v>0.23399999999998</v>
      </c>
      <c r="G3973" s="34">
        <v>0.23399999999998</v>
      </c>
      <c r="H3973" s="35">
        <v>3140.6</v>
      </c>
      <c r="I3973" s="37">
        <f t="shared" si="62"/>
        <v>0.12694062819564522</v>
      </c>
      <c r="J3973" s="33"/>
    </row>
    <row r="3974" spans="1:10">
      <c r="A3974" s="33" t="s">
        <v>27</v>
      </c>
      <c r="B3974" s="34">
        <v>430.35700000000003</v>
      </c>
      <c r="C3974" s="35">
        <v>24740.7</v>
      </c>
      <c r="D3974" s="33" t="s">
        <v>63</v>
      </c>
      <c r="E3974" s="34">
        <v>430.596</v>
      </c>
      <c r="F3974" s="36">
        <v>0.23899999999999999</v>
      </c>
      <c r="G3974" s="34">
        <v>0.23899999999999999</v>
      </c>
      <c r="H3974" s="35">
        <v>38.799999999999997</v>
      </c>
      <c r="I3974" s="37">
        <f t="shared" si="62"/>
        <v>1.5682660555279356E-3</v>
      </c>
      <c r="J3974" s="33" t="s">
        <v>116</v>
      </c>
    </row>
    <row r="3975" spans="1:10">
      <c r="A3975" s="33" t="s">
        <v>27</v>
      </c>
      <c r="B3975" s="34">
        <v>430.35700000000003</v>
      </c>
      <c r="C3975" s="35">
        <v>24740.7</v>
      </c>
      <c r="D3975" s="33" t="s">
        <v>278</v>
      </c>
      <c r="E3975" s="34">
        <v>430.62099999999998</v>
      </c>
      <c r="F3975" s="36">
        <v>0.26399999999995299</v>
      </c>
      <c r="G3975" s="34">
        <v>0.26399999999995299</v>
      </c>
      <c r="H3975" s="35">
        <v>147.19999999999999</v>
      </c>
      <c r="I3975" s="37">
        <f t="shared" si="62"/>
        <v>5.9497103962296936E-3</v>
      </c>
      <c r="J3975" s="33"/>
    </row>
    <row r="3976" spans="1:10">
      <c r="A3976" s="33" t="s">
        <v>27</v>
      </c>
      <c r="B3976" s="34">
        <v>430.35700000000003</v>
      </c>
      <c r="C3976" s="35">
        <v>24740.7</v>
      </c>
      <c r="D3976" s="33" t="s">
        <v>273</v>
      </c>
      <c r="E3976" s="34">
        <v>430.62700000000001</v>
      </c>
      <c r="F3976" s="36">
        <v>0.26999999999998198</v>
      </c>
      <c r="G3976" s="34">
        <v>0.26999999999998198</v>
      </c>
      <c r="H3976" s="35">
        <v>21.4</v>
      </c>
      <c r="I3976" s="37">
        <f t="shared" si="62"/>
        <v>8.6497148423447996E-4</v>
      </c>
      <c r="J3976" s="33"/>
    </row>
    <row r="3977" spans="1:10">
      <c r="A3977" s="33" t="s">
        <v>165</v>
      </c>
      <c r="B3977" s="34">
        <v>216.55500000000001</v>
      </c>
      <c r="C3977" s="35">
        <v>6350</v>
      </c>
      <c r="D3977" s="33" t="s">
        <v>97</v>
      </c>
      <c r="E3977" s="34">
        <v>216.386</v>
      </c>
      <c r="F3977" s="36">
        <v>0.169000000000011</v>
      </c>
      <c r="G3977" s="34">
        <v>0.169000000000011</v>
      </c>
      <c r="H3977" s="35">
        <v>3.9</v>
      </c>
      <c r="I3977" s="37">
        <f t="shared" si="62"/>
        <v>6.1417322834645663E-4</v>
      </c>
      <c r="J3977" s="33"/>
    </row>
    <row r="3978" spans="1:10">
      <c r="A3978" s="33" t="s">
        <v>165</v>
      </c>
      <c r="B3978" s="34">
        <v>216.55500000000001</v>
      </c>
      <c r="C3978" s="35">
        <v>6350</v>
      </c>
      <c r="D3978" s="33" t="s">
        <v>274</v>
      </c>
      <c r="E3978" s="34">
        <v>216.38800000000001</v>
      </c>
      <c r="F3978" s="36">
        <v>0.16700000000000201</v>
      </c>
      <c r="G3978" s="34">
        <v>0.16700000000000201</v>
      </c>
      <c r="H3978" s="35">
        <v>271.7</v>
      </c>
      <c r="I3978" s="37">
        <f t="shared" si="62"/>
        <v>4.2787401574803145E-2</v>
      </c>
      <c r="J3978" s="33"/>
    </row>
    <row r="3979" spans="1:10">
      <c r="A3979" s="33" t="s">
        <v>165</v>
      </c>
      <c r="B3979" s="34">
        <v>216.55500000000001</v>
      </c>
      <c r="C3979" s="35">
        <v>6350</v>
      </c>
      <c r="D3979" s="33" t="s">
        <v>312</v>
      </c>
      <c r="E3979" s="34">
        <v>216.416</v>
      </c>
      <c r="F3979" s="36">
        <v>0.13900000000001</v>
      </c>
      <c r="G3979" s="34">
        <v>0.13900000000001</v>
      </c>
      <c r="H3979" s="35">
        <v>44</v>
      </c>
      <c r="I3979" s="37">
        <f t="shared" si="62"/>
        <v>6.929133858267717E-3</v>
      </c>
      <c r="J3979" s="33"/>
    </row>
    <row r="3980" spans="1:10">
      <c r="A3980" s="33" t="s">
        <v>165</v>
      </c>
      <c r="B3980" s="34">
        <v>216.55500000000001</v>
      </c>
      <c r="C3980" s="35">
        <v>6350</v>
      </c>
      <c r="D3980" s="33" t="s">
        <v>97</v>
      </c>
      <c r="E3980" s="34">
        <v>216.434</v>
      </c>
      <c r="F3980" s="36">
        <v>0.121000000000009</v>
      </c>
      <c r="G3980" s="34">
        <v>0.121000000000009</v>
      </c>
      <c r="H3980" s="35">
        <v>20.2</v>
      </c>
      <c r="I3980" s="37">
        <f t="shared" si="62"/>
        <v>3.1811023622047244E-3</v>
      </c>
      <c r="J3980" s="33"/>
    </row>
    <row r="3981" spans="1:10">
      <c r="A3981" s="33" t="s">
        <v>165</v>
      </c>
      <c r="B3981" s="34">
        <v>216.55500000000001</v>
      </c>
      <c r="C3981" s="35">
        <v>6350</v>
      </c>
      <c r="D3981" s="33" t="s">
        <v>97</v>
      </c>
      <c r="E3981" s="34">
        <v>216.45500000000001</v>
      </c>
      <c r="F3981" s="36">
        <v>9.9999999999994302E-2</v>
      </c>
      <c r="G3981" s="34">
        <v>9.9999999999994302E-2</v>
      </c>
      <c r="H3981" s="35">
        <v>11.6</v>
      </c>
      <c r="I3981" s="37">
        <f t="shared" si="62"/>
        <v>1.826771653543307E-3</v>
      </c>
      <c r="J3981" s="33"/>
    </row>
    <row r="3982" spans="1:10">
      <c r="A3982" s="33" t="s">
        <v>165</v>
      </c>
      <c r="B3982" s="34">
        <v>216.55500000000001</v>
      </c>
      <c r="C3982" s="35">
        <v>6350</v>
      </c>
      <c r="D3982" s="33" t="s">
        <v>239</v>
      </c>
      <c r="E3982" s="34">
        <v>216.46600000000001</v>
      </c>
      <c r="F3982" s="36">
        <v>8.8999999999998594E-2</v>
      </c>
      <c r="G3982" s="34">
        <v>8.8999999999998594E-2</v>
      </c>
      <c r="H3982" s="35">
        <v>7.2</v>
      </c>
      <c r="I3982" s="37">
        <f t="shared" si="62"/>
        <v>1.1338582677165355E-3</v>
      </c>
      <c r="J3982" s="33"/>
    </row>
    <row r="3983" spans="1:10">
      <c r="A3983" s="33" t="s">
        <v>165</v>
      </c>
      <c r="B3983" s="34">
        <v>216.55500000000001</v>
      </c>
      <c r="C3983" s="35">
        <v>6350</v>
      </c>
      <c r="D3983" s="33" t="s">
        <v>284</v>
      </c>
      <c r="E3983" s="34">
        <v>216.48500000000001</v>
      </c>
      <c r="F3983" s="36">
        <v>6.9999999999993207E-2</v>
      </c>
      <c r="G3983" s="34">
        <v>6.9999999999993207E-2</v>
      </c>
      <c r="H3983" s="35">
        <v>28.4</v>
      </c>
      <c r="I3983" s="37">
        <f t="shared" si="62"/>
        <v>4.4724409448818891E-3</v>
      </c>
      <c r="J3983" s="33"/>
    </row>
    <row r="3984" spans="1:10">
      <c r="A3984" s="33" t="s">
        <v>165</v>
      </c>
      <c r="B3984" s="34">
        <v>216.55500000000001</v>
      </c>
      <c r="C3984" s="35">
        <v>6350</v>
      </c>
      <c r="D3984" s="33" t="s">
        <v>193</v>
      </c>
      <c r="E3984" s="34">
        <v>216.501</v>
      </c>
      <c r="F3984" s="36">
        <v>5.4000000000002102E-2</v>
      </c>
      <c r="G3984" s="34">
        <v>5.4000000000002102E-2</v>
      </c>
      <c r="H3984" s="35">
        <v>271.7</v>
      </c>
      <c r="I3984" s="37">
        <f t="shared" si="62"/>
        <v>4.2787401574803145E-2</v>
      </c>
      <c r="J3984" s="33"/>
    </row>
    <row r="3985" spans="1:10">
      <c r="A3985" s="33" t="s">
        <v>165</v>
      </c>
      <c r="B3985" s="34">
        <v>216.55500000000001</v>
      </c>
      <c r="C3985" s="35">
        <v>6350</v>
      </c>
      <c r="D3985" s="33" t="s">
        <v>286</v>
      </c>
      <c r="E3985" s="34">
        <v>216.51</v>
      </c>
      <c r="F3985" s="36">
        <v>4.5000000000015902E-2</v>
      </c>
      <c r="G3985" s="34">
        <v>4.5000000000015902E-2</v>
      </c>
      <c r="H3985" s="35">
        <v>1914.3</v>
      </c>
      <c r="I3985" s="37">
        <f t="shared" si="62"/>
        <v>0.30146456692913387</v>
      </c>
      <c r="J3985" s="33"/>
    </row>
    <row r="3986" spans="1:10">
      <c r="A3986" s="33" t="s">
        <v>165</v>
      </c>
      <c r="B3986" s="34">
        <v>216.55500000000001</v>
      </c>
      <c r="C3986" s="35">
        <v>6350</v>
      </c>
      <c r="D3986" s="33" t="s">
        <v>275</v>
      </c>
      <c r="E3986" s="34">
        <v>216.517</v>
      </c>
      <c r="F3986" s="36">
        <v>3.80000000000109E-2</v>
      </c>
      <c r="G3986" s="34">
        <v>3.80000000000109E-2</v>
      </c>
      <c r="H3986" s="35">
        <v>6.7</v>
      </c>
      <c r="I3986" s="37">
        <f t="shared" si="62"/>
        <v>1.0551181102362204E-3</v>
      </c>
      <c r="J3986" s="33"/>
    </row>
    <row r="3987" spans="1:10">
      <c r="A3987" s="33" t="s">
        <v>165</v>
      </c>
      <c r="B3987" s="34">
        <v>216.55500000000001</v>
      </c>
      <c r="C3987" s="35">
        <v>6350</v>
      </c>
      <c r="D3987" s="33" t="s">
        <v>285</v>
      </c>
      <c r="E3987" s="34">
        <v>216.51900000000001</v>
      </c>
      <c r="F3987" s="36">
        <v>3.6000000000001399E-2</v>
      </c>
      <c r="G3987" s="34">
        <v>3.6000000000001399E-2</v>
      </c>
      <c r="H3987" s="35">
        <v>6</v>
      </c>
      <c r="I3987" s="37">
        <f t="shared" si="62"/>
        <v>9.4488188976377954E-4</v>
      </c>
      <c r="J3987" s="33"/>
    </row>
    <row r="3988" spans="1:10">
      <c r="A3988" s="33" t="s">
        <v>165</v>
      </c>
      <c r="B3988" s="34">
        <v>216.55500000000001</v>
      </c>
      <c r="C3988" s="35">
        <v>6350</v>
      </c>
      <c r="D3988" s="33" t="s">
        <v>294</v>
      </c>
      <c r="E3988" s="34">
        <v>216.52099999999999</v>
      </c>
      <c r="F3988" s="36">
        <v>3.4000000000020202E-2</v>
      </c>
      <c r="G3988" s="34">
        <v>3.4000000000020202E-2</v>
      </c>
      <c r="H3988" s="35">
        <v>111.4</v>
      </c>
      <c r="I3988" s="37">
        <f t="shared" si="62"/>
        <v>1.7543307086614175E-2</v>
      </c>
      <c r="J3988" s="33"/>
    </row>
    <row r="3989" spans="1:10">
      <c r="A3989" s="33" t="s">
        <v>165</v>
      </c>
      <c r="B3989" s="34">
        <v>216.55500000000001</v>
      </c>
      <c r="C3989" s="35">
        <v>6350</v>
      </c>
      <c r="D3989" s="33" t="s">
        <v>269</v>
      </c>
      <c r="E3989" s="34">
        <v>216.523</v>
      </c>
      <c r="F3989" s="36">
        <v>3.20000000000107E-2</v>
      </c>
      <c r="G3989" s="34">
        <v>3.20000000000107E-2</v>
      </c>
      <c r="H3989" s="35">
        <v>3.1</v>
      </c>
      <c r="I3989" s="37">
        <f t="shared" si="62"/>
        <v>4.8818897637795279E-4</v>
      </c>
      <c r="J3989" s="33"/>
    </row>
    <row r="3990" spans="1:10">
      <c r="A3990" s="33" t="s">
        <v>165</v>
      </c>
      <c r="B3990" s="34">
        <v>216.55500000000001</v>
      </c>
      <c r="C3990" s="35">
        <v>6350</v>
      </c>
      <c r="D3990" s="33" t="s">
        <v>274</v>
      </c>
      <c r="E3990" s="34">
        <v>216.52600000000001</v>
      </c>
      <c r="F3990" s="36">
        <v>2.89999999999964E-2</v>
      </c>
      <c r="G3990" s="34">
        <v>2.89999999999964E-2</v>
      </c>
      <c r="H3990" s="35">
        <v>23.1</v>
      </c>
      <c r="I3990" s="37">
        <f t="shared" si="62"/>
        <v>3.6377952755905513E-3</v>
      </c>
      <c r="J3990" s="33"/>
    </row>
    <row r="3991" spans="1:10">
      <c r="A3991" s="33" t="s">
        <v>165</v>
      </c>
      <c r="B3991" s="34">
        <v>216.55500000000001</v>
      </c>
      <c r="C3991" s="35">
        <v>6350</v>
      </c>
      <c r="D3991" s="33" t="s">
        <v>285</v>
      </c>
      <c r="E3991" s="34">
        <v>216.529</v>
      </c>
      <c r="F3991" s="36">
        <v>2.6000000000010501E-2</v>
      </c>
      <c r="G3991" s="34">
        <v>2.6000000000010501E-2</v>
      </c>
      <c r="H3991" s="35">
        <v>1.5</v>
      </c>
      <c r="I3991" s="37">
        <f t="shared" si="62"/>
        <v>2.3622047244094488E-4</v>
      </c>
      <c r="J3991" s="33"/>
    </row>
    <row r="3992" spans="1:10">
      <c r="A3992" s="33" t="s">
        <v>165</v>
      </c>
      <c r="B3992" s="34">
        <v>216.55500000000001</v>
      </c>
      <c r="C3992" s="35">
        <v>6350</v>
      </c>
      <c r="D3992" s="33" t="s">
        <v>193</v>
      </c>
      <c r="E3992" s="34">
        <v>216.529</v>
      </c>
      <c r="F3992" s="36">
        <v>2.6000000000010501E-2</v>
      </c>
      <c r="G3992" s="34">
        <v>2.6000000000010501E-2</v>
      </c>
      <c r="H3992" s="35">
        <v>17.100000000000001</v>
      </c>
      <c r="I3992" s="37">
        <f t="shared" si="62"/>
        <v>2.6929133858267719E-3</v>
      </c>
      <c r="J3992" s="33"/>
    </row>
    <row r="3993" spans="1:10">
      <c r="A3993" s="33" t="s">
        <v>165</v>
      </c>
      <c r="B3993" s="34">
        <v>216.55500000000001</v>
      </c>
      <c r="C3993" s="35">
        <v>6350</v>
      </c>
      <c r="D3993" s="33" t="s">
        <v>239</v>
      </c>
      <c r="E3993" s="34">
        <v>216.53100000000001</v>
      </c>
      <c r="F3993" s="36">
        <v>2.4000000000000899E-2</v>
      </c>
      <c r="G3993" s="34">
        <v>2.4000000000000899E-2</v>
      </c>
      <c r="H3993" s="35">
        <v>0.4</v>
      </c>
      <c r="I3993" s="37">
        <f t="shared" si="62"/>
        <v>6.2992125984251971E-5</v>
      </c>
      <c r="J3993" s="33"/>
    </row>
    <row r="3994" spans="1:10">
      <c r="A3994" s="33" t="s">
        <v>165</v>
      </c>
      <c r="B3994" s="34">
        <v>216.55500000000001</v>
      </c>
      <c r="C3994" s="35">
        <v>6350</v>
      </c>
      <c r="D3994" s="33" t="s">
        <v>279</v>
      </c>
      <c r="E3994" s="34">
        <v>216.542</v>
      </c>
      <c r="F3994" s="36">
        <v>1.30000000000052E-2</v>
      </c>
      <c r="G3994" s="34">
        <v>1.30000000000052E-2</v>
      </c>
      <c r="H3994" s="35">
        <v>22.3</v>
      </c>
      <c r="I3994" s="37">
        <f t="shared" si="62"/>
        <v>3.5118110236220476E-3</v>
      </c>
      <c r="J3994" s="33"/>
    </row>
    <row r="3995" spans="1:10">
      <c r="A3995" s="33" t="s">
        <v>165</v>
      </c>
      <c r="B3995" s="34">
        <v>216.55500000000001</v>
      </c>
      <c r="C3995" s="35">
        <v>6350</v>
      </c>
      <c r="D3995" s="33" t="s">
        <v>193</v>
      </c>
      <c r="E3995" s="34">
        <v>216.54499999999999</v>
      </c>
      <c r="F3995" s="36">
        <v>1.0000000000019301E-2</v>
      </c>
      <c r="G3995" s="34">
        <v>1.0000000000019301E-2</v>
      </c>
      <c r="H3995" s="35">
        <v>8.6999999999999993</v>
      </c>
      <c r="I3995" s="37">
        <f t="shared" si="62"/>
        <v>1.3700787401574803E-3</v>
      </c>
      <c r="J3995" s="33"/>
    </row>
    <row r="3996" spans="1:10">
      <c r="A3996" s="33" t="s">
        <v>165</v>
      </c>
      <c r="B3996" s="34">
        <v>216.55500000000001</v>
      </c>
      <c r="C3996" s="35">
        <v>6350</v>
      </c>
      <c r="D3996" s="33" t="s">
        <v>305</v>
      </c>
      <c r="E3996" s="34">
        <v>216.55199999999999</v>
      </c>
      <c r="F3996" s="36">
        <v>3.0000000000143302E-3</v>
      </c>
      <c r="G3996" s="34">
        <v>3.0000000000143302E-3</v>
      </c>
      <c r="H3996" s="35">
        <v>25.3</v>
      </c>
      <c r="I3996" s="37">
        <f t="shared" si="62"/>
        <v>3.9842519685039371E-3</v>
      </c>
      <c r="J3996" s="33"/>
    </row>
    <row r="3997" spans="1:10">
      <c r="A3997" s="33" t="s">
        <v>165</v>
      </c>
      <c r="B3997" s="34">
        <v>216.55500000000001</v>
      </c>
      <c r="C3997" s="35">
        <v>6350</v>
      </c>
      <c r="D3997" s="33" t="s">
        <v>285</v>
      </c>
      <c r="E3997" s="34">
        <v>216.55500000000001</v>
      </c>
      <c r="F3997" s="36">
        <v>0</v>
      </c>
      <c r="G3997" s="34">
        <v>0</v>
      </c>
      <c r="H3997" s="35">
        <v>3.4</v>
      </c>
      <c r="I3997" s="37">
        <f t="shared" si="62"/>
        <v>5.3543307086614171E-4</v>
      </c>
      <c r="J3997" s="33"/>
    </row>
    <row r="3998" spans="1:10">
      <c r="A3998" s="33" t="s">
        <v>165</v>
      </c>
      <c r="B3998" s="34">
        <v>216.55500000000001</v>
      </c>
      <c r="C3998" s="35">
        <v>6350</v>
      </c>
      <c r="D3998" s="33" t="s">
        <v>274</v>
      </c>
      <c r="E3998" s="34">
        <v>216.55500000000001</v>
      </c>
      <c r="F3998" s="36">
        <v>0</v>
      </c>
      <c r="G3998" s="34">
        <v>0</v>
      </c>
      <c r="H3998" s="35">
        <v>10.1</v>
      </c>
      <c r="I3998" s="37">
        <f t="shared" si="62"/>
        <v>1.5905511811023622E-3</v>
      </c>
      <c r="J3998" s="33"/>
    </row>
    <row r="3999" spans="1:10">
      <c r="A3999" s="33" t="s">
        <v>165</v>
      </c>
      <c r="B3999" s="34">
        <v>216.55500000000001</v>
      </c>
      <c r="C3999" s="35">
        <v>6350</v>
      </c>
      <c r="D3999" s="33" t="s">
        <v>240</v>
      </c>
      <c r="E3999" s="34">
        <v>216.56</v>
      </c>
      <c r="F3999" s="36">
        <v>4.9999999999954499E-3</v>
      </c>
      <c r="G3999" s="34">
        <v>4.9999999999954499E-3</v>
      </c>
      <c r="H3999" s="35">
        <v>22</v>
      </c>
      <c r="I3999" s="37">
        <f t="shared" si="62"/>
        <v>3.4645669291338585E-3</v>
      </c>
      <c r="J3999" s="33"/>
    </row>
    <row r="4000" spans="1:10">
      <c r="A4000" s="33" t="s">
        <v>165</v>
      </c>
      <c r="B4000" s="34">
        <v>216.55500000000001</v>
      </c>
      <c r="C4000" s="35">
        <v>6350</v>
      </c>
      <c r="D4000" s="33" t="s">
        <v>279</v>
      </c>
      <c r="E4000" s="34">
        <v>216.565</v>
      </c>
      <c r="F4000" s="36">
        <v>9.9999999999909103E-3</v>
      </c>
      <c r="G4000" s="34">
        <v>9.9999999999909103E-3</v>
      </c>
      <c r="H4000" s="35">
        <v>17</v>
      </c>
      <c r="I4000" s="37">
        <f t="shared" si="62"/>
        <v>2.6771653543307085E-3</v>
      </c>
      <c r="J4000" s="33"/>
    </row>
    <row r="4001" spans="1:10">
      <c r="A4001" s="33" t="s">
        <v>165</v>
      </c>
      <c r="B4001" s="34">
        <v>216.55500000000001</v>
      </c>
      <c r="C4001" s="35">
        <v>6350</v>
      </c>
      <c r="D4001" s="33" t="s">
        <v>274</v>
      </c>
      <c r="E4001" s="34">
        <v>216.56800000000001</v>
      </c>
      <c r="F4001" s="36">
        <v>1.30000000000052E-2</v>
      </c>
      <c r="G4001" s="34">
        <v>1.30000000000052E-2</v>
      </c>
      <c r="H4001" s="35">
        <v>3.6</v>
      </c>
      <c r="I4001" s="37">
        <f t="shared" si="62"/>
        <v>5.6692913385826777E-4</v>
      </c>
      <c r="J4001" s="33"/>
    </row>
    <row r="4002" spans="1:10">
      <c r="A4002" s="33" t="s">
        <v>165</v>
      </c>
      <c r="B4002" s="34">
        <v>216.55500000000001</v>
      </c>
      <c r="C4002" s="35">
        <v>6350</v>
      </c>
      <c r="D4002" s="33" t="s">
        <v>275</v>
      </c>
      <c r="E4002" s="34">
        <v>216.58</v>
      </c>
      <c r="F4002" s="36">
        <v>2.5000000000005702E-2</v>
      </c>
      <c r="G4002" s="34">
        <v>2.5000000000005702E-2</v>
      </c>
      <c r="H4002" s="35">
        <v>51.4</v>
      </c>
      <c r="I4002" s="37">
        <f t="shared" si="62"/>
        <v>8.0944881889763783E-3</v>
      </c>
      <c r="J4002" s="33"/>
    </row>
    <row r="4003" spans="1:10">
      <c r="A4003" s="33" t="s">
        <v>165</v>
      </c>
      <c r="B4003" s="34">
        <v>216.55500000000001</v>
      </c>
      <c r="C4003" s="35">
        <v>6350</v>
      </c>
      <c r="D4003" s="33" t="s">
        <v>97</v>
      </c>
      <c r="E4003" s="34">
        <v>216.58600000000001</v>
      </c>
      <c r="F4003" s="36">
        <v>3.1000000000005901E-2</v>
      </c>
      <c r="G4003" s="34">
        <v>3.1000000000005901E-2</v>
      </c>
      <c r="H4003" s="35">
        <v>14.2</v>
      </c>
      <c r="I4003" s="37">
        <f t="shared" si="62"/>
        <v>2.2362204724409446E-3</v>
      </c>
      <c r="J4003" s="33"/>
    </row>
    <row r="4004" spans="1:10">
      <c r="A4004" s="33" t="s">
        <v>165</v>
      </c>
      <c r="B4004" s="34">
        <v>216.55500000000001</v>
      </c>
      <c r="C4004" s="35">
        <v>6350</v>
      </c>
      <c r="D4004" s="33" t="s">
        <v>279</v>
      </c>
      <c r="E4004" s="34">
        <v>216.59</v>
      </c>
      <c r="F4004" s="36">
        <v>3.4999999999996603E-2</v>
      </c>
      <c r="G4004" s="34">
        <v>3.4999999999996603E-2</v>
      </c>
      <c r="H4004" s="35">
        <v>8</v>
      </c>
      <c r="I4004" s="37">
        <f t="shared" si="62"/>
        <v>1.2598425196850393E-3</v>
      </c>
      <c r="J4004" s="33"/>
    </row>
    <row r="4005" spans="1:10">
      <c r="A4005" s="33" t="s">
        <v>165</v>
      </c>
      <c r="B4005" s="34">
        <v>216.55500000000001</v>
      </c>
      <c r="C4005" s="35">
        <v>6350</v>
      </c>
      <c r="D4005" s="33" t="s">
        <v>54</v>
      </c>
      <c r="E4005" s="34">
        <v>216.59200000000001</v>
      </c>
      <c r="F4005" s="36">
        <v>3.7000000000006097E-2</v>
      </c>
      <c r="G4005" s="34">
        <v>3.7000000000006097E-2</v>
      </c>
      <c r="H4005" s="35">
        <v>0.2</v>
      </c>
      <c r="I4005" s="37">
        <f t="shared" si="62"/>
        <v>3.1496062992125985E-5</v>
      </c>
      <c r="J4005" s="33"/>
    </row>
    <row r="4006" spans="1:10">
      <c r="A4006" s="33" t="s">
        <v>165</v>
      </c>
      <c r="B4006" s="34">
        <v>216.55500000000001</v>
      </c>
      <c r="C4006" s="35">
        <v>6350</v>
      </c>
      <c r="D4006" s="33" t="s">
        <v>294</v>
      </c>
      <c r="E4006" s="34">
        <v>216.596</v>
      </c>
      <c r="F4006" s="36">
        <v>4.0999999999996803E-2</v>
      </c>
      <c r="G4006" s="34">
        <v>4.0999999999996803E-2</v>
      </c>
      <c r="H4006" s="35">
        <v>3.6</v>
      </c>
      <c r="I4006" s="37">
        <f t="shared" si="62"/>
        <v>5.6692913385826777E-4</v>
      </c>
      <c r="J4006" s="33"/>
    </row>
    <row r="4007" spans="1:10">
      <c r="A4007" s="33" t="s">
        <v>165</v>
      </c>
      <c r="B4007" s="34">
        <v>216.55500000000001</v>
      </c>
      <c r="C4007" s="35">
        <v>6350</v>
      </c>
      <c r="D4007" s="33" t="s">
        <v>302</v>
      </c>
      <c r="E4007" s="34">
        <v>216.596</v>
      </c>
      <c r="F4007" s="36">
        <v>4.0999999999996803E-2</v>
      </c>
      <c r="G4007" s="34">
        <v>4.0999999999996803E-2</v>
      </c>
      <c r="H4007" s="35">
        <v>11165</v>
      </c>
      <c r="I4007" s="37">
        <f t="shared" si="62"/>
        <v>1.758267716535433</v>
      </c>
      <c r="J4007" s="33"/>
    </row>
    <row r="4008" spans="1:10">
      <c r="A4008" s="33" t="s">
        <v>165</v>
      </c>
      <c r="B4008" s="34">
        <v>216.55500000000001</v>
      </c>
      <c r="C4008" s="35">
        <v>6350</v>
      </c>
      <c r="D4008" s="33" t="s">
        <v>295</v>
      </c>
      <c r="E4008" s="34">
        <v>216.60300000000001</v>
      </c>
      <c r="F4008" s="36">
        <v>4.8000000000001798E-2</v>
      </c>
      <c r="G4008" s="34">
        <v>4.8000000000001798E-2</v>
      </c>
      <c r="H4008" s="35">
        <v>0.3</v>
      </c>
      <c r="I4008" s="37">
        <f t="shared" si="62"/>
        <v>4.7244094488188971E-5</v>
      </c>
      <c r="J4008" s="33"/>
    </row>
    <row r="4009" spans="1:10">
      <c r="A4009" s="33" t="s">
        <v>165</v>
      </c>
      <c r="B4009" s="34">
        <v>216.55500000000001</v>
      </c>
      <c r="C4009" s="35">
        <v>6350</v>
      </c>
      <c r="D4009" s="33" t="s">
        <v>165</v>
      </c>
      <c r="E4009" s="34">
        <v>216.61500000000001</v>
      </c>
      <c r="F4009" s="36">
        <v>6.0000000000002301E-2</v>
      </c>
      <c r="G4009" s="34">
        <v>6.0000000000002301E-2</v>
      </c>
      <c r="H4009" s="35">
        <v>17.100000000000001</v>
      </c>
      <c r="I4009" s="37">
        <f t="shared" si="62"/>
        <v>2.6929133858267719E-3</v>
      </c>
      <c r="J4009" s="33"/>
    </row>
    <row r="4010" spans="1:10">
      <c r="A4010" s="33" t="s">
        <v>165</v>
      </c>
      <c r="B4010" s="34">
        <v>216.55500000000001</v>
      </c>
      <c r="C4010" s="35">
        <v>6350</v>
      </c>
      <c r="D4010" s="33" t="s">
        <v>278</v>
      </c>
      <c r="E4010" s="34">
        <v>216.61799999999999</v>
      </c>
      <c r="F4010" s="36">
        <v>6.2999999999988204E-2</v>
      </c>
      <c r="G4010" s="34">
        <v>6.2999999999988204E-2</v>
      </c>
      <c r="H4010" s="35">
        <v>7</v>
      </c>
      <c r="I4010" s="37">
        <f t="shared" si="62"/>
        <v>1.1023622047244095E-3</v>
      </c>
      <c r="J4010" s="33"/>
    </row>
    <row r="4011" spans="1:10">
      <c r="A4011" s="33" t="s">
        <v>165</v>
      </c>
      <c r="B4011" s="34">
        <v>216.55500000000001</v>
      </c>
      <c r="C4011" s="35">
        <v>6350</v>
      </c>
      <c r="D4011" s="33" t="s">
        <v>278</v>
      </c>
      <c r="E4011" s="34">
        <v>216.62100000000001</v>
      </c>
      <c r="F4011" s="36">
        <v>6.6000000000002501E-2</v>
      </c>
      <c r="G4011" s="34">
        <v>6.6000000000002501E-2</v>
      </c>
      <c r="H4011" s="35">
        <v>0.7</v>
      </c>
      <c r="I4011" s="37">
        <f t="shared" si="62"/>
        <v>1.1023622047244094E-4</v>
      </c>
      <c r="J4011" s="33"/>
    </row>
    <row r="4012" spans="1:10">
      <c r="A4012" s="33" t="s">
        <v>165</v>
      </c>
      <c r="B4012" s="34">
        <v>216.55500000000001</v>
      </c>
      <c r="C4012" s="35">
        <v>6350</v>
      </c>
      <c r="D4012" s="33" t="s">
        <v>97</v>
      </c>
      <c r="E4012" s="34">
        <v>216.62299999999999</v>
      </c>
      <c r="F4012" s="36">
        <v>6.7999999999983601E-2</v>
      </c>
      <c r="G4012" s="34">
        <v>6.7999999999983601E-2</v>
      </c>
      <c r="H4012" s="35">
        <v>1.9</v>
      </c>
      <c r="I4012" s="37">
        <f t="shared" si="62"/>
        <v>2.9921259842519685E-4</v>
      </c>
      <c r="J4012" s="33"/>
    </row>
    <row r="4013" spans="1:10">
      <c r="A4013" s="33" t="s">
        <v>165</v>
      </c>
      <c r="B4013" s="34">
        <v>216.55500000000001</v>
      </c>
      <c r="C4013" s="35">
        <v>6350</v>
      </c>
      <c r="D4013" s="33" t="s">
        <v>268</v>
      </c>
      <c r="E4013" s="34">
        <v>216.62299999999999</v>
      </c>
      <c r="F4013" s="36">
        <v>6.7999999999983601E-2</v>
      </c>
      <c r="G4013" s="34">
        <v>6.7999999999983601E-2</v>
      </c>
      <c r="H4013" s="35">
        <v>21.4</v>
      </c>
      <c r="I4013" s="37">
        <f t="shared" si="62"/>
        <v>3.3700787401574799E-3</v>
      </c>
      <c r="J4013" s="33"/>
    </row>
    <row r="4014" spans="1:10">
      <c r="A4014" s="33" t="s">
        <v>165</v>
      </c>
      <c r="B4014" s="34">
        <v>216.55500000000001</v>
      </c>
      <c r="C4014" s="35">
        <v>6350</v>
      </c>
      <c r="D4014" s="33" t="s">
        <v>274</v>
      </c>
      <c r="E4014" s="34">
        <v>216.63200000000001</v>
      </c>
      <c r="F4014" s="36">
        <v>7.6999999999998195E-2</v>
      </c>
      <c r="G4014" s="34">
        <v>7.6999999999998195E-2</v>
      </c>
      <c r="H4014" s="35">
        <v>1334.7</v>
      </c>
      <c r="I4014" s="37">
        <f t="shared" si="62"/>
        <v>0.21018897637795275</v>
      </c>
      <c r="J4014" s="33"/>
    </row>
    <row r="4015" spans="1:10">
      <c r="A4015" s="33" t="s">
        <v>165</v>
      </c>
      <c r="B4015" s="34">
        <v>216.55500000000001</v>
      </c>
      <c r="C4015" s="35">
        <v>6350</v>
      </c>
      <c r="D4015" s="33" t="s">
        <v>239</v>
      </c>
      <c r="E4015" s="34">
        <v>216.67599999999999</v>
      </c>
      <c r="F4015" s="36">
        <v>0.120999999999981</v>
      </c>
      <c r="G4015" s="34">
        <v>0.120999999999981</v>
      </c>
      <c r="H4015" s="35">
        <v>18.399999999999999</v>
      </c>
      <c r="I4015" s="37">
        <f t="shared" si="62"/>
        <v>2.8976377952755904E-3</v>
      </c>
      <c r="J4015" s="33"/>
    </row>
    <row r="4016" spans="1:10">
      <c r="A4016" s="33" t="s">
        <v>165</v>
      </c>
      <c r="B4016" s="34">
        <v>216.55500000000001</v>
      </c>
      <c r="C4016" s="35">
        <v>6350</v>
      </c>
      <c r="D4016" s="33" t="s">
        <v>97</v>
      </c>
      <c r="E4016" s="34">
        <v>216.67699999999999</v>
      </c>
      <c r="F4016" s="36">
        <v>0.12199999999998599</v>
      </c>
      <c r="G4016" s="34">
        <v>0.12199999999998599</v>
      </c>
      <c r="H4016" s="35">
        <v>439.5</v>
      </c>
      <c r="I4016" s="37">
        <f t="shared" si="62"/>
        <v>6.921259842519685E-2</v>
      </c>
      <c r="J4016" s="33"/>
    </row>
    <row r="4017" spans="1:10">
      <c r="A4017" s="33" t="s">
        <v>165</v>
      </c>
      <c r="B4017" s="34">
        <v>217.46700000000001</v>
      </c>
      <c r="C4017" s="35">
        <v>3940.4</v>
      </c>
      <c r="D4017" s="33" t="s">
        <v>284</v>
      </c>
      <c r="E4017" s="34">
        <v>217.167</v>
      </c>
      <c r="F4017" s="36">
        <v>0.30000000000001098</v>
      </c>
      <c r="G4017" s="34">
        <v>0.30000000000001098</v>
      </c>
      <c r="H4017" s="35">
        <v>21</v>
      </c>
      <c r="I4017" s="37">
        <f t="shared" si="62"/>
        <v>5.3294081819104657E-3</v>
      </c>
      <c r="J4017" s="33"/>
    </row>
    <row r="4018" spans="1:10">
      <c r="A4018" s="33" t="s">
        <v>165</v>
      </c>
      <c r="B4018" s="34">
        <v>217.46700000000001</v>
      </c>
      <c r="C4018" s="35">
        <v>3940.4</v>
      </c>
      <c r="D4018" s="33" t="s">
        <v>286</v>
      </c>
      <c r="E4018" s="34">
        <v>217.18299999999999</v>
      </c>
      <c r="F4018" s="36">
        <v>0.28400000000002001</v>
      </c>
      <c r="G4018" s="34">
        <v>0.28400000000002001</v>
      </c>
      <c r="H4018" s="35">
        <v>10</v>
      </c>
      <c r="I4018" s="37">
        <f t="shared" si="62"/>
        <v>2.5378134199573648E-3</v>
      </c>
      <c r="J4018" s="33"/>
    </row>
    <row r="4019" spans="1:10">
      <c r="A4019" s="33" t="s">
        <v>165</v>
      </c>
      <c r="B4019" s="34">
        <v>217.46700000000001</v>
      </c>
      <c r="C4019" s="35">
        <v>3940.4</v>
      </c>
      <c r="D4019" s="33" t="s">
        <v>193</v>
      </c>
      <c r="E4019" s="34">
        <v>217.20699999999999</v>
      </c>
      <c r="F4019" s="36">
        <v>0.26000000000001899</v>
      </c>
      <c r="G4019" s="34">
        <v>0.26000000000001899</v>
      </c>
      <c r="H4019" s="35">
        <v>136.69999999999999</v>
      </c>
      <c r="I4019" s="37">
        <f t="shared" si="62"/>
        <v>3.4691909450817175E-2</v>
      </c>
      <c r="J4019" s="33"/>
    </row>
    <row r="4020" spans="1:10">
      <c r="A4020" s="33" t="s">
        <v>165</v>
      </c>
      <c r="B4020" s="34">
        <v>217.46700000000001</v>
      </c>
      <c r="C4020" s="35">
        <v>3940.4</v>
      </c>
      <c r="D4020" s="33" t="s">
        <v>290</v>
      </c>
      <c r="E4020" s="34">
        <v>217.221</v>
      </c>
      <c r="F4020" s="36">
        <v>0.24600000000000899</v>
      </c>
      <c r="G4020" s="34">
        <v>0.24600000000000899</v>
      </c>
      <c r="H4020" s="35">
        <v>43.6</v>
      </c>
      <c r="I4020" s="37">
        <f t="shared" si="62"/>
        <v>1.1064866511014111E-2</v>
      </c>
      <c r="J4020" s="33"/>
    </row>
    <row r="4021" spans="1:10">
      <c r="A4021" s="33" t="s">
        <v>165</v>
      </c>
      <c r="B4021" s="34">
        <v>217.46700000000001</v>
      </c>
      <c r="C4021" s="35">
        <v>3940.4</v>
      </c>
      <c r="D4021" s="33" t="s">
        <v>97</v>
      </c>
      <c r="E4021" s="34">
        <v>217.25800000000001</v>
      </c>
      <c r="F4021" s="36">
        <v>0.20900000000000299</v>
      </c>
      <c r="G4021" s="34">
        <v>0.20900000000000299</v>
      </c>
      <c r="H4021" s="35">
        <v>5.0999999999999996</v>
      </c>
      <c r="I4021" s="37">
        <f t="shared" si="62"/>
        <v>1.2942848441782559E-3</v>
      </c>
      <c r="J4021" s="33"/>
    </row>
    <row r="4022" spans="1:10">
      <c r="A4022" s="33" t="s">
        <v>165</v>
      </c>
      <c r="B4022" s="34">
        <v>217.46700000000001</v>
      </c>
      <c r="C4022" s="35">
        <v>3940.4</v>
      </c>
      <c r="D4022" s="33" t="s">
        <v>278</v>
      </c>
      <c r="E4022" s="34">
        <v>217.27600000000001</v>
      </c>
      <c r="F4022" s="36">
        <v>0.191000000000003</v>
      </c>
      <c r="G4022" s="34">
        <v>0.191000000000003</v>
      </c>
      <c r="H4022" s="35">
        <v>1.2</v>
      </c>
      <c r="I4022" s="37">
        <f t="shared" si="62"/>
        <v>3.0453761039488374E-4</v>
      </c>
      <c r="J4022" s="33"/>
    </row>
    <row r="4023" spans="1:10">
      <c r="A4023" s="33" t="s">
        <v>165</v>
      </c>
      <c r="B4023" s="34">
        <v>217.46700000000001</v>
      </c>
      <c r="C4023" s="35">
        <v>3940.4</v>
      </c>
      <c r="D4023" s="33" t="s">
        <v>54</v>
      </c>
      <c r="E4023" s="34">
        <v>217.28700000000001</v>
      </c>
      <c r="F4023" s="36">
        <v>0.18000000000000699</v>
      </c>
      <c r="G4023" s="34">
        <v>0.18000000000000699</v>
      </c>
      <c r="H4023" s="35">
        <v>8.4</v>
      </c>
      <c r="I4023" s="37">
        <f t="shared" si="62"/>
        <v>2.1317632727641863E-3</v>
      </c>
      <c r="J4023" s="33"/>
    </row>
    <row r="4024" spans="1:10">
      <c r="A4024" s="33" t="s">
        <v>165</v>
      </c>
      <c r="B4024" s="34">
        <v>217.46700000000001</v>
      </c>
      <c r="C4024" s="35">
        <v>3940.4</v>
      </c>
      <c r="D4024" s="33" t="s">
        <v>275</v>
      </c>
      <c r="E4024" s="34">
        <v>217.292</v>
      </c>
      <c r="F4024" s="36">
        <v>0.17500000000001101</v>
      </c>
      <c r="G4024" s="34">
        <v>0.17500000000001101</v>
      </c>
      <c r="H4024" s="35">
        <v>251.9</v>
      </c>
      <c r="I4024" s="37">
        <f t="shared" si="62"/>
        <v>6.3927520048726011E-2</v>
      </c>
      <c r="J4024" s="33"/>
    </row>
    <row r="4025" spans="1:10">
      <c r="A4025" s="33" t="s">
        <v>165</v>
      </c>
      <c r="B4025" s="34">
        <v>217.46700000000001</v>
      </c>
      <c r="C4025" s="35">
        <v>3940.4</v>
      </c>
      <c r="D4025" s="33" t="s">
        <v>269</v>
      </c>
      <c r="E4025" s="34">
        <v>217.29599999999999</v>
      </c>
      <c r="F4025" s="36">
        <v>0.171000000000021</v>
      </c>
      <c r="G4025" s="34">
        <v>0.171000000000021</v>
      </c>
      <c r="H4025" s="35">
        <v>26.9</v>
      </c>
      <c r="I4025" s="37">
        <f t="shared" si="62"/>
        <v>6.8267180996853102E-3</v>
      </c>
      <c r="J4025" s="33"/>
    </row>
    <row r="4026" spans="1:10">
      <c r="A4026" s="33" t="s">
        <v>165</v>
      </c>
      <c r="B4026" s="34">
        <v>217.46700000000001</v>
      </c>
      <c r="C4026" s="35">
        <v>3940.4</v>
      </c>
      <c r="D4026" s="33" t="s">
        <v>290</v>
      </c>
      <c r="E4026" s="34">
        <v>217.3</v>
      </c>
      <c r="F4026" s="36">
        <v>0.16700000000000201</v>
      </c>
      <c r="G4026" s="34">
        <v>0.16700000000000201</v>
      </c>
      <c r="H4026" s="35">
        <v>9.6999999999999993</v>
      </c>
      <c r="I4026" s="37">
        <f t="shared" si="62"/>
        <v>2.4616790173586436E-3</v>
      </c>
      <c r="J4026" s="33"/>
    </row>
    <row r="4027" spans="1:10">
      <c r="A4027" s="33" t="s">
        <v>165</v>
      </c>
      <c r="B4027" s="34">
        <v>217.46700000000001</v>
      </c>
      <c r="C4027" s="35">
        <v>3940.4</v>
      </c>
      <c r="D4027" s="33" t="s">
        <v>278</v>
      </c>
      <c r="E4027" s="34">
        <v>217.315</v>
      </c>
      <c r="F4027" s="36">
        <v>0.15200000000001501</v>
      </c>
      <c r="G4027" s="34">
        <v>0.15200000000001501</v>
      </c>
      <c r="H4027" s="35">
        <v>22.5</v>
      </c>
      <c r="I4027" s="37">
        <f t="shared" si="62"/>
        <v>5.7100801949040705E-3</v>
      </c>
      <c r="J4027" s="33"/>
    </row>
    <row r="4028" spans="1:10">
      <c r="A4028" s="33" t="s">
        <v>165</v>
      </c>
      <c r="B4028" s="34">
        <v>217.46700000000001</v>
      </c>
      <c r="C4028" s="35">
        <v>3940.4</v>
      </c>
      <c r="D4028" s="33" t="s">
        <v>97</v>
      </c>
      <c r="E4028" s="34">
        <v>217.321</v>
      </c>
      <c r="F4028" s="36">
        <v>0.14600000000001501</v>
      </c>
      <c r="G4028" s="34">
        <v>0.14600000000001501</v>
      </c>
      <c r="H4028" s="35">
        <v>5</v>
      </c>
      <c r="I4028" s="37">
        <f t="shared" si="62"/>
        <v>1.2689067099786824E-3</v>
      </c>
      <c r="J4028" s="33"/>
    </row>
    <row r="4029" spans="1:10">
      <c r="A4029" s="33" t="s">
        <v>165</v>
      </c>
      <c r="B4029" s="34">
        <v>217.46700000000001</v>
      </c>
      <c r="C4029" s="35">
        <v>3940.4</v>
      </c>
      <c r="D4029" s="33" t="s">
        <v>54</v>
      </c>
      <c r="E4029" s="34">
        <v>217.33</v>
      </c>
      <c r="F4029" s="36">
        <v>0.13700000000000101</v>
      </c>
      <c r="G4029" s="34">
        <v>0.13700000000000101</v>
      </c>
      <c r="H4029" s="35">
        <v>54.3</v>
      </c>
      <c r="I4029" s="37">
        <f t="shared" si="62"/>
        <v>1.378032687036849E-2</v>
      </c>
      <c r="J4029" s="33"/>
    </row>
    <row r="4030" spans="1:10">
      <c r="A4030" s="33" t="s">
        <v>165</v>
      </c>
      <c r="B4030" s="34">
        <v>217.46700000000001</v>
      </c>
      <c r="C4030" s="35">
        <v>3940.4</v>
      </c>
      <c r="D4030" s="33" t="s">
        <v>269</v>
      </c>
      <c r="E4030" s="34">
        <v>217.34200000000001</v>
      </c>
      <c r="F4030" s="36">
        <v>0.125</v>
      </c>
      <c r="G4030" s="34">
        <v>0.125</v>
      </c>
      <c r="H4030" s="35">
        <v>103.2</v>
      </c>
      <c r="I4030" s="37">
        <f t="shared" si="62"/>
        <v>2.6190234493960005E-2</v>
      </c>
      <c r="J4030" s="33"/>
    </row>
    <row r="4031" spans="1:10">
      <c r="A4031" s="33" t="s">
        <v>165</v>
      </c>
      <c r="B4031" s="34">
        <v>217.46700000000001</v>
      </c>
      <c r="C4031" s="35">
        <v>3940.4</v>
      </c>
      <c r="D4031" s="33" t="s">
        <v>165</v>
      </c>
      <c r="E4031" s="34">
        <v>217.35400000000001</v>
      </c>
      <c r="F4031" s="36">
        <v>0.113</v>
      </c>
      <c r="G4031" s="34">
        <v>0.113</v>
      </c>
      <c r="H4031" s="35">
        <v>12.1</v>
      </c>
      <c r="I4031" s="37">
        <f t="shared" si="62"/>
        <v>3.0707542381484113E-3</v>
      </c>
      <c r="J4031" s="33"/>
    </row>
    <row r="4032" spans="1:10">
      <c r="A4032" s="33" t="s">
        <v>165</v>
      </c>
      <c r="B4032" s="34">
        <v>217.46700000000001</v>
      </c>
      <c r="C4032" s="35">
        <v>3940.4</v>
      </c>
      <c r="D4032" s="33" t="s">
        <v>274</v>
      </c>
      <c r="E4032" s="34">
        <v>217.35499999999999</v>
      </c>
      <c r="F4032" s="36">
        <v>0.112000000000023</v>
      </c>
      <c r="G4032" s="34">
        <v>0.112000000000023</v>
      </c>
      <c r="H4032" s="35">
        <v>340.6</v>
      </c>
      <c r="I4032" s="37">
        <f t="shared" si="62"/>
        <v>8.6437925083747841E-2</v>
      </c>
      <c r="J4032" s="33"/>
    </row>
    <row r="4033" spans="1:10">
      <c r="A4033" s="33" t="s">
        <v>165</v>
      </c>
      <c r="B4033" s="34">
        <v>217.46700000000001</v>
      </c>
      <c r="C4033" s="35">
        <v>3940.4</v>
      </c>
      <c r="D4033" s="33" t="s">
        <v>54</v>
      </c>
      <c r="E4033" s="34">
        <v>217.39500000000001</v>
      </c>
      <c r="F4033" s="36">
        <v>7.2000000000002701E-2</v>
      </c>
      <c r="G4033" s="34">
        <v>7.2000000000002701E-2</v>
      </c>
      <c r="H4033" s="35">
        <v>39.4</v>
      </c>
      <c r="I4033" s="37">
        <f t="shared" si="62"/>
        <v>9.9989848746320168E-3</v>
      </c>
      <c r="J4033" s="33"/>
    </row>
    <row r="4034" spans="1:10">
      <c r="A4034" s="33" t="s">
        <v>165</v>
      </c>
      <c r="B4034" s="34">
        <v>217.46700000000001</v>
      </c>
      <c r="C4034" s="35">
        <v>3940.4</v>
      </c>
      <c r="D4034" s="33" t="s">
        <v>283</v>
      </c>
      <c r="E4034" s="34">
        <v>217.40700000000001</v>
      </c>
      <c r="F4034" s="36">
        <v>6.0000000000002301E-2</v>
      </c>
      <c r="G4034" s="34">
        <v>6.0000000000002301E-2</v>
      </c>
      <c r="H4034" s="35">
        <v>142</v>
      </c>
      <c r="I4034" s="37">
        <f t="shared" ref="I4034:I4097" si="63">H4034/C4034</f>
        <v>3.6036950563394579E-2</v>
      </c>
      <c r="J4034" s="33"/>
    </row>
    <row r="4035" spans="1:10">
      <c r="A4035" s="33" t="s">
        <v>165</v>
      </c>
      <c r="B4035" s="34">
        <v>217.46700000000001</v>
      </c>
      <c r="C4035" s="35">
        <v>3940.4</v>
      </c>
      <c r="D4035" s="33" t="s">
        <v>54</v>
      </c>
      <c r="E4035" s="34">
        <v>217.459</v>
      </c>
      <c r="F4035" s="36">
        <v>8.0000000000097805E-3</v>
      </c>
      <c r="G4035" s="34">
        <v>8.0000000000097805E-3</v>
      </c>
      <c r="H4035" s="35">
        <v>155.4</v>
      </c>
      <c r="I4035" s="37">
        <f t="shared" si="63"/>
        <v>3.9437620546137447E-2</v>
      </c>
      <c r="J4035" s="33"/>
    </row>
    <row r="4036" spans="1:10">
      <c r="A4036" s="33" t="s">
        <v>165</v>
      </c>
      <c r="B4036" s="34">
        <v>217.46700000000001</v>
      </c>
      <c r="C4036" s="35">
        <v>3940.4</v>
      </c>
      <c r="D4036" s="33" t="s">
        <v>294</v>
      </c>
      <c r="E4036" s="34">
        <v>217.46799999999999</v>
      </c>
      <c r="F4036" s="36">
        <v>9.9999999997635292E-4</v>
      </c>
      <c r="G4036" s="34">
        <v>9.9999999997635292E-4</v>
      </c>
      <c r="H4036" s="35">
        <v>1334.8</v>
      </c>
      <c r="I4036" s="37">
        <f t="shared" si="63"/>
        <v>0.338747335295909</v>
      </c>
      <c r="J4036" s="33"/>
    </row>
    <row r="4037" spans="1:10">
      <c r="A4037" s="33" t="s">
        <v>165</v>
      </c>
      <c r="B4037" s="34">
        <v>217.46700000000001</v>
      </c>
      <c r="C4037" s="35">
        <v>3940.4</v>
      </c>
      <c r="D4037" s="33" t="s">
        <v>54</v>
      </c>
      <c r="E4037" s="34">
        <v>217.49199999999999</v>
      </c>
      <c r="F4037" s="36">
        <v>2.4999999999977301E-2</v>
      </c>
      <c r="G4037" s="34">
        <v>2.4999999999977301E-2</v>
      </c>
      <c r="H4037" s="35">
        <v>5.0999999999999996</v>
      </c>
      <c r="I4037" s="37">
        <f t="shared" si="63"/>
        <v>1.2942848441782559E-3</v>
      </c>
      <c r="J4037" s="33"/>
    </row>
    <row r="4038" spans="1:10">
      <c r="A4038" s="33" t="s">
        <v>165</v>
      </c>
      <c r="B4038" s="34">
        <v>217.46700000000001</v>
      </c>
      <c r="C4038" s="35">
        <v>3940.4</v>
      </c>
      <c r="D4038" s="33" t="s">
        <v>308</v>
      </c>
      <c r="E4038" s="34">
        <v>217.51</v>
      </c>
      <c r="F4038" s="36">
        <v>4.2999999999977903E-2</v>
      </c>
      <c r="G4038" s="34">
        <v>4.2999999999977903E-2</v>
      </c>
      <c r="H4038" s="35">
        <v>1710.6</v>
      </c>
      <c r="I4038" s="37">
        <f t="shared" si="63"/>
        <v>0.43411836361790679</v>
      </c>
      <c r="J4038" s="33"/>
    </row>
    <row r="4039" spans="1:10">
      <c r="A4039" s="33" t="s">
        <v>165</v>
      </c>
      <c r="B4039" s="34">
        <v>217.46700000000001</v>
      </c>
      <c r="C4039" s="35">
        <v>3940.4</v>
      </c>
      <c r="D4039" s="33" t="s">
        <v>165</v>
      </c>
      <c r="E4039" s="34">
        <v>217.51400000000001</v>
      </c>
      <c r="F4039" s="36">
        <v>4.6999999999997003E-2</v>
      </c>
      <c r="G4039" s="34">
        <v>4.6999999999997003E-2</v>
      </c>
      <c r="H4039" s="35">
        <v>2439.4</v>
      </c>
      <c r="I4039" s="37">
        <f t="shared" si="63"/>
        <v>0.61907420566439952</v>
      </c>
      <c r="J4039" s="33"/>
    </row>
    <row r="4040" spans="1:10">
      <c r="A4040" s="33" t="s">
        <v>165</v>
      </c>
      <c r="B4040" s="34">
        <v>217.46700000000001</v>
      </c>
      <c r="C4040" s="35">
        <v>3940.4</v>
      </c>
      <c r="D4040" s="33" t="s">
        <v>290</v>
      </c>
      <c r="E4040" s="34">
        <v>217.52500000000001</v>
      </c>
      <c r="F4040" s="36">
        <v>5.7999999999992703E-2</v>
      </c>
      <c r="G4040" s="34">
        <v>5.7999999999992703E-2</v>
      </c>
      <c r="H4040" s="35">
        <v>147.5</v>
      </c>
      <c r="I4040" s="37">
        <f t="shared" si="63"/>
        <v>3.7432747944371132E-2</v>
      </c>
      <c r="J4040" s="33"/>
    </row>
    <row r="4041" spans="1:10">
      <c r="A4041" s="33" t="s">
        <v>165</v>
      </c>
      <c r="B4041" s="34">
        <v>217.46700000000001</v>
      </c>
      <c r="C4041" s="35">
        <v>3940.4</v>
      </c>
      <c r="D4041" s="33" t="s">
        <v>269</v>
      </c>
      <c r="E4041" s="34">
        <v>217.535</v>
      </c>
      <c r="F4041" s="36">
        <v>6.7999999999983601E-2</v>
      </c>
      <c r="G4041" s="34">
        <v>6.7999999999983601E-2</v>
      </c>
      <c r="H4041" s="35">
        <v>525</v>
      </c>
      <c r="I4041" s="37">
        <f t="shared" si="63"/>
        <v>0.13323520454776164</v>
      </c>
      <c r="J4041" s="33"/>
    </row>
    <row r="4042" spans="1:10">
      <c r="A4042" s="33" t="s">
        <v>165</v>
      </c>
      <c r="B4042" s="34">
        <v>217.46700000000001</v>
      </c>
      <c r="C4042" s="35">
        <v>3940.4</v>
      </c>
      <c r="D4042" s="33" t="s">
        <v>97</v>
      </c>
      <c r="E4042" s="34">
        <v>217.54499999999999</v>
      </c>
      <c r="F4042" s="36">
        <v>7.7999999999974506E-2</v>
      </c>
      <c r="G4042" s="34">
        <v>7.7999999999974506E-2</v>
      </c>
      <c r="H4042" s="35">
        <v>46.3</v>
      </c>
      <c r="I4042" s="37">
        <f t="shared" si="63"/>
        <v>1.1750076134402598E-2</v>
      </c>
      <c r="J4042" s="33"/>
    </row>
    <row r="4043" spans="1:10">
      <c r="A4043" s="33" t="s">
        <v>165</v>
      </c>
      <c r="B4043" s="34">
        <v>217.46700000000001</v>
      </c>
      <c r="C4043" s="35">
        <v>3940.4</v>
      </c>
      <c r="D4043" s="33" t="s">
        <v>274</v>
      </c>
      <c r="E4043" s="34">
        <v>217.54900000000001</v>
      </c>
      <c r="F4043" s="36">
        <v>8.1999999999993606E-2</v>
      </c>
      <c r="G4043" s="34">
        <v>8.1999999999993606E-2</v>
      </c>
      <c r="H4043" s="35">
        <v>56.4</v>
      </c>
      <c r="I4043" s="37">
        <f t="shared" si="63"/>
        <v>1.4313267688559537E-2</v>
      </c>
      <c r="J4043" s="33"/>
    </row>
    <row r="4044" spans="1:10">
      <c r="A4044" s="33" t="s">
        <v>165</v>
      </c>
      <c r="B4044" s="34">
        <v>217.46700000000001</v>
      </c>
      <c r="C4044" s="35">
        <v>3940.4</v>
      </c>
      <c r="D4044" s="33" t="s">
        <v>300</v>
      </c>
      <c r="E4044" s="34">
        <v>217.55799999999999</v>
      </c>
      <c r="F4044" s="36">
        <v>9.0999999999979805E-2</v>
      </c>
      <c r="G4044" s="34">
        <v>9.0999999999979805E-2</v>
      </c>
      <c r="H4044" s="35">
        <v>45</v>
      </c>
      <c r="I4044" s="37">
        <f t="shared" si="63"/>
        <v>1.1420160389808141E-2</v>
      </c>
      <c r="J4044" s="33"/>
    </row>
    <row r="4045" spans="1:10">
      <c r="A4045" s="33" t="s">
        <v>165</v>
      </c>
      <c r="B4045" s="34">
        <v>217.46700000000001</v>
      </c>
      <c r="C4045" s="35">
        <v>3940.4</v>
      </c>
      <c r="D4045" s="33" t="s">
        <v>291</v>
      </c>
      <c r="E4045" s="34">
        <v>217.58199999999999</v>
      </c>
      <c r="F4045" s="36">
        <v>0.11499999999998101</v>
      </c>
      <c r="G4045" s="34">
        <v>0.11499999999998101</v>
      </c>
      <c r="H4045" s="35">
        <v>1973.8</v>
      </c>
      <c r="I4045" s="37">
        <f t="shared" si="63"/>
        <v>0.50091361283118463</v>
      </c>
      <c r="J4045" s="33"/>
    </row>
    <row r="4046" spans="1:10">
      <c r="A4046" s="33" t="s">
        <v>165</v>
      </c>
      <c r="B4046" s="34">
        <v>217.46700000000001</v>
      </c>
      <c r="C4046" s="35">
        <v>3940.4</v>
      </c>
      <c r="D4046" s="33" t="s">
        <v>273</v>
      </c>
      <c r="E4046" s="34">
        <v>217.584</v>
      </c>
      <c r="F4046" s="36">
        <v>0.11699999999999</v>
      </c>
      <c r="G4046" s="34">
        <v>0.11699999999999</v>
      </c>
      <c r="H4046" s="35">
        <v>288.3</v>
      </c>
      <c r="I4046" s="37">
        <f t="shared" si="63"/>
        <v>7.3165160897370823E-2</v>
      </c>
      <c r="J4046" s="33"/>
    </row>
    <row r="4047" spans="1:10">
      <c r="A4047" s="33" t="s">
        <v>165</v>
      </c>
      <c r="B4047" s="34">
        <v>217.46700000000001</v>
      </c>
      <c r="C4047" s="35">
        <v>3940.4</v>
      </c>
      <c r="D4047" s="33" t="s">
        <v>279</v>
      </c>
      <c r="E4047" s="34">
        <v>217.62</v>
      </c>
      <c r="F4047" s="36">
        <v>0.152999999999992</v>
      </c>
      <c r="G4047" s="34">
        <v>0.152999999999992</v>
      </c>
      <c r="H4047" s="35">
        <v>268.5</v>
      </c>
      <c r="I4047" s="37">
        <f t="shared" si="63"/>
        <v>6.8140290325855238E-2</v>
      </c>
      <c r="J4047" s="33"/>
    </row>
    <row r="4048" spans="1:10">
      <c r="A4048" s="33" t="s">
        <v>165</v>
      </c>
      <c r="B4048" s="34">
        <v>217.46700000000001</v>
      </c>
      <c r="C4048" s="35">
        <v>3940.4</v>
      </c>
      <c r="D4048" s="33" t="s">
        <v>305</v>
      </c>
      <c r="E4048" s="34">
        <v>217.62700000000001</v>
      </c>
      <c r="F4048" s="36">
        <v>0.15999999999999701</v>
      </c>
      <c r="G4048" s="34">
        <v>0.15999999999999701</v>
      </c>
      <c r="H4048" s="35">
        <v>0.4</v>
      </c>
      <c r="I4048" s="37">
        <f t="shared" si="63"/>
        <v>1.0151253679829459E-4</v>
      </c>
      <c r="J4048" s="33"/>
    </row>
    <row r="4049" spans="1:10">
      <c r="A4049" s="33" t="s">
        <v>165</v>
      </c>
      <c r="B4049" s="34">
        <v>217.46700000000001</v>
      </c>
      <c r="C4049" s="35">
        <v>3940.4</v>
      </c>
      <c r="D4049" s="33" t="s">
        <v>273</v>
      </c>
      <c r="E4049" s="34">
        <v>217.67599999999999</v>
      </c>
      <c r="F4049" s="36">
        <v>0.20899999999997501</v>
      </c>
      <c r="G4049" s="34">
        <v>0.20899999999997501</v>
      </c>
      <c r="H4049" s="35">
        <v>670.3</v>
      </c>
      <c r="I4049" s="37">
        <f t="shared" si="63"/>
        <v>0.17010963353974215</v>
      </c>
      <c r="J4049" s="33"/>
    </row>
    <row r="4050" spans="1:10">
      <c r="A4050" s="33" t="s">
        <v>165</v>
      </c>
      <c r="B4050" s="34">
        <v>217.46700000000001</v>
      </c>
      <c r="C4050" s="35">
        <v>3940.4</v>
      </c>
      <c r="D4050" s="33" t="s">
        <v>97</v>
      </c>
      <c r="E4050" s="34">
        <v>217.684</v>
      </c>
      <c r="F4050" s="36">
        <v>0.21699999999998501</v>
      </c>
      <c r="G4050" s="34">
        <v>0.21699999999998501</v>
      </c>
      <c r="H4050" s="35">
        <v>5.4</v>
      </c>
      <c r="I4050" s="37">
        <f t="shared" si="63"/>
        <v>1.370419246776977E-3</v>
      </c>
      <c r="J4050" s="33"/>
    </row>
    <row r="4051" spans="1:10">
      <c r="A4051" s="33" t="s">
        <v>165</v>
      </c>
      <c r="B4051" s="34">
        <v>217.46700000000001</v>
      </c>
      <c r="C4051" s="35">
        <v>3940.4</v>
      </c>
      <c r="D4051" s="33" t="s">
        <v>278</v>
      </c>
      <c r="E4051" s="34">
        <v>217.7</v>
      </c>
      <c r="F4051" s="36">
        <v>0.232999999999976</v>
      </c>
      <c r="G4051" s="34">
        <v>0.232999999999976</v>
      </c>
      <c r="H4051" s="35">
        <v>28.2</v>
      </c>
      <c r="I4051" s="37">
        <f t="shared" si="63"/>
        <v>7.1566338442797684E-3</v>
      </c>
      <c r="J4051" s="33"/>
    </row>
    <row r="4052" spans="1:10">
      <c r="A4052" s="33" t="s">
        <v>165</v>
      </c>
      <c r="B4052" s="34">
        <v>217.46700000000001</v>
      </c>
      <c r="C4052" s="35">
        <v>3940.4</v>
      </c>
      <c r="D4052" s="33" t="s">
        <v>165</v>
      </c>
      <c r="E4052" s="34">
        <v>217.709</v>
      </c>
      <c r="F4052" s="36">
        <v>0.24199999999999</v>
      </c>
      <c r="G4052" s="34">
        <v>0.24199999999999</v>
      </c>
      <c r="H4052" s="35">
        <v>138.9</v>
      </c>
      <c r="I4052" s="37">
        <f t="shared" si="63"/>
        <v>3.5250228403207795E-2</v>
      </c>
      <c r="J4052" s="33"/>
    </row>
    <row r="4053" spans="1:10">
      <c r="A4053" s="33" t="s">
        <v>165</v>
      </c>
      <c r="B4053" s="34">
        <v>217.46700000000001</v>
      </c>
      <c r="C4053" s="35">
        <v>3940.4</v>
      </c>
      <c r="D4053" s="33" t="s">
        <v>278</v>
      </c>
      <c r="E4053" s="34">
        <v>217.72399999999999</v>
      </c>
      <c r="F4053" s="36">
        <v>0.25699999999997702</v>
      </c>
      <c r="G4053" s="34">
        <v>0.25699999999997702</v>
      </c>
      <c r="H4053" s="35">
        <v>17</v>
      </c>
      <c r="I4053" s="37">
        <f t="shared" si="63"/>
        <v>4.31428281392752E-3</v>
      </c>
      <c r="J4053" s="33"/>
    </row>
    <row r="4054" spans="1:10">
      <c r="A4054" s="33" t="s">
        <v>165</v>
      </c>
      <c r="B4054" s="34">
        <v>217.46700000000001</v>
      </c>
      <c r="C4054" s="35">
        <v>3940.4</v>
      </c>
      <c r="D4054" s="33" t="s">
        <v>165</v>
      </c>
      <c r="E4054" s="34">
        <v>217.73599999999999</v>
      </c>
      <c r="F4054" s="36">
        <v>0.26899999999997698</v>
      </c>
      <c r="G4054" s="34">
        <v>0.26899999999997698</v>
      </c>
      <c r="H4054" s="35">
        <v>131.5</v>
      </c>
      <c r="I4054" s="37">
        <f t="shared" si="63"/>
        <v>3.3372246472439346E-2</v>
      </c>
      <c r="J4054" s="33"/>
    </row>
    <row r="4055" spans="1:10">
      <c r="A4055" s="33" t="s">
        <v>165</v>
      </c>
      <c r="B4055" s="34">
        <v>217.46700000000001</v>
      </c>
      <c r="C4055" s="35">
        <v>3940.4</v>
      </c>
      <c r="D4055" s="33" t="s">
        <v>274</v>
      </c>
      <c r="E4055" s="34">
        <v>217.755</v>
      </c>
      <c r="F4055" s="36">
        <v>0.28799999999998299</v>
      </c>
      <c r="G4055" s="34">
        <v>0.28799999999998299</v>
      </c>
      <c r="H4055" s="35">
        <v>123.97</v>
      </c>
      <c r="I4055" s="37">
        <f t="shared" si="63"/>
        <v>3.1461272967211448E-2</v>
      </c>
      <c r="J4055" s="33"/>
    </row>
    <row r="4056" spans="1:10">
      <c r="A4056" s="33" t="s">
        <v>165</v>
      </c>
      <c r="B4056" s="34">
        <v>221.648</v>
      </c>
      <c r="C4056" s="35">
        <v>7884.3</v>
      </c>
      <c r="D4056" s="33" t="s">
        <v>193</v>
      </c>
      <c r="E4056" s="34">
        <v>221.434</v>
      </c>
      <c r="F4056" s="36">
        <v>0.213999999999999</v>
      </c>
      <c r="G4056" s="34">
        <v>0.213999999999999</v>
      </c>
      <c r="H4056" s="35">
        <v>92.8</v>
      </c>
      <c r="I4056" s="37">
        <f t="shared" si="63"/>
        <v>1.1770226906637241E-2</v>
      </c>
      <c r="J4056" s="33"/>
    </row>
    <row r="4057" spans="1:10">
      <c r="A4057" s="33" t="s">
        <v>165</v>
      </c>
      <c r="B4057" s="34">
        <v>221.648</v>
      </c>
      <c r="C4057" s="35">
        <v>7884.3</v>
      </c>
      <c r="D4057" s="33" t="s">
        <v>193</v>
      </c>
      <c r="E4057" s="34">
        <v>221.453</v>
      </c>
      <c r="F4057" s="36">
        <v>0.19499999999999301</v>
      </c>
      <c r="G4057" s="34">
        <v>0.19499999999999301</v>
      </c>
      <c r="H4057" s="35">
        <v>35.299999999999997</v>
      </c>
      <c r="I4057" s="37">
        <f t="shared" si="63"/>
        <v>4.4772522608221401E-3</v>
      </c>
      <c r="J4057" s="33"/>
    </row>
    <row r="4058" spans="1:10">
      <c r="A4058" s="33" t="s">
        <v>165</v>
      </c>
      <c r="B4058" s="34">
        <v>221.648</v>
      </c>
      <c r="C4058" s="35">
        <v>7884.3</v>
      </c>
      <c r="D4058" s="33" t="s">
        <v>286</v>
      </c>
      <c r="E4058" s="34">
        <v>221.458</v>
      </c>
      <c r="F4058" s="36">
        <v>0.189999999999998</v>
      </c>
      <c r="G4058" s="34">
        <v>0.189999999999998</v>
      </c>
      <c r="H4058" s="35">
        <v>922.2</v>
      </c>
      <c r="I4058" s="37">
        <f t="shared" si="63"/>
        <v>0.11696662988470759</v>
      </c>
      <c r="J4058" s="33"/>
    </row>
    <row r="4059" spans="1:10">
      <c r="A4059" s="33" t="s">
        <v>165</v>
      </c>
      <c r="B4059" s="34">
        <v>221.648</v>
      </c>
      <c r="C4059" s="35">
        <v>7884.3</v>
      </c>
      <c r="D4059" s="33" t="s">
        <v>284</v>
      </c>
      <c r="E4059" s="34">
        <v>221.476</v>
      </c>
      <c r="F4059" s="36">
        <v>0.17199999999999699</v>
      </c>
      <c r="G4059" s="34">
        <v>0.17199999999999699</v>
      </c>
      <c r="H4059" s="35">
        <v>3.7</v>
      </c>
      <c r="I4059" s="37">
        <f t="shared" si="63"/>
        <v>4.6928706416549348E-4</v>
      </c>
      <c r="J4059" s="33"/>
    </row>
    <row r="4060" spans="1:10">
      <c r="A4060" s="33" t="s">
        <v>165</v>
      </c>
      <c r="B4060" s="34">
        <v>221.648</v>
      </c>
      <c r="C4060" s="35">
        <v>7884.3</v>
      </c>
      <c r="D4060" s="33" t="s">
        <v>288</v>
      </c>
      <c r="E4060" s="34">
        <v>221.477</v>
      </c>
      <c r="F4060" s="36">
        <v>0.17099999999999199</v>
      </c>
      <c r="G4060" s="34">
        <v>0.17099999999999199</v>
      </c>
      <c r="H4060" s="35">
        <v>30.6</v>
      </c>
      <c r="I4060" s="37">
        <f t="shared" si="63"/>
        <v>3.8811308549902973E-3</v>
      </c>
      <c r="J4060" s="33"/>
    </row>
    <row r="4061" spans="1:10">
      <c r="A4061" s="33" t="s">
        <v>165</v>
      </c>
      <c r="B4061" s="34">
        <v>221.648</v>
      </c>
      <c r="C4061" s="35">
        <v>7884.3</v>
      </c>
      <c r="D4061" s="33" t="s">
        <v>54</v>
      </c>
      <c r="E4061" s="34">
        <v>221.47900000000001</v>
      </c>
      <c r="F4061" s="36">
        <v>0.168999999999983</v>
      </c>
      <c r="G4061" s="34">
        <v>0.168999999999983</v>
      </c>
      <c r="H4061" s="35">
        <v>153.9</v>
      </c>
      <c r="I4061" s="37">
        <f t="shared" si="63"/>
        <v>1.9519805182451201E-2</v>
      </c>
      <c r="J4061" s="33"/>
    </row>
    <row r="4062" spans="1:10">
      <c r="A4062" s="33" t="s">
        <v>165</v>
      </c>
      <c r="B4062" s="34">
        <v>221.648</v>
      </c>
      <c r="C4062" s="35">
        <v>7884.3</v>
      </c>
      <c r="D4062" s="33" t="s">
        <v>274</v>
      </c>
      <c r="E4062" s="34">
        <v>221.48</v>
      </c>
      <c r="F4062" s="36">
        <v>0.16800000000000601</v>
      </c>
      <c r="G4062" s="34">
        <v>0.16800000000000601</v>
      </c>
      <c r="H4062" s="35">
        <v>47.5</v>
      </c>
      <c r="I4062" s="37">
        <f t="shared" si="63"/>
        <v>6.0246312291516047E-3</v>
      </c>
      <c r="J4062" s="33"/>
    </row>
    <row r="4063" spans="1:10">
      <c r="A4063" s="33" t="s">
        <v>165</v>
      </c>
      <c r="B4063" s="34">
        <v>221.648</v>
      </c>
      <c r="C4063" s="35">
        <v>7884.3</v>
      </c>
      <c r="D4063" s="33" t="s">
        <v>239</v>
      </c>
      <c r="E4063" s="34">
        <v>221.506</v>
      </c>
      <c r="F4063" s="36">
        <v>0.14199999999999599</v>
      </c>
      <c r="G4063" s="34">
        <v>0.14199999999999599</v>
      </c>
      <c r="H4063" s="35">
        <v>10.1</v>
      </c>
      <c r="I4063" s="37">
        <f t="shared" si="63"/>
        <v>1.2810268508301307E-3</v>
      </c>
      <c r="J4063" s="33"/>
    </row>
    <row r="4064" spans="1:10">
      <c r="A4064" s="33" t="s">
        <v>165</v>
      </c>
      <c r="B4064" s="34">
        <v>221.648</v>
      </c>
      <c r="C4064" s="35">
        <v>7884.3</v>
      </c>
      <c r="D4064" s="33" t="s">
        <v>274</v>
      </c>
      <c r="E4064" s="34">
        <v>221.53399999999999</v>
      </c>
      <c r="F4064" s="36">
        <v>0.114000000000004</v>
      </c>
      <c r="G4064" s="34">
        <v>0.114000000000004</v>
      </c>
      <c r="H4064" s="35">
        <v>43.1</v>
      </c>
      <c r="I4064" s="37">
        <f t="shared" si="63"/>
        <v>5.4665601258196668E-3</v>
      </c>
      <c r="J4064" s="33"/>
    </row>
    <row r="4065" spans="1:10">
      <c r="A4065" s="33" t="s">
        <v>165</v>
      </c>
      <c r="B4065" s="34">
        <v>221.648</v>
      </c>
      <c r="C4065" s="35">
        <v>7884.3</v>
      </c>
      <c r="D4065" s="33" t="s">
        <v>193</v>
      </c>
      <c r="E4065" s="34">
        <v>221.56</v>
      </c>
      <c r="F4065" s="36">
        <v>8.7999999999993903E-2</v>
      </c>
      <c r="G4065" s="34">
        <v>8.7999999999993903E-2</v>
      </c>
      <c r="H4065" s="35">
        <v>465.3</v>
      </c>
      <c r="I4065" s="37">
        <f t="shared" si="63"/>
        <v>5.9016019177352462E-2</v>
      </c>
      <c r="J4065" s="33"/>
    </row>
    <row r="4066" spans="1:10">
      <c r="A4066" s="33" t="s">
        <v>165</v>
      </c>
      <c r="B4066" s="34">
        <v>221.648</v>
      </c>
      <c r="C4066" s="35">
        <v>7884.3</v>
      </c>
      <c r="D4066" s="33" t="s">
        <v>286</v>
      </c>
      <c r="E4066" s="34">
        <v>221.566</v>
      </c>
      <c r="F4066" s="36">
        <v>8.1999999999993606E-2</v>
      </c>
      <c r="G4066" s="34">
        <v>8.1999999999993606E-2</v>
      </c>
      <c r="H4066" s="35">
        <v>191.9</v>
      </c>
      <c r="I4066" s="37">
        <f t="shared" si="63"/>
        <v>2.4339510165772484E-2</v>
      </c>
      <c r="J4066" s="33"/>
    </row>
    <row r="4067" spans="1:10">
      <c r="A4067" s="33" t="s">
        <v>165</v>
      </c>
      <c r="B4067" s="34">
        <v>221.648</v>
      </c>
      <c r="C4067" s="35">
        <v>7884.3</v>
      </c>
      <c r="D4067" s="33" t="s">
        <v>274</v>
      </c>
      <c r="E4067" s="34">
        <v>221.602</v>
      </c>
      <c r="F4067" s="36">
        <v>4.5999999999992297E-2</v>
      </c>
      <c r="G4067" s="34">
        <v>4.5999999999992297E-2</v>
      </c>
      <c r="H4067" s="35">
        <v>408.3</v>
      </c>
      <c r="I4067" s="37">
        <f t="shared" si="63"/>
        <v>5.1786461702370536E-2</v>
      </c>
      <c r="J4067" s="33"/>
    </row>
    <row r="4068" spans="1:10">
      <c r="A4068" s="33" t="s">
        <v>165</v>
      </c>
      <c r="B4068" s="34">
        <v>221.648</v>
      </c>
      <c r="C4068" s="35">
        <v>7884.3</v>
      </c>
      <c r="D4068" s="33" t="s">
        <v>290</v>
      </c>
      <c r="E4068" s="34">
        <v>221.60300000000001</v>
      </c>
      <c r="F4068" s="36">
        <v>4.4999999999987501E-2</v>
      </c>
      <c r="G4068" s="34">
        <v>4.4999999999987501E-2</v>
      </c>
      <c r="H4068" s="35">
        <v>11</v>
      </c>
      <c r="I4068" s="37">
        <f t="shared" si="63"/>
        <v>1.3951777583298454E-3</v>
      </c>
      <c r="J4068" s="33"/>
    </row>
    <row r="4069" spans="1:10">
      <c r="A4069" s="33" t="s">
        <v>165</v>
      </c>
      <c r="B4069" s="34">
        <v>221.648</v>
      </c>
      <c r="C4069" s="35">
        <v>7884.3</v>
      </c>
      <c r="D4069" s="33" t="s">
        <v>278</v>
      </c>
      <c r="E4069" s="34">
        <v>221.60499999999999</v>
      </c>
      <c r="F4069" s="36">
        <v>4.3000000000006401E-2</v>
      </c>
      <c r="G4069" s="34">
        <v>4.3000000000006401E-2</v>
      </c>
      <c r="H4069" s="35">
        <v>20.2</v>
      </c>
      <c r="I4069" s="37">
        <f t="shared" si="63"/>
        <v>2.5620537016602615E-3</v>
      </c>
      <c r="J4069" s="33"/>
    </row>
    <row r="4070" spans="1:10">
      <c r="A4070" s="33" t="s">
        <v>165</v>
      </c>
      <c r="B4070" s="34">
        <v>221.648</v>
      </c>
      <c r="C4070" s="35">
        <v>7884.3</v>
      </c>
      <c r="D4070" s="33" t="s">
        <v>25</v>
      </c>
      <c r="E4070" s="34">
        <v>221.625</v>
      </c>
      <c r="F4070" s="36">
        <v>2.29999999999961E-2</v>
      </c>
      <c r="G4070" s="34">
        <v>2.29999999999961E-2</v>
      </c>
      <c r="H4070" s="35">
        <v>8</v>
      </c>
      <c r="I4070" s="37">
        <f t="shared" si="63"/>
        <v>1.0146747333307966E-3</v>
      </c>
      <c r="J4070" s="33" t="s">
        <v>116</v>
      </c>
    </row>
    <row r="4071" spans="1:10">
      <c r="A4071" s="33" t="s">
        <v>165</v>
      </c>
      <c r="B4071" s="34">
        <v>221.648</v>
      </c>
      <c r="C4071" s="35">
        <v>7884.3</v>
      </c>
      <c r="D4071" s="33" t="s">
        <v>274</v>
      </c>
      <c r="E4071" s="34">
        <v>221.62700000000001</v>
      </c>
      <c r="F4071" s="36">
        <v>2.0999999999986599E-2</v>
      </c>
      <c r="G4071" s="34">
        <v>2.0999999999986599E-2</v>
      </c>
      <c r="H4071" s="35">
        <v>10.8</v>
      </c>
      <c r="I4071" s="37">
        <f t="shared" si="63"/>
        <v>1.3698108899965755E-3</v>
      </c>
      <c r="J4071" s="33"/>
    </row>
    <row r="4072" spans="1:10">
      <c r="A4072" s="33" t="s">
        <v>165</v>
      </c>
      <c r="B4072" s="34">
        <v>221.648</v>
      </c>
      <c r="C4072" s="35">
        <v>7884.3</v>
      </c>
      <c r="D4072" s="33" t="s">
        <v>239</v>
      </c>
      <c r="E4072" s="34">
        <v>221.631</v>
      </c>
      <c r="F4072" s="36">
        <v>1.69999999999959E-2</v>
      </c>
      <c r="G4072" s="34">
        <v>1.69999999999959E-2</v>
      </c>
      <c r="H4072" s="35">
        <v>25</v>
      </c>
      <c r="I4072" s="37">
        <f t="shared" si="63"/>
        <v>3.1708585416587395E-3</v>
      </c>
      <c r="J4072" s="33"/>
    </row>
    <row r="4073" spans="1:10">
      <c r="A4073" s="33" t="s">
        <v>165</v>
      </c>
      <c r="B4073" s="34">
        <v>221.648</v>
      </c>
      <c r="C4073" s="35">
        <v>7884.3</v>
      </c>
      <c r="D4073" s="33" t="s">
        <v>54</v>
      </c>
      <c r="E4073" s="34">
        <v>221.63499999999999</v>
      </c>
      <c r="F4073" s="36">
        <v>1.30000000000052E-2</v>
      </c>
      <c r="G4073" s="34">
        <v>1.30000000000052E-2</v>
      </c>
      <c r="H4073" s="35">
        <v>3.7</v>
      </c>
      <c r="I4073" s="37">
        <f t="shared" si="63"/>
        <v>4.6928706416549348E-4</v>
      </c>
      <c r="J4073" s="33"/>
    </row>
    <row r="4074" spans="1:10">
      <c r="A4074" s="33" t="s">
        <v>165</v>
      </c>
      <c r="B4074" s="34">
        <v>221.648</v>
      </c>
      <c r="C4074" s="35">
        <v>7884.3</v>
      </c>
      <c r="D4074" s="33" t="s">
        <v>274</v>
      </c>
      <c r="E4074" s="34">
        <v>221.64099999999999</v>
      </c>
      <c r="F4074" s="36">
        <v>7.0000000000049996E-3</v>
      </c>
      <c r="G4074" s="34">
        <v>7.0000000000049996E-3</v>
      </c>
      <c r="H4074" s="35">
        <v>41.2</v>
      </c>
      <c r="I4074" s="37">
        <f t="shared" si="63"/>
        <v>5.2255748766536032E-3</v>
      </c>
      <c r="J4074" s="33"/>
    </row>
    <row r="4075" spans="1:10">
      <c r="A4075" s="33" t="s">
        <v>165</v>
      </c>
      <c r="B4075" s="34">
        <v>221.648</v>
      </c>
      <c r="C4075" s="35">
        <v>7884.3</v>
      </c>
      <c r="D4075" s="33" t="s">
        <v>54</v>
      </c>
      <c r="E4075" s="34">
        <v>221.64500000000001</v>
      </c>
      <c r="F4075" s="36">
        <v>2.9999999999858998E-3</v>
      </c>
      <c r="G4075" s="34">
        <v>2.9999999999858998E-3</v>
      </c>
      <c r="H4075" s="35">
        <v>6.7</v>
      </c>
      <c r="I4075" s="37">
        <f t="shared" si="63"/>
        <v>8.4979008916454218E-4</v>
      </c>
      <c r="J4075" s="33"/>
    </row>
    <row r="4076" spans="1:10">
      <c r="A4076" s="33" t="s">
        <v>165</v>
      </c>
      <c r="B4076" s="34">
        <v>221.648</v>
      </c>
      <c r="C4076" s="35">
        <v>7884.3</v>
      </c>
      <c r="D4076" s="33" t="s">
        <v>275</v>
      </c>
      <c r="E4076" s="34">
        <v>221.65899999999999</v>
      </c>
      <c r="F4076" s="36">
        <v>1.0999999999995701E-2</v>
      </c>
      <c r="G4076" s="34">
        <v>1.0999999999995701E-2</v>
      </c>
      <c r="H4076" s="35">
        <v>1.8</v>
      </c>
      <c r="I4076" s="37">
        <f t="shared" si="63"/>
        <v>2.2830181499942925E-4</v>
      </c>
      <c r="J4076" s="33"/>
    </row>
    <row r="4077" spans="1:10">
      <c r="A4077" s="33" t="s">
        <v>165</v>
      </c>
      <c r="B4077" s="34">
        <v>221.648</v>
      </c>
      <c r="C4077" s="35">
        <v>7884.3</v>
      </c>
      <c r="D4077" s="33" t="s">
        <v>239</v>
      </c>
      <c r="E4077" s="34">
        <v>221.66300000000001</v>
      </c>
      <c r="F4077" s="36">
        <v>1.50000000000148E-2</v>
      </c>
      <c r="G4077" s="34">
        <v>1.50000000000148E-2</v>
      </c>
      <c r="H4077" s="35">
        <v>0.1</v>
      </c>
      <c r="I4077" s="37">
        <f t="shared" si="63"/>
        <v>1.2683434166634958E-5</v>
      </c>
      <c r="J4077" s="33"/>
    </row>
    <row r="4078" spans="1:10">
      <c r="A4078" s="33" t="s">
        <v>165</v>
      </c>
      <c r="B4078" s="34">
        <v>221.648</v>
      </c>
      <c r="C4078" s="35">
        <v>7884.3</v>
      </c>
      <c r="D4078" s="33" t="s">
        <v>293</v>
      </c>
      <c r="E4078" s="34">
        <v>221.667</v>
      </c>
      <c r="F4078" s="36">
        <v>1.9000000000005499E-2</v>
      </c>
      <c r="G4078" s="34">
        <v>1.9000000000005499E-2</v>
      </c>
      <c r="H4078" s="35">
        <v>1144.4000000000001</v>
      </c>
      <c r="I4078" s="37">
        <f t="shared" si="63"/>
        <v>0.14514922060297047</v>
      </c>
      <c r="J4078" s="33"/>
    </row>
    <row r="4079" spans="1:10">
      <c r="A4079" s="33" t="s">
        <v>165</v>
      </c>
      <c r="B4079" s="34">
        <v>221.648</v>
      </c>
      <c r="C4079" s="35">
        <v>7884.3</v>
      </c>
      <c r="D4079" s="33" t="s">
        <v>271</v>
      </c>
      <c r="E4079" s="34">
        <v>221.67500000000001</v>
      </c>
      <c r="F4079" s="36">
        <v>2.7000000000015199E-2</v>
      </c>
      <c r="G4079" s="34">
        <v>2.7000000000015199E-2</v>
      </c>
      <c r="H4079" s="35">
        <v>3.7</v>
      </c>
      <c r="I4079" s="37">
        <f t="shared" si="63"/>
        <v>4.6928706416549348E-4</v>
      </c>
      <c r="J4079" s="33"/>
    </row>
    <row r="4080" spans="1:10">
      <c r="A4080" s="33" t="s">
        <v>165</v>
      </c>
      <c r="B4080" s="34">
        <v>221.648</v>
      </c>
      <c r="C4080" s="35">
        <v>7884.3</v>
      </c>
      <c r="D4080" s="33" t="s">
        <v>25</v>
      </c>
      <c r="E4080" s="34">
        <v>221.68799999999999</v>
      </c>
      <c r="F4080" s="36">
        <v>3.9999999999992E-2</v>
      </c>
      <c r="G4080" s="34">
        <v>3.9999999999992E-2</v>
      </c>
      <c r="H4080" s="35">
        <v>1.5</v>
      </c>
      <c r="I4080" s="37">
        <f t="shared" si="63"/>
        <v>1.9025151249952438E-4</v>
      </c>
      <c r="J4080" s="33" t="s">
        <v>116</v>
      </c>
    </row>
    <row r="4081" spans="1:10">
      <c r="A4081" s="33" t="s">
        <v>165</v>
      </c>
      <c r="B4081" s="34">
        <v>221.648</v>
      </c>
      <c r="C4081" s="35">
        <v>7884.3</v>
      </c>
      <c r="D4081" s="33" t="s">
        <v>268</v>
      </c>
      <c r="E4081" s="34">
        <v>221.69200000000001</v>
      </c>
      <c r="F4081" s="36">
        <v>4.40000000000111E-2</v>
      </c>
      <c r="G4081" s="34">
        <v>4.40000000000111E-2</v>
      </c>
      <c r="H4081" s="35">
        <v>1.2</v>
      </c>
      <c r="I4081" s="37">
        <f t="shared" si="63"/>
        <v>1.5220120999961948E-4</v>
      </c>
      <c r="J4081" s="33"/>
    </row>
    <row r="4082" spans="1:10">
      <c r="A4082" s="33" t="s">
        <v>165</v>
      </c>
      <c r="B4082" s="34">
        <v>221.648</v>
      </c>
      <c r="C4082" s="35">
        <v>7884.3</v>
      </c>
      <c r="D4082" s="33" t="s">
        <v>54</v>
      </c>
      <c r="E4082" s="34">
        <v>221.72900000000001</v>
      </c>
      <c r="F4082" s="36">
        <v>8.1000000000017294E-2</v>
      </c>
      <c r="G4082" s="34">
        <v>8.1000000000017294E-2</v>
      </c>
      <c r="H4082" s="35">
        <v>31.8</v>
      </c>
      <c r="I4082" s="37">
        <f t="shared" si="63"/>
        <v>4.0333320649899168E-3</v>
      </c>
      <c r="J4082" s="33"/>
    </row>
    <row r="4083" spans="1:10">
      <c r="A4083" s="33" t="s">
        <v>165</v>
      </c>
      <c r="B4083" s="34">
        <v>221.648</v>
      </c>
      <c r="C4083" s="35">
        <v>7884.3</v>
      </c>
      <c r="D4083" s="33" t="s">
        <v>165</v>
      </c>
      <c r="E4083" s="34">
        <v>221.77699999999999</v>
      </c>
      <c r="F4083" s="36">
        <v>0.12899999999999101</v>
      </c>
      <c r="G4083" s="34">
        <v>0.12899999999999101</v>
      </c>
      <c r="H4083" s="35">
        <v>2</v>
      </c>
      <c r="I4083" s="37">
        <f t="shared" si="63"/>
        <v>2.5366868333269915E-4</v>
      </c>
      <c r="J4083" s="33"/>
    </row>
    <row r="4084" spans="1:10">
      <c r="A4084" s="33" t="s">
        <v>165</v>
      </c>
      <c r="B4084" s="34">
        <v>221.648</v>
      </c>
      <c r="C4084" s="35">
        <v>7884.3</v>
      </c>
      <c r="D4084" s="33" t="s">
        <v>193</v>
      </c>
      <c r="E4084" s="34">
        <v>221.78200000000001</v>
      </c>
      <c r="F4084" s="36">
        <v>0.134000000000015</v>
      </c>
      <c r="G4084" s="34">
        <v>0.134000000000015</v>
      </c>
      <c r="H4084" s="35">
        <v>121.9</v>
      </c>
      <c r="I4084" s="37">
        <f t="shared" si="63"/>
        <v>1.5461106249128014E-2</v>
      </c>
      <c r="J4084" s="33"/>
    </row>
    <row r="4085" spans="1:10">
      <c r="A4085" s="33" t="s">
        <v>165</v>
      </c>
      <c r="B4085" s="34">
        <v>221.648</v>
      </c>
      <c r="C4085" s="35">
        <v>7884.3</v>
      </c>
      <c r="D4085" s="33" t="s">
        <v>293</v>
      </c>
      <c r="E4085" s="34">
        <v>221.80600000000001</v>
      </c>
      <c r="F4085" s="36">
        <v>0.15800000000001599</v>
      </c>
      <c r="G4085" s="34">
        <v>0.15800000000001599</v>
      </c>
      <c r="H4085" s="35">
        <v>123.2</v>
      </c>
      <c r="I4085" s="37">
        <f t="shared" si="63"/>
        <v>1.5625990893294268E-2</v>
      </c>
      <c r="J4085" s="33"/>
    </row>
    <row r="4086" spans="1:10">
      <c r="A4086" s="33" t="s">
        <v>165</v>
      </c>
      <c r="B4086" s="34">
        <v>221.648</v>
      </c>
      <c r="C4086" s="35">
        <v>7884.3</v>
      </c>
      <c r="D4086" s="33" t="s">
        <v>286</v>
      </c>
      <c r="E4086" s="34">
        <v>221.81100000000001</v>
      </c>
      <c r="F4086" s="36">
        <v>0.163000000000011</v>
      </c>
      <c r="G4086" s="34">
        <v>0.163000000000011</v>
      </c>
      <c r="H4086" s="35">
        <v>1325.6</v>
      </c>
      <c r="I4086" s="37">
        <f t="shared" si="63"/>
        <v>0.16813160331291299</v>
      </c>
      <c r="J4086" s="33"/>
    </row>
    <row r="4087" spans="1:10">
      <c r="A4087" s="33" t="s">
        <v>165</v>
      </c>
      <c r="B4087" s="34">
        <v>221.648</v>
      </c>
      <c r="C4087" s="35">
        <v>7884.3</v>
      </c>
      <c r="D4087" s="33" t="s">
        <v>278</v>
      </c>
      <c r="E4087" s="34">
        <v>221.82499999999999</v>
      </c>
      <c r="F4087" s="36">
        <v>0.176999999999993</v>
      </c>
      <c r="G4087" s="34">
        <v>0.176999999999993</v>
      </c>
      <c r="H4087" s="35">
        <v>1.5</v>
      </c>
      <c r="I4087" s="37">
        <f t="shared" si="63"/>
        <v>1.9025151249952438E-4</v>
      </c>
      <c r="J4087" s="33"/>
    </row>
    <row r="4088" spans="1:10">
      <c r="A4088" s="33" t="s">
        <v>165</v>
      </c>
      <c r="B4088" s="34">
        <v>221.648</v>
      </c>
      <c r="C4088" s="35">
        <v>7884.3</v>
      </c>
      <c r="D4088" s="33" t="s">
        <v>284</v>
      </c>
      <c r="E4088" s="34">
        <v>221.83</v>
      </c>
      <c r="F4088" s="36">
        <v>0.18200000000001601</v>
      </c>
      <c r="G4088" s="34">
        <v>0.18200000000001601</v>
      </c>
      <c r="H4088" s="35">
        <v>1.9</v>
      </c>
      <c r="I4088" s="37">
        <f t="shared" si="63"/>
        <v>2.4098524916606418E-4</v>
      </c>
      <c r="J4088" s="33"/>
    </row>
    <row r="4089" spans="1:10">
      <c r="A4089" s="33" t="s">
        <v>165</v>
      </c>
      <c r="B4089" s="34">
        <v>221.648</v>
      </c>
      <c r="C4089" s="35">
        <v>7884.3</v>
      </c>
      <c r="D4089" s="33" t="s">
        <v>269</v>
      </c>
      <c r="E4089" s="34">
        <v>221.83600000000001</v>
      </c>
      <c r="F4089" s="36">
        <v>0.18800000000001699</v>
      </c>
      <c r="G4089" s="34">
        <v>0.18800000000001699</v>
      </c>
      <c r="H4089" s="35">
        <v>13.5</v>
      </c>
      <c r="I4089" s="37">
        <f t="shared" si="63"/>
        <v>1.7122636124957194E-3</v>
      </c>
      <c r="J4089" s="33"/>
    </row>
    <row r="4090" spans="1:10">
      <c r="A4090" s="33" t="s">
        <v>165</v>
      </c>
      <c r="B4090" s="34">
        <v>221.648</v>
      </c>
      <c r="C4090" s="35">
        <v>7884.3</v>
      </c>
      <c r="D4090" s="33" t="s">
        <v>268</v>
      </c>
      <c r="E4090" s="34">
        <v>221.85599999999999</v>
      </c>
      <c r="F4090" s="36">
        <v>0.20799999999999799</v>
      </c>
      <c r="G4090" s="34">
        <v>0.20799999999999799</v>
      </c>
      <c r="H4090" s="35">
        <v>84.4</v>
      </c>
      <c r="I4090" s="37">
        <f t="shared" si="63"/>
        <v>1.0704818436639904E-2</v>
      </c>
      <c r="J4090" s="33"/>
    </row>
    <row r="4091" spans="1:10">
      <c r="A4091" s="33" t="s">
        <v>165</v>
      </c>
      <c r="B4091" s="34">
        <v>221.648</v>
      </c>
      <c r="C4091" s="35">
        <v>7884.3</v>
      </c>
      <c r="D4091" s="33" t="s">
        <v>54</v>
      </c>
      <c r="E4091" s="34">
        <v>221.881</v>
      </c>
      <c r="F4091" s="36">
        <v>0.23300000000000401</v>
      </c>
      <c r="G4091" s="34">
        <v>0.23300000000000401</v>
      </c>
      <c r="H4091" s="35">
        <v>1</v>
      </c>
      <c r="I4091" s="37">
        <f t="shared" si="63"/>
        <v>1.2683434166634958E-4</v>
      </c>
      <c r="J4091" s="33"/>
    </row>
    <row r="4092" spans="1:10">
      <c r="A4092" s="33" t="s">
        <v>165</v>
      </c>
      <c r="B4092" s="34">
        <v>221.648</v>
      </c>
      <c r="C4092" s="35">
        <v>7884.3</v>
      </c>
      <c r="D4092" s="33" t="s">
        <v>293</v>
      </c>
      <c r="E4092" s="34">
        <v>221.892</v>
      </c>
      <c r="F4092" s="36">
        <v>0.24399999999999999</v>
      </c>
      <c r="G4092" s="34">
        <v>0.24399999999999999</v>
      </c>
      <c r="H4092" s="35">
        <v>8.1</v>
      </c>
      <c r="I4092" s="37">
        <f t="shared" si="63"/>
        <v>1.0273581674974316E-3</v>
      </c>
      <c r="J4092" s="33"/>
    </row>
    <row r="4093" spans="1:10">
      <c r="A4093" s="33" t="s">
        <v>165</v>
      </c>
      <c r="B4093" s="34">
        <v>221.648</v>
      </c>
      <c r="C4093" s="35">
        <v>7884.3</v>
      </c>
      <c r="D4093" s="33" t="s">
        <v>290</v>
      </c>
      <c r="E4093" s="34">
        <v>221.92099999999999</v>
      </c>
      <c r="F4093" s="36">
        <v>0.27299999999999602</v>
      </c>
      <c r="G4093" s="34">
        <v>0.27299999999999602</v>
      </c>
      <c r="H4093" s="35">
        <v>6.5</v>
      </c>
      <c r="I4093" s="37">
        <f t="shared" si="63"/>
        <v>8.2442322083127223E-4</v>
      </c>
      <c r="J4093" s="33"/>
    </row>
    <row r="4094" spans="1:10">
      <c r="A4094" s="33" t="s">
        <v>165</v>
      </c>
      <c r="B4094" s="34">
        <v>221.648</v>
      </c>
      <c r="C4094" s="35">
        <v>7884.3</v>
      </c>
      <c r="D4094" s="33" t="s">
        <v>193</v>
      </c>
      <c r="E4094" s="34">
        <v>221.941</v>
      </c>
      <c r="F4094" s="36">
        <v>0.29300000000000598</v>
      </c>
      <c r="G4094" s="34">
        <v>0.29300000000000598</v>
      </c>
      <c r="H4094" s="35">
        <v>98.1</v>
      </c>
      <c r="I4094" s="37">
        <f t="shared" si="63"/>
        <v>1.2442448917468893E-2</v>
      </c>
      <c r="J4094" s="33"/>
    </row>
    <row r="4095" spans="1:10">
      <c r="A4095" s="33" t="s">
        <v>165</v>
      </c>
      <c r="B4095" s="34">
        <v>221.648</v>
      </c>
      <c r="C4095" s="35">
        <v>7884.3</v>
      </c>
      <c r="D4095" s="33" t="s">
        <v>97</v>
      </c>
      <c r="E4095" s="34">
        <v>221.989</v>
      </c>
      <c r="F4095" s="36">
        <v>0.34100000000000802</v>
      </c>
      <c r="G4095" s="34">
        <v>0.34100000000000802</v>
      </c>
      <c r="H4095" s="35">
        <v>11.57</v>
      </c>
      <c r="I4095" s="37">
        <f t="shared" si="63"/>
        <v>1.4674733330796647E-3</v>
      </c>
      <c r="J4095" s="33"/>
    </row>
    <row r="4096" spans="1:10">
      <c r="A4096" s="33" t="s">
        <v>165</v>
      </c>
      <c r="B4096" s="34">
        <v>222.48599999999999</v>
      </c>
      <c r="C4096" s="35">
        <v>3688.9</v>
      </c>
      <c r="D4096" s="33" t="s">
        <v>290</v>
      </c>
      <c r="E4096" s="34">
        <v>222.107</v>
      </c>
      <c r="F4096" s="36">
        <v>0.37899999999999101</v>
      </c>
      <c r="G4096" s="34">
        <v>0.37899999999999101</v>
      </c>
      <c r="H4096" s="35">
        <v>124.4</v>
      </c>
      <c r="I4096" s="37">
        <f t="shared" si="63"/>
        <v>3.3722789991596412E-2</v>
      </c>
      <c r="J4096" s="33"/>
    </row>
    <row r="4097" spans="1:10">
      <c r="A4097" s="33" t="s">
        <v>165</v>
      </c>
      <c r="B4097" s="34">
        <v>222.48599999999999</v>
      </c>
      <c r="C4097" s="35">
        <v>3688.9</v>
      </c>
      <c r="D4097" s="33" t="s">
        <v>97</v>
      </c>
      <c r="E4097" s="34">
        <v>222.11699999999999</v>
      </c>
      <c r="F4097" s="36">
        <v>0.36899999999999999</v>
      </c>
      <c r="G4097" s="34">
        <v>0.36899999999999999</v>
      </c>
      <c r="H4097" s="35">
        <v>11.1</v>
      </c>
      <c r="I4097" s="37">
        <f t="shared" si="63"/>
        <v>3.009027081243731E-3</v>
      </c>
      <c r="J4097" s="33"/>
    </row>
    <row r="4098" spans="1:10">
      <c r="A4098" s="33" t="s">
        <v>165</v>
      </c>
      <c r="B4098" s="34">
        <v>222.48599999999999</v>
      </c>
      <c r="C4098" s="35">
        <v>3688.9</v>
      </c>
      <c r="D4098" s="33" t="s">
        <v>237</v>
      </c>
      <c r="E4098" s="34">
        <v>222.14500000000001</v>
      </c>
      <c r="F4098" s="36">
        <v>0.34099999999997999</v>
      </c>
      <c r="G4098" s="34">
        <v>0.34099999999997999</v>
      </c>
      <c r="H4098" s="35">
        <v>7.2</v>
      </c>
      <c r="I4098" s="37">
        <f t="shared" ref="I4098:I4161" si="64">H4098/C4098</f>
        <v>1.9518013499959337E-3</v>
      </c>
      <c r="J4098" s="33"/>
    </row>
    <row r="4099" spans="1:10">
      <c r="A4099" s="33" t="s">
        <v>165</v>
      </c>
      <c r="B4099" s="34">
        <v>222.48599999999999</v>
      </c>
      <c r="C4099" s="35">
        <v>3688.9</v>
      </c>
      <c r="D4099" s="33" t="s">
        <v>240</v>
      </c>
      <c r="E4099" s="34">
        <v>222.18299999999999</v>
      </c>
      <c r="F4099" s="36">
        <v>0.30299999999999699</v>
      </c>
      <c r="G4099" s="34">
        <v>0.30299999999999699</v>
      </c>
      <c r="H4099" s="35">
        <v>206.1</v>
      </c>
      <c r="I4099" s="37">
        <f t="shared" si="64"/>
        <v>5.5870313643633603E-2</v>
      </c>
      <c r="J4099" s="33"/>
    </row>
    <row r="4100" spans="1:10">
      <c r="A4100" s="33" t="s">
        <v>165</v>
      </c>
      <c r="B4100" s="34">
        <v>222.48599999999999</v>
      </c>
      <c r="C4100" s="35">
        <v>3688.9</v>
      </c>
      <c r="D4100" s="33" t="s">
        <v>165</v>
      </c>
      <c r="E4100" s="34">
        <v>222.19399999999999</v>
      </c>
      <c r="F4100" s="36">
        <v>0.29200000000000198</v>
      </c>
      <c r="G4100" s="34">
        <v>0.29200000000000198</v>
      </c>
      <c r="H4100" s="35">
        <v>16.2</v>
      </c>
      <c r="I4100" s="37">
        <f t="shared" si="64"/>
        <v>4.391553037490851E-3</v>
      </c>
      <c r="J4100" s="33"/>
    </row>
    <row r="4101" spans="1:10">
      <c r="A4101" s="33" t="s">
        <v>165</v>
      </c>
      <c r="B4101" s="34">
        <v>222.48599999999999</v>
      </c>
      <c r="C4101" s="35">
        <v>3688.9</v>
      </c>
      <c r="D4101" s="33" t="s">
        <v>291</v>
      </c>
      <c r="E4101" s="34">
        <v>222.19800000000001</v>
      </c>
      <c r="F4101" s="36">
        <v>0.28799999999998299</v>
      </c>
      <c r="G4101" s="34">
        <v>0.28799999999998299</v>
      </c>
      <c r="H4101" s="35">
        <v>8.5</v>
      </c>
      <c r="I4101" s="37">
        <f t="shared" si="64"/>
        <v>2.3042099270785326E-3</v>
      </c>
      <c r="J4101" s="33"/>
    </row>
    <row r="4102" spans="1:10">
      <c r="A4102" s="33" t="s">
        <v>165</v>
      </c>
      <c r="B4102" s="34">
        <v>222.48599999999999</v>
      </c>
      <c r="C4102" s="35">
        <v>3688.9</v>
      </c>
      <c r="D4102" s="33" t="s">
        <v>294</v>
      </c>
      <c r="E4102" s="34">
        <v>222.261</v>
      </c>
      <c r="F4102" s="36">
        <v>0.22499999999999401</v>
      </c>
      <c r="G4102" s="34">
        <v>0.22499999999999401</v>
      </c>
      <c r="H4102" s="35">
        <v>54.1</v>
      </c>
      <c r="I4102" s="37">
        <f t="shared" si="64"/>
        <v>1.4665618477052779E-2</v>
      </c>
      <c r="J4102" s="33"/>
    </row>
    <row r="4103" spans="1:10">
      <c r="A4103" s="33" t="s">
        <v>165</v>
      </c>
      <c r="B4103" s="34">
        <v>222.48599999999999</v>
      </c>
      <c r="C4103" s="35">
        <v>3688.9</v>
      </c>
      <c r="D4103" s="33" t="s">
        <v>297</v>
      </c>
      <c r="E4103" s="34">
        <v>222.274</v>
      </c>
      <c r="F4103" s="36">
        <v>0.211999999999989</v>
      </c>
      <c r="G4103" s="34">
        <v>0.211999999999989</v>
      </c>
      <c r="H4103" s="35">
        <v>17</v>
      </c>
      <c r="I4103" s="37">
        <f t="shared" si="64"/>
        <v>4.6084198541570653E-3</v>
      </c>
      <c r="J4103" s="33"/>
    </row>
    <row r="4104" spans="1:10">
      <c r="A4104" s="33" t="s">
        <v>165</v>
      </c>
      <c r="B4104" s="34">
        <v>222.48599999999999</v>
      </c>
      <c r="C4104" s="35">
        <v>3688.9</v>
      </c>
      <c r="D4104" s="33" t="s">
        <v>278</v>
      </c>
      <c r="E4104" s="34">
        <v>222.28399999999999</v>
      </c>
      <c r="F4104" s="36">
        <v>0.20199999999999799</v>
      </c>
      <c r="G4104" s="34">
        <v>0.20199999999999799</v>
      </c>
      <c r="H4104" s="35">
        <v>17</v>
      </c>
      <c r="I4104" s="37">
        <f t="shared" si="64"/>
        <v>4.6084198541570653E-3</v>
      </c>
      <c r="J4104" s="33"/>
    </row>
    <row r="4105" spans="1:10">
      <c r="A4105" s="33" t="s">
        <v>165</v>
      </c>
      <c r="B4105" s="34">
        <v>222.48599999999999</v>
      </c>
      <c r="C4105" s="35">
        <v>3688.9</v>
      </c>
      <c r="D4105" s="33" t="s">
        <v>165</v>
      </c>
      <c r="E4105" s="34">
        <v>222.29499999999999</v>
      </c>
      <c r="F4105" s="36">
        <v>0.191000000000003</v>
      </c>
      <c r="G4105" s="34">
        <v>0.191000000000003</v>
      </c>
      <c r="H4105" s="35">
        <v>2731.9</v>
      </c>
      <c r="I4105" s="37">
        <f t="shared" si="64"/>
        <v>0.74057307056304045</v>
      </c>
      <c r="J4105" s="33"/>
    </row>
    <row r="4106" spans="1:10">
      <c r="A4106" s="33" t="s">
        <v>165</v>
      </c>
      <c r="B4106" s="34">
        <v>222.48599999999999</v>
      </c>
      <c r="C4106" s="35">
        <v>3688.9</v>
      </c>
      <c r="D4106" s="33" t="s">
        <v>278</v>
      </c>
      <c r="E4106" s="34">
        <v>222.30199999999999</v>
      </c>
      <c r="F4106" s="36">
        <v>0.183999999999998</v>
      </c>
      <c r="G4106" s="34">
        <v>0.183999999999998</v>
      </c>
      <c r="H4106" s="35">
        <v>40</v>
      </c>
      <c r="I4106" s="37">
        <f t="shared" si="64"/>
        <v>1.0843340833310743E-2</v>
      </c>
      <c r="J4106" s="33"/>
    </row>
    <row r="4107" spans="1:10">
      <c r="A4107" s="33" t="s">
        <v>165</v>
      </c>
      <c r="B4107" s="34">
        <v>222.48599999999999</v>
      </c>
      <c r="C4107" s="35">
        <v>3688.9</v>
      </c>
      <c r="D4107" s="33" t="s">
        <v>237</v>
      </c>
      <c r="E4107" s="34">
        <v>222.31899999999999</v>
      </c>
      <c r="F4107" s="36">
        <v>0.16700000000000201</v>
      </c>
      <c r="G4107" s="34">
        <v>0.16700000000000201</v>
      </c>
      <c r="H4107" s="35">
        <v>47</v>
      </c>
      <c r="I4107" s="37">
        <f t="shared" si="64"/>
        <v>1.2740925479140124E-2</v>
      </c>
      <c r="J4107" s="33"/>
    </row>
    <row r="4108" spans="1:10">
      <c r="A4108" s="33" t="s">
        <v>165</v>
      </c>
      <c r="B4108" s="34">
        <v>222.48599999999999</v>
      </c>
      <c r="C4108" s="35">
        <v>3688.9</v>
      </c>
      <c r="D4108" s="33" t="s">
        <v>97</v>
      </c>
      <c r="E4108" s="34">
        <v>222.34899999999999</v>
      </c>
      <c r="F4108" s="36">
        <v>0.13700000000000101</v>
      </c>
      <c r="G4108" s="34">
        <v>0.13700000000000101</v>
      </c>
      <c r="H4108" s="35">
        <v>14.4</v>
      </c>
      <c r="I4108" s="37">
        <f t="shared" si="64"/>
        <v>3.9036026999918674E-3</v>
      </c>
      <c r="J4108" s="33"/>
    </row>
    <row r="4109" spans="1:10">
      <c r="A4109" s="33" t="s">
        <v>165</v>
      </c>
      <c r="B4109" s="34">
        <v>222.48599999999999</v>
      </c>
      <c r="C4109" s="35">
        <v>3688.9</v>
      </c>
      <c r="D4109" s="33" t="s">
        <v>54</v>
      </c>
      <c r="E4109" s="34">
        <v>222.40700000000001</v>
      </c>
      <c r="F4109" s="36">
        <v>7.8999999999979295E-2</v>
      </c>
      <c r="G4109" s="34">
        <v>7.8999999999979295E-2</v>
      </c>
      <c r="H4109" s="35">
        <v>14.2</v>
      </c>
      <c r="I4109" s="37">
        <f t="shared" si="64"/>
        <v>3.8493859958253136E-3</v>
      </c>
      <c r="J4109" s="33"/>
    </row>
    <row r="4110" spans="1:10">
      <c r="A4110" s="33" t="s">
        <v>165</v>
      </c>
      <c r="B4110" s="34">
        <v>222.48599999999999</v>
      </c>
      <c r="C4110" s="35">
        <v>3688.9</v>
      </c>
      <c r="D4110" s="33" t="s">
        <v>269</v>
      </c>
      <c r="E4110" s="34">
        <v>222.42599999999999</v>
      </c>
      <c r="F4110" s="36">
        <v>6.0000000000002301E-2</v>
      </c>
      <c r="G4110" s="34">
        <v>6.0000000000002301E-2</v>
      </c>
      <c r="H4110" s="35">
        <v>20.100000000000001</v>
      </c>
      <c r="I4110" s="37">
        <f t="shared" si="64"/>
        <v>5.4487787687386487E-3</v>
      </c>
      <c r="J4110" s="33"/>
    </row>
    <row r="4111" spans="1:10">
      <c r="A4111" s="33" t="s">
        <v>165</v>
      </c>
      <c r="B4111" s="34">
        <v>222.48599999999999</v>
      </c>
      <c r="C4111" s="35">
        <v>3688.9</v>
      </c>
      <c r="D4111" s="33" t="s">
        <v>165</v>
      </c>
      <c r="E4111" s="34">
        <v>222.43600000000001</v>
      </c>
      <c r="F4111" s="36">
        <v>4.9999999999983002E-2</v>
      </c>
      <c r="G4111" s="34">
        <v>4.9999999999983002E-2</v>
      </c>
      <c r="H4111" s="35">
        <v>195.8</v>
      </c>
      <c r="I4111" s="37">
        <f t="shared" si="64"/>
        <v>5.3078153379056088E-2</v>
      </c>
      <c r="J4111" s="33"/>
    </row>
    <row r="4112" spans="1:10">
      <c r="A4112" s="33" t="s">
        <v>165</v>
      </c>
      <c r="B4112" s="34">
        <v>222.48599999999999</v>
      </c>
      <c r="C4112" s="35">
        <v>3688.9</v>
      </c>
      <c r="D4112" s="33" t="s">
        <v>63</v>
      </c>
      <c r="E4112" s="34">
        <v>222.447</v>
      </c>
      <c r="F4112" s="36">
        <v>3.9E-2</v>
      </c>
      <c r="G4112" s="34">
        <v>3.9E-2</v>
      </c>
      <c r="H4112" s="35">
        <v>11361.1</v>
      </c>
      <c r="I4112" s="37">
        <f t="shared" si="64"/>
        <v>3.0798069885331669</v>
      </c>
      <c r="J4112" s="33" t="s">
        <v>116</v>
      </c>
    </row>
    <row r="4113" spans="1:10">
      <c r="A4113" s="33" t="s">
        <v>165</v>
      </c>
      <c r="B4113" s="34">
        <v>222.48599999999999</v>
      </c>
      <c r="C4113" s="35">
        <v>3688.9</v>
      </c>
      <c r="D4113" s="33" t="s">
        <v>165</v>
      </c>
      <c r="E4113" s="34">
        <v>222.45099999999999</v>
      </c>
      <c r="F4113" s="36">
        <v>3.4999999999996603E-2</v>
      </c>
      <c r="G4113" s="34">
        <v>3.4999999999996603E-2</v>
      </c>
      <c r="H4113" s="35">
        <v>45.6</v>
      </c>
      <c r="I4113" s="37">
        <f t="shared" si="64"/>
        <v>1.2361408549974248E-2</v>
      </c>
      <c r="J4113" s="33"/>
    </row>
    <row r="4114" spans="1:10">
      <c r="A4114" s="33" t="s">
        <v>165</v>
      </c>
      <c r="B4114" s="34">
        <v>222.48599999999999</v>
      </c>
      <c r="C4114" s="35">
        <v>3688.9</v>
      </c>
      <c r="D4114" s="33" t="s">
        <v>273</v>
      </c>
      <c r="E4114" s="34">
        <v>222.46700000000001</v>
      </c>
      <c r="F4114" s="36">
        <v>1.8999999999977001E-2</v>
      </c>
      <c r="G4114" s="34">
        <v>1.8999999999977001E-2</v>
      </c>
      <c r="H4114" s="35">
        <v>115.3</v>
      </c>
      <c r="I4114" s="37">
        <f t="shared" si="64"/>
        <v>3.1255929952018216E-2</v>
      </c>
      <c r="J4114" s="33"/>
    </row>
    <row r="4115" spans="1:10">
      <c r="A4115" s="33" t="s">
        <v>165</v>
      </c>
      <c r="B4115" s="34">
        <v>222.48599999999999</v>
      </c>
      <c r="C4115" s="35">
        <v>3688.9</v>
      </c>
      <c r="D4115" s="33" t="s">
        <v>290</v>
      </c>
      <c r="E4115" s="34">
        <v>222.48</v>
      </c>
      <c r="F4115" s="36">
        <v>6.00000000000023E-3</v>
      </c>
      <c r="G4115" s="34">
        <v>6.00000000000023E-3</v>
      </c>
      <c r="H4115" s="35">
        <v>20.7</v>
      </c>
      <c r="I4115" s="37">
        <f t="shared" si="64"/>
        <v>5.6114288812383088E-3</v>
      </c>
      <c r="J4115" s="33"/>
    </row>
    <row r="4116" spans="1:10">
      <c r="A4116" s="33" t="s">
        <v>165</v>
      </c>
      <c r="B4116" s="34">
        <v>222.48599999999999</v>
      </c>
      <c r="C4116" s="35">
        <v>3688.9</v>
      </c>
      <c r="D4116" s="33" t="s">
        <v>291</v>
      </c>
      <c r="E4116" s="34">
        <v>222.49299999999999</v>
      </c>
      <c r="F4116" s="36">
        <v>7.0000000000049996E-3</v>
      </c>
      <c r="G4116" s="34">
        <v>7.0000000000049996E-3</v>
      </c>
      <c r="H4116" s="35">
        <v>34.799999999999997</v>
      </c>
      <c r="I4116" s="37">
        <f t="shared" si="64"/>
        <v>9.4337065249803457E-3</v>
      </c>
      <c r="J4116" s="33"/>
    </row>
    <row r="4117" spans="1:10">
      <c r="A4117" s="33" t="s">
        <v>165</v>
      </c>
      <c r="B4117" s="34">
        <v>222.48599999999999</v>
      </c>
      <c r="C4117" s="35">
        <v>3688.9</v>
      </c>
      <c r="D4117" s="33" t="s">
        <v>237</v>
      </c>
      <c r="E4117" s="34">
        <v>222.511</v>
      </c>
      <c r="F4117" s="36">
        <v>2.5000000000005702E-2</v>
      </c>
      <c r="G4117" s="34">
        <v>2.5000000000005702E-2</v>
      </c>
      <c r="H4117" s="35">
        <v>13.9</v>
      </c>
      <c r="I4117" s="37">
        <f t="shared" si="64"/>
        <v>3.7680609395754831E-3</v>
      </c>
      <c r="J4117" s="33"/>
    </row>
    <row r="4118" spans="1:10">
      <c r="A4118" s="33" t="s">
        <v>165</v>
      </c>
      <c r="B4118" s="34">
        <v>222.48599999999999</v>
      </c>
      <c r="C4118" s="35">
        <v>3688.9</v>
      </c>
      <c r="D4118" s="33" t="s">
        <v>293</v>
      </c>
      <c r="E4118" s="34">
        <v>222.52600000000001</v>
      </c>
      <c r="F4118" s="36">
        <v>4.0000000000020498E-2</v>
      </c>
      <c r="G4118" s="34">
        <v>4.0000000000020498E-2</v>
      </c>
      <c r="H4118" s="35">
        <v>0.2</v>
      </c>
      <c r="I4118" s="37">
        <f t="shared" si="64"/>
        <v>5.4216704166553718E-5</v>
      </c>
      <c r="J4118" s="33"/>
    </row>
    <row r="4119" spans="1:10">
      <c r="A4119" s="33" t="s">
        <v>165</v>
      </c>
      <c r="B4119" s="34">
        <v>222.48599999999999</v>
      </c>
      <c r="C4119" s="35">
        <v>3688.9</v>
      </c>
      <c r="D4119" s="33" t="s">
        <v>284</v>
      </c>
      <c r="E4119" s="34">
        <v>222.52699999999999</v>
      </c>
      <c r="F4119" s="36">
        <v>4.0999999999996803E-2</v>
      </c>
      <c r="G4119" s="34">
        <v>4.0999999999996803E-2</v>
      </c>
      <c r="H4119" s="35">
        <v>19.7</v>
      </c>
      <c r="I4119" s="37">
        <f t="shared" si="64"/>
        <v>5.3403453604055403E-3</v>
      </c>
      <c r="J4119" s="33"/>
    </row>
    <row r="4120" spans="1:10">
      <c r="A4120" s="33" t="s">
        <v>165</v>
      </c>
      <c r="B4120" s="34">
        <v>222.48599999999999</v>
      </c>
      <c r="C4120" s="35">
        <v>3688.9</v>
      </c>
      <c r="D4120" s="33" t="s">
        <v>271</v>
      </c>
      <c r="E4120" s="34">
        <v>222.52699999999999</v>
      </c>
      <c r="F4120" s="36">
        <v>4.0999999999996803E-2</v>
      </c>
      <c r="G4120" s="34">
        <v>4.0999999999996803E-2</v>
      </c>
      <c r="H4120" s="35">
        <v>22.2</v>
      </c>
      <c r="I4120" s="37">
        <f t="shared" si="64"/>
        <v>6.018054162487462E-3</v>
      </c>
      <c r="J4120" s="33"/>
    </row>
    <row r="4121" spans="1:10">
      <c r="A4121" s="33" t="s">
        <v>165</v>
      </c>
      <c r="B4121" s="34">
        <v>222.48599999999999</v>
      </c>
      <c r="C4121" s="35">
        <v>3688.9</v>
      </c>
      <c r="D4121" s="33" t="s">
        <v>54</v>
      </c>
      <c r="E4121" s="34">
        <v>222.535</v>
      </c>
      <c r="F4121" s="36">
        <v>4.9000000000006601E-2</v>
      </c>
      <c r="G4121" s="34">
        <v>4.9000000000006601E-2</v>
      </c>
      <c r="H4121" s="35">
        <v>19.3</v>
      </c>
      <c r="I4121" s="37">
        <f t="shared" si="64"/>
        <v>5.2319119520724336E-3</v>
      </c>
      <c r="J4121" s="33"/>
    </row>
    <row r="4122" spans="1:10">
      <c r="A4122" s="33" t="s">
        <v>165</v>
      </c>
      <c r="B4122" s="34">
        <v>222.48599999999999</v>
      </c>
      <c r="C4122" s="35">
        <v>3688.9</v>
      </c>
      <c r="D4122" s="33" t="s">
        <v>269</v>
      </c>
      <c r="E4122" s="34">
        <v>222.535</v>
      </c>
      <c r="F4122" s="36">
        <v>4.9000000000006601E-2</v>
      </c>
      <c r="G4122" s="34">
        <v>4.9000000000006601E-2</v>
      </c>
      <c r="H4122" s="35">
        <v>35.6</v>
      </c>
      <c r="I4122" s="37">
        <f t="shared" si="64"/>
        <v>9.6505733416465608E-3</v>
      </c>
      <c r="J4122" s="33"/>
    </row>
    <row r="4123" spans="1:10">
      <c r="A4123" s="33" t="s">
        <v>165</v>
      </c>
      <c r="B4123" s="34">
        <v>222.48599999999999</v>
      </c>
      <c r="C4123" s="35">
        <v>3688.9</v>
      </c>
      <c r="D4123" s="33" t="s">
        <v>278</v>
      </c>
      <c r="E4123" s="34">
        <v>222.54300000000001</v>
      </c>
      <c r="F4123" s="36">
        <v>5.7000000000016399E-2</v>
      </c>
      <c r="G4123" s="34">
        <v>5.7000000000016399E-2</v>
      </c>
      <c r="H4123" s="35">
        <v>3</v>
      </c>
      <c r="I4123" s="37">
        <f t="shared" si="64"/>
        <v>8.132505624983057E-4</v>
      </c>
      <c r="J4123" s="33"/>
    </row>
    <row r="4124" spans="1:10">
      <c r="A4124" s="33" t="s">
        <v>165</v>
      </c>
      <c r="B4124" s="34">
        <v>222.48599999999999</v>
      </c>
      <c r="C4124" s="35">
        <v>3688.9</v>
      </c>
      <c r="D4124" s="33" t="s">
        <v>286</v>
      </c>
      <c r="E4124" s="34">
        <v>222.571</v>
      </c>
      <c r="F4124" s="36">
        <v>8.5000000000008E-2</v>
      </c>
      <c r="G4124" s="34">
        <v>8.5000000000008E-2</v>
      </c>
      <c r="H4124" s="35">
        <v>1129.5</v>
      </c>
      <c r="I4124" s="37">
        <f t="shared" si="64"/>
        <v>0.30618883678061209</v>
      </c>
      <c r="J4124" s="33"/>
    </row>
    <row r="4125" spans="1:10">
      <c r="A4125" s="33" t="s">
        <v>165</v>
      </c>
      <c r="B4125" s="34">
        <v>222.48599999999999</v>
      </c>
      <c r="C4125" s="35">
        <v>3688.9</v>
      </c>
      <c r="D4125" s="33" t="s">
        <v>274</v>
      </c>
      <c r="E4125" s="34">
        <v>222.59</v>
      </c>
      <c r="F4125" s="36">
        <v>0.104000000000013</v>
      </c>
      <c r="G4125" s="34">
        <v>0.104000000000013</v>
      </c>
      <c r="H4125" s="35">
        <v>1783.3</v>
      </c>
      <c r="I4125" s="37">
        <f t="shared" si="64"/>
        <v>0.48342324270107617</v>
      </c>
      <c r="J4125" s="33"/>
    </row>
    <row r="4126" spans="1:10">
      <c r="A4126" s="33" t="s">
        <v>165</v>
      </c>
      <c r="B4126" s="34">
        <v>222.48599999999999</v>
      </c>
      <c r="C4126" s="35">
        <v>3688.9</v>
      </c>
      <c r="D4126" s="33" t="s">
        <v>239</v>
      </c>
      <c r="E4126" s="34">
        <v>222.62700000000001</v>
      </c>
      <c r="F4126" s="36">
        <v>0.14100000000002</v>
      </c>
      <c r="G4126" s="34">
        <v>0.14100000000002</v>
      </c>
      <c r="H4126" s="35">
        <v>58.1</v>
      </c>
      <c r="I4126" s="37">
        <f t="shared" si="64"/>
        <v>1.5749952560383855E-2</v>
      </c>
      <c r="J4126" s="33"/>
    </row>
    <row r="4127" spans="1:10">
      <c r="A4127" s="33" t="s">
        <v>165</v>
      </c>
      <c r="B4127" s="34">
        <v>222.48599999999999</v>
      </c>
      <c r="C4127" s="35">
        <v>3688.9</v>
      </c>
      <c r="D4127" s="33" t="s">
        <v>165</v>
      </c>
      <c r="E4127" s="34">
        <v>222.63300000000001</v>
      </c>
      <c r="F4127" s="36">
        <v>0.14700000000002</v>
      </c>
      <c r="G4127" s="34">
        <v>0.14700000000002</v>
      </c>
      <c r="H4127" s="35">
        <v>2281.9</v>
      </c>
      <c r="I4127" s="37">
        <f t="shared" si="64"/>
        <v>0.61858548618829468</v>
      </c>
      <c r="J4127" s="33"/>
    </row>
    <row r="4128" spans="1:10">
      <c r="A4128" s="33" t="s">
        <v>165</v>
      </c>
      <c r="B4128" s="34">
        <v>222.48599999999999</v>
      </c>
      <c r="C4128" s="35">
        <v>3688.9</v>
      </c>
      <c r="D4128" s="33" t="s">
        <v>279</v>
      </c>
      <c r="E4128" s="34">
        <v>222.642</v>
      </c>
      <c r="F4128" s="36">
        <v>0.15600000000000599</v>
      </c>
      <c r="G4128" s="34">
        <v>0.15600000000000599</v>
      </c>
      <c r="H4128" s="35">
        <v>223.8</v>
      </c>
      <c r="I4128" s="37">
        <f t="shared" si="64"/>
        <v>6.0668491962373609E-2</v>
      </c>
      <c r="J4128" s="33"/>
    </row>
    <row r="4129" spans="1:10">
      <c r="A4129" s="33" t="s">
        <v>165</v>
      </c>
      <c r="B4129" s="34">
        <v>222.48599999999999</v>
      </c>
      <c r="C4129" s="35">
        <v>3688.9</v>
      </c>
      <c r="D4129" s="33" t="s">
        <v>239</v>
      </c>
      <c r="E4129" s="34">
        <v>222.64699999999999</v>
      </c>
      <c r="F4129" s="36">
        <v>0.161000000000001</v>
      </c>
      <c r="G4129" s="34">
        <v>0.161000000000001</v>
      </c>
      <c r="H4129" s="35">
        <v>5.3</v>
      </c>
      <c r="I4129" s="37">
        <f t="shared" si="64"/>
        <v>1.4367426604136734E-3</v>
      </c>
      <c r="J4129" s="33"/>
    </row>
    <row r="4130" spans="1:10">
      <c r="A4130" s="33" t="s">
        <v>165</v>
      </c>
      <c r="B4130" s="34">
        <v>222.48599999999999</v>
      </c>
      <c r="C4130" s="35">
        <v>3688.9</v>
      </c>
      <c r="D4130" s="33" t="s">
        <v>274</v>
      </c>
      <c r="E4130" s="34">
        <v>222.65600000000001</v>
      </c>
      <c r="F4130" s="36">
        <v>0.170000000000016</v>
      </c>
      <c r="G4130" s="34">
        <v>0.170000000000016</v>
      </c>
      <c r="H4130" s="35">
        <v>255</v>
      </c>
      <c r="I4130" s="37">
        <f t="shared" si="64"/>
        <v>6.9126297812355991E-2</v>
      </c>
      <c r="J4130" s="33"/>
    </row>
    <row r="4131" spans="1:10">
      <c r="A4131" s="33" t="s">
        <v>165</v>
      </c>
      <c r="B4131" s="34">
        <v>222.48599999999999</v>
      </c>
      <c r="C4131" s="35">
        <v>3688.9</v>
      </c>
      <c r="D4131" s="33" t="s">
        <v>274</v>
      </c>
      <c r="E4131" s="34">
        <v>222.67699999999999</v>
      </c>
      <c r="F4131" s="36">
        <v>0.191000000000003</v>
      </c>
      <c r="G4131" s="34">
        <v>0.191000000000003</v>
      </c>
      <c r="H4131" s="35">
        <v>150.80000000000001</v>
      </c>
      <c r="I4131" s="37">
        <f t="shared" si="64"/>
        <v>4.0879394941581507E-2</v>
      </c>
      <c r="J4131" s="33"/>
    </row>
    <row r="4132" spans="1:10">
      <c r="A4132" s="33" t="s">
        <v>165</v>
      </c>
      <c r="B4132" s="34">
        <v>222.48599999999999</v>
      </c>
      <c r="C4132" s="35">
        <v>3688.9</v>
      </c>
      <c r="D4132" s="33" t="s">
        <v>237</v>
      </c>
      <c r="E4132" s="34">
        <v>222.679</v>
      </c>
      <c r="F4132" s="36">
        <v>0.193000000000012</v>
      </c>
      <c r="G4132" s="34">
        <v>0.193000000000012</v>
      </c>
      <c r="H4132" s="35">
        <v>8.6</v>
      </c>
      <c r="I4132" s="37">
        <f t="shared" si="64"/>
        <v>2.3313182791618097E-3</v>
      </c>
      <c r="J4132" s="33"/>
    </row>
    <row r="4133" spans="1:10">
      <c r="A4133" s="33" t="s">
        <v>165</v>
      </c>
      <c r="B4133" s="34">
        <v>222.48599999999999</v>
      </c>
      <c r="C4133" s="35">
        <v>3688.9</v>
      </c>
      <c r="D4133" s="33" t="s">
        <v>284</v>
      </c>
      <c r="E4133" s="34">
        <v>222.68299999999999</v>
      </c>
      <c r="F4133" s="36">
        <v>0.19700000000000301</v>
      </c>
      <c r="G4133" s="34">
        <v>0.19700000000000301</v>
      </c>
      <c r="H4133" s="35">
        <v>44</v>
      </c>
      <c r="I4133" s="37">
        <f t="shared" si="64"/>
        <v>1.1927674916641817E-2</v>
      </c>
      <c r="J4133" s="33"/>
    </row>
    <row r="4134" spans="1:10">
      <c r="A4134" s="33" t="s">
        <v>165</v>
      </c>
      <c r="B4134" s="34">
        <v>222.48599999999999</v>
      </c>
      <c r="C4134" s="35">
        <v>3688.9</v>
      </c>
      <c r="D4134" s="33" t="s">
        <v>237</v>
      </c>
      <c r="E4134" s="34">
        <v>222.714</v>
      </c>
      <c r="F4134" s="36">
        <v>0.228000000000009</v>
      </c>
      <c r="G4134" s="34">
        <v>0.228000000000009</v>
      </c>
      <c r="H4134" s="35">
        <v>828.3</v>
      </c>
      <c r="I4134" s="37">
        <f t="shared" si="64"/>
        <v>0.22453848030578219</v>
      </c>
      <c r="J4134" s="33"/>
    </row>
    <row r="4135" spans="1:10">
      <c r="A4135" s="33" t="s">
        <v>165</v>
      </c>
      <c r="B4135" s="34">
        <v>222.48599999999999</v>
      </c>
      <c r="C4135" s="35">
        <v>3688.9</v>
      </c>
      <c r="D4135" s="33" t="s">
        <v>193</v>
      </c>
      <c r="E4135" s="34">
        <v>222.72900000000001</v>
      </c>
      <c r="F4135" s="36">
        <v>0.243000000000023</v>
      </c>
      <c r="G4135" s="34">
        <v>0.243000000000023</v>
      </c>
      <c r="H4135" s="35">
        <v>51.17</v>
      </c>
      <c r="I4135" s="37">
        <f t="shared" si="64"/>
        <v>1.3871343761012768E-2</v>
      </c>
      <c r="J4135" s="33"/>
    </row>
    <row r="4136" spans="1:10">
      <c r="A4136" s="33" t="s">
        <v>165</v>
      </c>
      <c r="B4136" s="34">
        <v>227.02099999999999</v>
      </c>
      <c r="C4136" s="35">
        <v>6337.5</v>
      </c>
      <c r="D4136" s="33" t="s">
        <v>97</v>
      </c>
      <c r="E4136" s="34">
        <v>226.75899999999999</v>
      </c>
      <c r="F4136" s="36">
        <v>0.26200000000000101</v>
      </c>
      <c r="G4136" s="34">
        <v>0.26200000000000101</v>
      </c>
      <c r="H4136" s="35">
        <v>161.30000000000001</v>
      </c>
      <c r="I4136" s="37">
        <f t="shared" si="64"/>
        <v>2.5451676528599608E-2</v>
      </c>
      <c r="J4136" s="33"/>
    </row>
    <row r="4137" spans="1:10">
      <c r="A4137" s="33" t="s">
        <v>165</v>
      </c>
      <c r="B4137" s="34">
        <v>227.02099999999999</v>
      </c>
      <c r="C4137" s="35">
        <v>6337.5</v>
      </c>
      <c r="D4137" s="33" t="s">
        <v>239</v>
      </c>
      <c r="E4137" s="34">
        <v>226.76499999999999</v>
      </c>
      <c r="F4137" s="36">
        <v>0.25600000000000001</v>
      </c>
      <c r="G4137" s="34">
        <v>0.25600000000000001</v>
      </c>
      <c r="H4137" s="35">
        <v>1.1000000000000001</v>
      </c>
      <c r="I4137" s="37">
        <f t="shared" si="64"/>
        <v>1.7357001972386589E-4</v>
      </c>
      <c r="J4137" s="33"/>
    </row>
    <row r="4138" spans="1:10">
      <c r="A4138" s="33" t="s">
        <v>165</v>
      </c>
      <c r="B4138" s="34">
        <v>227.02099999999999</v>
      </c>
      <c r="C4138" s="35">
        <v>6337.5</v>
      </c>
      <c r="D4138" s="33" t="s">
        <v>237</v>
      </c>
      <c r="E4138" s="34">
        <v>226.791</v>
      </c>
      <c r="F4138" s="36">
        <v>0.22999999999998999</v>
      </c>
      <c r="G4138" s="34">
        <v>0.22999999999998999</v>
      </c>
      <c r="H4138" s="35">
        <v>6.4</v>
      </c>
      <c r="I4138" s="37">
        <f t="shared" si="64"/>
        <v>1.0098619329388561E-3</v>
      </c>
      <c r="J4138" s="33"/>
    </row>
    <row r="4139" spans="1:10">
      <c r="A4139" s="33" t="s">
        <v>165</v>
      </c>
      <c r="B4139" s="34">
        <v>227.02099999999999</v>
      </c>
      <c r="C4139" s="35">
        <v>6337.5</v>
      </c>
      <c r="D4139" s="33" t="s">
        <v>239</v>
      </c>
      <c r="E4139" s="34">
        <v>226.81299999999999</v>
      </c>
      <c r="F4139" s="36">
        <v>0.20799999999999799</v>
      </c>
      <c r="G4139" s="34">
        <v>0.20799999999999799</v>
      </c>
      <c r="H4139" s="35">
        <v>1.4</v>
      </c>
      <c r="I4139" s="37">
        <f t="shared" si="64"/>
        <v>2.2090729783037473E-4</v>
      </c>
      <c r="J4139" s="33"/>
    </row>
    <row r="4140" spans="1:10">
      <c r="A4140" s="33" t="s">
        <v>165</v>
      </c>
      <c r="B4140" s="34">
        <v>227.02099999999999</v>
      </c>
      <c r="C4140" s="35">
        <v>6337.5</v>
      </c>
      <c r="D4140" s="33" t="s">
        <v>97</v>
      </c>
      <c r="E4140" s="34">
        <v>226.81399999999999</v>
      </c>
      <c r="F4140" s="36">
        <v>0.20699999999999399</v>
      </c>
      <c r="G4140" s="34">
        <v>0.20699999999999399</v>
      </c>
      <c r="H4140" s="35">
        <v>41</v>
      </c>
      <c r="I4140" s="37">
        <f t="shared" si="64"/>
        <v>6.4694280078895459E-3</v>
      </c>
      <c r="J4140" s="33"/>
    </row>
    <row r="4141" spans="1:10">
      <c r="A4141" s="33" t="s">
        <v>165</v>
      </c>
      <c r="B4141" s="34">
        <v>227.02099999999999</v>
      </c>
      <c r="C4141" s="35">
        <v>6337.5</v>
      </c>
      <c r="D4141" s="33" t="s">
        <v>273</v>
      </c>
      <c r="E4141" s="34">
        <v>226.852</v>
      </c>
      <c r="F4141" s="36">
        <v>0.168999999999983</v>
      </c>
      <c r="G4141" s="34">
        <v>0.168999999999983</v>
      </c>
      <c r="H4141" s="35">
        <v>386.4</v>
      </c>
      <c r="I4141" s="37">
        <f t="shared" si="64"/>
        <v>6.0970414201183432E-2</v>
      </c>
      <c r="J4141" s="33"/>
    </row>
    <row r="4142" spans="1:10">
      <c r="A4142" s="33" t="s">
        <v>165</v>
      </c>
      <c r="B4142" s="34">
        <v>227.02099999999999</v>
      </c>
      <c r="C4142" s="35">
        <v>6337.5</v>
      </c>
      <c r="D4142" s="33" t="s">
        <v>294</v>
      </c>
      <c r="E4142" s="34">
        <v>226.88399999999999</v>
      </c>
      <c r="F4142" s="36">
        <v>0.13700000000000101</v>
      </c>
      <c r="G4142" s="34">
        <v>0.13700000000000101</v>
      </c>
      <c r="H4142" s="35">
        <v>75.599999999999994</v>
      </c>
      <c r="I4142" s="37">
        <f t="shared" si="64"/>
        <v>1.1928994082840236E-2</v>
      </c>
      <c r="J4142" s="33"/>
    </row>
    <row r="4143" spans="1:10">
      <c r="A4143" s="33" t="s">
        <v>165</v>
      </c>
      <c r="B4143" s="34">
        <v>227.02099999999999</v>
      </c>
      <c r="C4143" s="35">
        <v>6337.5</v>
      </c>
      <c r="D4143" s="33" t="s">
        <v>97</v>
      </c>
      <c r="E4143" s="34">
        <v>226.887</v>
      </c>
      <c r="F4143" s="36">
        <v>0.13399999999998599</v>
      </c>
      <c r="G4143" s="34">
        <v>0.13399999999998599</v>
      </c>
      <c r="H4143" s="35">
        <v>5</v>
      </c>
      <c r="I4143" s="37">
        <f t="shared" si="64"/>
        <v>7.8895463510848124E-4</v>
      </c>
      <c r="J4143" s="33"/>
    </row>
    <row r="4144" spans="1:10">
      <c r="A4144" s="33" t="s">
        <v>165</v>
      </c>
      <c r="B4144" s="34">
        <v>227.02099999999999</v>
      </c>
      <c r="C4144" s="35">
        <v>6337.5</v>
      </c>
      <c r="D4144" s="33" t="s">
        <v>290</v>
      </c>
      <c r="E4144" s="34">
        <v>226.89</v>
      </c>
      <c r="F4144" s="36">
        <v>0.13100000000000001</v>
      </c>
      <c r="G4144" s="34">
        <v>0.13100000000000001</v>
      </c>
      <c r="H4144" s="35">
        <v>55.8</v>
      </c>
      <c r="I4144" s="37">
        <f t="shared" si="64"/>
        <v>8.8047337278106506E-3</v>
      </c>
      <c r="J4144" s="33"/>
    </row>
    <row r="4145" spans="1:10">
      <c r="A4145" s="33" t="s">
        <v>165</v>
      </c>
      <c r="B4145" s="34">
        <v>227.02099999999999</v>
      </c>
      <c r="C4145" s="35">
        <v>6337.5</v>
      </c>
      <c r="D4145" s="33" t="s">
        <v>272</v>
      </c>
      <c r="E4145" s="34">
        <v>226.893</v>
      </c>
      <c r="F4145" s="36">
        <v>0.12799999999998601</v>
      </c>
      <c r="G4145" s="34">
        <v>0.12799999999998601</v>
      </c>
      <c r="H4145" s="35">
        <v>343.3</v>
      </c>
      <c r="I4145" s="37">
        <f t="shared" si="64"/>
        <v>5.4169625246548322E-2</v>
      </c>
      <c r="J4145" s="33"/>
    </row>
    <row r="4146" spans="1:10">
      <c r="A4146" s="33" t="s">
        <v>165</v>
      </c>
      <c r="B4146" s="34">
        <v>227.02099999999999</v>
      </c>
      <c r="C4146" s="35">
        <v>6337.5</v>
      </c>
      <c r="D4146" s="33" t="s">
        <v>237</v>
      </c>
      <c r="E4146" s="34">
        <v>226.90799999999999</v>
      </c>
      <c r="F4146" s="36">
        <v>0.113</v>
      </c>
      <c r="G4146" s="34">
        <v>0.113</v>
      </c>
      <c r="H4146" s="35">
        <v>683.9</v>
      </c>
      <c r="I4146" s="37">
        <f t="shared" si="64"/>
        <v>0.10791321499013806</v>
      </c>
      <c r="J4146" s="33"/>
    </row>
    <row r="4147" spans="1:10">
      <c r="A4147" s="33" t="s">
        <v>165</v>
      </c>
      <c r="B4147" s="34">
        <v>227.02099999999999</v>
      </c>
      <c r="C4147" s="35">
        <v>6337.5</v>
      </c>
      <c r="D4147" s="33" t="s">
        <v>283</v>
      </c>
      <c r="E4147" s="34">
        <v>226.91</v>
      </c>
      <c r="F4147" s="36">
        <v>0.11099999999999</v>
      </c>
      <c r="G4147" s="34">
        <v>0.11099999999999</v>
      </c>
      <c r="H4147" s="35">
        <v>1247.9000000000001</v>
      </c>
      <c r="I4147" s="37">
        <f t="shared" si="64"/>
        <v>0.19690729783037478</v>
      </c>
      <c r="J4147" s="33"/>
    </row>
    <row r="4148" spans="1:10">
      <c r="A4148" s="33" t="s">
        <v>165</v>
      </c>
      <c r="B4148" s="34">
        <v>227.02099999999999</v>
      </c>
      <c r="C4148" s="35">
        <v>6337.5</v>
      </c>
      <c r="D4148" s="33" t="s">
        <v>97</v>
      </c>
      <c r="E4148" s="34">
        <v>226.91</v>
      </c>
      <c r="F4148" s="36">
        <v>0.11099999999999</v>
      </c>
      <c r="G4148" s="34">
        <v>0.11099999999999</v>
      </c>
      <c r="H4148" s="35">
        <v>25</v>
      </c>
      <c r="I4148" s="37">
        <f t="shared" si="64"/>
        <v>3.9447731755424065E-3</v>
      </c>
      <c r="J4148" s="33"/>
    </row>
    <row r="4149" spans="1:10">
      <c r="A4149" s="33" t="s">
        <v>165</v>
      </c>
      <c r="B4149" s="34">
        <v>227.02099999999999</v>
      </c>
      <c r="C4149" s="35">
        <v>6337.5</v>
      </c>
      <c r="D4149" s="33" t="s">
        <v>193</v>
      </c>
      <c r="E4149" s="34">
        <v>226.92099999999999</v>
      </c>
      <c r="F4149" s="36">
        <v>9.9999999999994302E-2</v>
      </c>
      <c r="G4149" s="34">
        <v>9.9999999999994302E-2</v>
      </c>
      <c r="H4149" s="35">
        <v>238.9</v>
      </c>
      <c r="I4149" s="37">
        <f t="shared" si="64"/>
        <v>3.7696252465483235E-2</v>
      </c>
      <c r="J4149" s="33"/>
    </row>
    <row r="4150" spans="1:10">
      <c r="A4150" s="33" t="s">
        <v>165</v>
      </c>
      <c r="B4150" s="34">
        <v>227.02099999999999</v>
      </c>
      <c r="C4150" s="35">
        <v>6337.5</v>
      </c>
      <c r="D4150" s="33" t="s">
        <v>284</v>
      </c>
      <c r="E4150" s="34">
        <v>226.95400000000001</v>
      </c>
      <c r="F4150" s="36">
        <v>6.6999999999978896E-2</v>
      </c>
      <c r="G4150" s="34">
        <v>6.6999999999978896E-2</v>
      </c>
      <c r="H4150" s="35">
        <v>44</v>
      </c>
      <c r="I4150" s="37">
        <f t="shared" si="64"/>
        <v>6.942800788954635E-3</v>
      </c>
      <c r="J4150" s="33"/>
    </row>
    <row r="4151" spans="1:10">
      <c r="A4151" s="33" t="s">
        <v>165</v>
      </c>
      <c r="B4151" s="34">
        <v>227.02099999999999</v>
      </c>
      <c r="C4151" s="35">
        <v>6337.5</v>
      </c>
      <c r="D4151" s="33" t="s">
        <v>193</v>
      </c>
      <c r="E4151" s="34">
        <v>226.95599999999999</v>
      </c>
      <c r="F4151" s="36">
        <v>6.4999999999997699E-2</v>
      </c>
      <c r="G4151" s="34">
        <v>6.4999999999997699E-2</v>
      </c>
      <c r="H4151" s="35">
        <v>250.8</v>
      </c>
      <c r="I4151" s="37">
        <f t="shared" si="64"/>
        <v>3.9573964497041425E-2</v>
      </c>
      <c r="J4151" s="33"/>
    </row>
    <row r="4152" spans="1:10">
      <c r="A4152" s="33" t="s">
        <v>165</v>
      </c>
      <c r="B4152" s="34">
        <v>227.02099999999999</v>
      </c>
      <c r="C4152" s="35">
        <v>6337.5</v>
      </c>
      <c r="D4152" s="33" t="s">
        <v>275</v>
      </c>
      <c r="E4152" s="34">
        <v>226.971</v>
      </c>
      <c r="F4152" s="36">
        <v>4.9999999999983002E-2</v>
      </c>
      <c r="G4152" s="34">
        <v>4.9999999999983002E-2</v>
      </c>
      <c r="H4152" s="35">
        <v>785.8</v>
      </c>
      <c r="I4152" s="37">
        <f t="shared" si="64"/>
        <v>0.12399211045364891</v>
      </c>
      <c r="J4152" s="33"/>
    </row>
    <row r="4153" spans="1:10">
      <c r="A4153" s="33" t="s">
        <v>165</v>
      </c>
      <c r="B4153" s="34">
        <v>227.02099999999999</v>
      </c>
      <c r="C4153" s="35">
        <v>6337.5</v>
      </c>
      <c r="D4153" s="33" t="s">
        <v>240</v>
      </c>
      <c r="E4153" s="34">
        <v>226.98500000000001</v>
      </c>
      <c r="F4153" s="36">
        <v>3.5999999999972901E-2</v>
      </c>
      <c r="G4153" s="34">
        <v>3.5999999999972901E-2</v>
      </c>
      <c r="H4153" s="35">
        <v>23.9</v>
      </c>
      <c r="I4153" s="37">
        <f t="shared" si="64"/>
        <v>3.7712031558185402E-3</v>
      </c>
      <c r="J4153" s="33"/>
    </row>
    <row r="4154" spans="1:10">
      <c r="A4154" s="33" t="s">
        <v>165</v>
      </c>
      <c r="B4154" s="34">
        <v>227.02099999999999</v>
      </c>
      <c r="C4154" s="35">
        <v>6337.5</v>
      </c>
      <c r="D4154" s="33" t="s">
        <v>273</v>
      </c>
      <c r="E4154" s="34">
        <v>227.018</v>
      </c>
      <c r="F4154" s="36">
        <v>2.9999999999858998E-3</v>
      </c>
      <c r="G4154" s="34">
        <v>2.9999999999858998E-3</v>
      </c>
      <c r="H4154" s="35">
        <v>330.6</v>
      </c>
      <c r="I4154" s="37">
        <f t="shared" si="64"/>
        <v>5.2165680473372784E-2</v>
      </c>
      <c r="J4154" s="33"/>
    </row>
    <row r="4155" spans="1:10">
      <c r="A4155" s="33" t="s">
        <v>165</v>
      </c>
      <c r="B4155" s="34">
        <v>227.02099999999999</v>
      </c>
      <c r="C4155" s="35">
        <v>6337.5</v>
      </c>
      <c r="D4155" s="33" t="s">
        <v>284</v>
      </c>
      <c r="E4155" s="34">
        <v>227.018</v>
      </c>
      <c r="F4155" s="36">
        <v>2.9999999999858998E-3</v>
      </c>
      <c r="G4155" s="34">
        <v>2.9999999999858998E-3</v>
      </c>
      <c r="H4155" s="35">
        <v>8.1999999999999993</v>
      </c>
      <c r="I4155" s="37">
        <f t="shared" si="64"/>
        <v>1.2938856015779091E-3</v>
      </c>
      <c r="J4155" s="33"/>
    </row>
    <row r="4156" spans="1:10">
      <c r="A4156" s="33" t="s">
        <v>165</v>
      </c>
      <c r="B4156" s="34">
        <v>227.02099999999999</v>
      </c>
      <c r="C4156" s="35">
        <v>6337.5</v>
      </c>
      <c r="D4156" s="33" t="s">
        <v>274</v>
      </c>
      <c r="E4156" s="34">
        <v>227.02199999999999</v>
      </c>
      <c r="F4156" s="36">
        <v>1.0000000000047801E-3</v>
      </c>
      <c r="G4156" s="34">
        <v>1.0000000000047801E-3</v>
      </c>
      <c r="H4156" s="35">
        <v>999.7</v>
      </c>
      <c r="I4156" s="37">
        <f t="shared" si="64"/>
        <v>0.15774358974358976</v>
      </c>
      <c r="J4156" s="33"/>
    </row>
    <row r="4157" spans="1:10">
      <c r="A4157" s="33" t="s">
        <v>165</v>
      </c>
      <c r="B4157" s="34">
        <v>227.02099999999999</v>
      </c>
      <c r="C4157" s="35">
        <v>6337.5</v>
      </c>
      <c r="D4157" s="33" t="s">
        <v>97</v>
      </c>
      <c r="E4157" s="34">
        <v>227.08600000000001</v>
      </c>
      <c r="F4157" s="36">
        <v>6.5000000000026203E-2</v>
      </c>
      <c r="G4157" s="34">
        <v>6.5000000000026203E-2</v>
      </c>
      <c r="H4157" s="35">
        <v>27</v>
      </c>
      <c r="I4157" s="37">
        <f t="shared" si="64"/>
        <v>4.2603550295857986E-3</v>
      </c>
      <c r="J4157" s="33"/>
    </row>
    <row r="4158" spans="1:10">
      <c r="A4158" s="33" t="s">
        <v>165</v>
      </c>
      <c r="B4158" s="34">
        <v>227.02099999999999</v>
      </c>
      <c r="C4158" s="35">
        <v>6337.5</v>
      </c>
      <c r="D4158" s="33" t="s">
        <v>193</v>
      </c>
      <c r="E4158" s="34">
        <v>227.09</v>
      </c>
      <c r="F4158" s="36">
        <v>6.9000000000016798E-2</v>
      </c>
      <c r="G4158" s="34">
        <v>6.9000000000016798E-2</v>
      </c>
      <c r="H4158" s="35">
        <v>148.30000000000001</v>
      </c>
      <c r="I4158" s="37">
        <f t="shared" si="64"/>
        <v>2.3400394477317555E-2</v>
      </c>
      <c r="J4158" s="33"/>
    </row>
    <row r="4159" spans="1:10">
      <c r="A4159" s="33" t="s">
        <v>165</v>
      </c>
      <c r="B4159" s="34">
        <v>227.02099999999999</v>
      </c>
      <c r="C4159" s="35">
        <v>6337.5</v>
      </c>
      <c r="D4159" s="33" t="s">
        <v>184</v>
      </c>
      <c r="E4159" s="34">
        <v>227.09399999999999</v>
      </c>
      <c r="F4159" s="36">
        <v>7.3000000000007503E-2</v>
      </c>
      <c r="G4159" s="34">
        <v>7.3000000000007503E-2</v>
      </c>
      <c r="H4159" s="35">
        <v>35.799999999999997</v>
      </c>
      <c r="I4159" s="37">
        <f t="shared" si="64"/>
        <v>5.6489151873767253E-3</v>
      </c>
      <c r="J4159" s="33"/>
    </row>
    <row r="4160" spans="1:10">
      <c r="A4160" s="33" t="s">
        <v>165</v>
      </c>
      <c r="B4160" s="34">
        <v>227.02099999999999</v>
      </c>
      <c r="C4160" s="35">
        <v>6337.5</v>
      </c>
      <c r="D4160" s="33" t="s">
        <v>305</v>
      </c>
      <c r="E4160" s="34">
        <v>227.136</v>
      </c>
      <c r="F4160" s="36">
        <v>0.115000000000009</v>
      </c>
      <c r="G4160" s="34">
        <v>0.115000000000009</v>
      </c>
      <c r="H4160" s="35">
        <v>5.9</v>
      </c>
      <c r="I4160" s="37">
        <f t="shared" si="64"/>
        <v>9.3096646942800794E-4</v>
      </c>
      <c r="J4160" s="33"/>
    </row>
    <row r="4161" spans="1:10">
      <c r="A4161" s="33" t="s">
        <v>165</v>
      </c>
      <c r="B4161" s="34">
        <v>227.02099999999999</v>
      </c>
      <c r="C4161" s="35">
        <v>6337.5</v>
      </c>
      <c r="D4161" s="33" t="s">
        <v>274</v>
      </c>
      <c r="E4161" s="34">
        <v>227.13900000000001</v>
      </c>
      <c r="F4161" s="36">
        <v>0.118000000000023</v>
      </c>
      <c r="G4161" s="34">
        <v>0.118000000000023</v>
      </c>
      <c r="H4161" s="35">
        <v>14.4</v>
      </c>
      <c r="I4161" s="37">
        <f t="shared" si="64"/>
        <v>2.272189349112426E-3</v>
      </c>
      <c r="J4161" s="33"/>
    </row>
    <row r="4162" spans="1:10">
      <c r="A4162" s="33" t="s">
        <v>165</v>
      </c>
      <c r="B4162" s="34">
        <v>227.02099999999999</v>
      </c>
      <c r="C4162" s="35">
        <v>6337.5</v>
      </c>
      <c r="D4162" s="33" t="s">
        <v>193</v>
      </c>
      <c r="E4162" s="34">
        <v>227.185</v>
      </c>
      <c r="F4162" s="36">
        <v>0.16400000000001599</v>
      </c>
      <c r="G4162" s="34">
        <v>0.16400000000001599</v>
      </c>
      <c r="H4162" s="35">
        <v>1285</v>
      </c>
      <c r="I4162" s="37">
        <f t="shared" ref="I4162:I4225" si="65">H4162/C4162</f>
        <v>0.20276134122287967</v>
      </c>
      <c r="J4162" s="33"/>
    </row>
    <row r="4163" spans="1:10">
      <c r="A4163" s="33" t="s">
        <v>165</v>
      </c>
      <c r="B4163" s="34">
        <v>227.02099999999999</v>
      </c>
      <c r="C4163" s="35">
        <v>6337.5</v>
      </c>
      <c r="D4163" s="33" t="s">
        <v>278</v>
      </c>
      <c r="E4163" s="34">
        <v>227.185</v>
      </c>
      <c r="F4163" s="36">
        <v>0.16400000000001599</v>
      </c>
      <c r="G4163" s="34">
        <v>0.16400000000001599</v>
      </c>
      <c r="H4163" s="35">
        <v>42</v>
      </c>
      <c r="I4163" s="37">
        <f t="shared" si="65"/>
        <v>6.6272189349112429E-3</v>
      </c>
      <c r="J4163" s="33"/>
    </row>
    <row r="4164" spans="1:10">
      <c r="A4164" s="33" t="s">
        <v>165</v>
      </c>
      <c r="B4164" s="34">
        <v>227.02099999999999</v>
      </c>
      <c r="C4164" s="35">
        <v>6337.5</v>
      </c>
      <c r="D4164" s="33" t="s">
        <v>165</v>
      </c>
      <c r="E4164" s="34">
        <v>227.19499999999999</v>
      </c>
      <c r="F4164" s="36">
        <v>0.17400000000000701</v>
      </c>
      <c r="G4164" s="34">
        <v>0.17400000000000701</v>
      </c>
      <c r="H4164" s="35">
        <v>27.6</v>
      </c>
      <c r="I4164" s="37">
        <f t="shared" si="65"/>
        <v>4.3550295857988164E-3</v>
      </c>
      <c r="J4164" s="33"/>
    </row>
    <row r="4165" spans="1:10">
      <c r="A4165" s="33" t="s">
        <v>165</v>
      </c>
      <c r="B4165" s="34">
        <v>227.02099999999999</v>
      </c>
      <c r="C4165" s="35">
        <v>6337.5</v>
      </c>
      <c r="D4165" s="33" t="s">
        <v>97</v>
      </c>
      <c r="E4165" s="34">
        <v>227.20699999999999</v>
      </c>
      <c r="F4165" s="36">
        <v>0.18600000000000699</v>
      </c>
      <c r="G4165" s="34">
        <v>0.18600000000000699</v>
      </c>
      <c r="H4165" s="35">
        <v>16.399999999999999</v>
      </c>
      <c r="I4165" s="37">
        <f t="shared" si="65"/>
        <v>2.5877712031558181E-3</v>
      </c>
      <c r="J4165" s="33"/>
    </row>
    <row r="4166" spans="1:10">
      <c r="A4166" s="33" t="s">
        <v>165</v>
      </c>
      <c r="B4166" s="34">
        <v>227.02099999999999</v>
      </c>
      <c r="C4166" s="35">
        <v>6337.5</v>
      </c>
      <c r="D4166" s="33" t="s">
        <v>268</v>
      </c>
      <c r="E4166" s="34">
        <v>227.21</v>
      </c>
      <c r="F4166" s="36">
        <v>0.18900000000002101</v>
      </c>
      <c r="G4166" s="34">
        <v>0.18900000000002101</v>
      </c>
      <c r="H4166" s="35">
        <v>136.69999999999999</v>
      </c>
      <c r="I4166" s="37">
        <f t="shared" si="65"/>
        <v>2.1570019723865876E-2</v>
      </c>
      <c r="J4166" s="33"/>
    </row>
    <row r="4167" spans="1:10">
      <c r="A4167" s="33" t="s">
        <v>165</v>
      </c>
      <c r="B4167" s="34">
        <v>227.02099999999999</v>
      </c>
      <c r="C4167" s="35">
        <v>6337.5</v>
      </c>
      <c r="D4167" s="33" t="s">
        <v>54</v>
      </c>
      <c r="E4167" s="34">
        <v>227.226</v>
      </c>
      <c r="F4167" s="36">
        <v>0.20500000000001301</v>
      </c>
      <c r="G4167" s="34">
        <v>0.20500000000001301</v>
      </c>
      <c r="H4167" s="35">
        <v>143</v>
      </c>
      <c r="I4167" s="37">
        <f t="shared" si="65"/>
        <v>2.2564102564102566E-2</v>
      </c>
      <c r="J4167" s="33"/>
    </row>
    <row r="4168" spans="1:10">
      <c r="A4168" s="33" t="s">
        <v>165</v>
      </c>
      <c r="B4168" s="34">
        <v>227.02099999999999</v>
      </c>
      <c r="C4168" s="35">
        <v>6337.5</v>
      </c>
      <c r="D4168" s="33" t="s">
        <v>284</v>
      </c>
      <c r="E4168" s="34">
        <v>227.25399999999999</v>
      </c>
      <c r="F4168" s="36">
        <v>0.23300000000000401</v>
      </c>
      <c r="G4168" s="34">
        <v>0.23300000000000401</v>
      </c>
      <c r="H4168" s="35">
        <v>16.899999999999999</v>
      </c>
      <c r="I4168" s="37">
        <f t="shared" si="65"/>
        <v>2.6666666666666666E-3</v>
      </c>
      <c r="J4168" s="33"/>
    </row>
    <row r="4169" spans="1:10">
      <c r="A4169" s="33" t="s">
        <v>165</v>
      </c>
      <c r="B4169" s="34">
        <v>227.02099999999999</v>
      </c>
      <c r="C4169" s="35">
        <v>6337.5</v>
      </c>
      <c r="D4169" s="33" t="s">
        <v>193</v>
      </c>
      <c r="E4169" s="34">
        <v>227.26</v>
      </c>
      <c r="F4169" s="36">
        <v>0.23900000000000399</v>
      </c>
      <c r="G4169" s="34">
        <v>0.23900000000000399</v>
      </c>
      <c r="H4169" s="35">
        <v>2241.6999999999998</v>
      </c>
      <c r="I4169" s="37">
        <f t="shared" si="65"/>
        <v>0.35371992110453648</v>
      </c>
      <c r="J4169" s="33"/>
    </row>
    <row r="4170" spans="1:10">
      <c r="A4170" s="33" t="s">
        <v>165</v>
      </c>
      <c r="B4170" s="34">
        <v>227.02099999999999</v>
      </c>
      <c r="C4170" s="35">
        <v>6337.5</v>
      </c>
      <c r="D4170" s="33" t="s">
        <v>237</v>
      </c>
      <c r="E4170" s="34">
        <v>227.261</v>
      </c>
      <c r="F4170" s="36">
        <v>0.24000000000000901</v>
      </c>
      <c r="G4170" s="34">
        <v>0.24000000000000901</v>
      </c>
      <c r="H4170" s="35">
        <v>16.100000000000001</v>
      </c>
      <c r="I4170" s="37">
        <f t="shared" si="65"/>
        <v>2.5404339250493101E-3</v>
      </c>
      <c r="J4170" s="33"/>
    </row>
    <row r="4171" spans="1:10">
      <c r="A4171" s="33" t="s">
        <v>165</v>
      </c>
      <c r="B4171" s="34">
        <v>227.02099999999999</v>
      </c>
      <c r="C4171" s="35">
        <v>6337.5</v>
      </c>
      <c r="D4171" s="33" t="s">
        <v>279</v>
      </c>
      <c r="E4171" s="34">
        <v>227.26400000000001</v>
      </c>
      <c r="F4171" s="36">
        <v>0.243000000000023</v>
      </c>
      <c r="G4171" s="34">
        <v>0.243000000000023</v>
      </c>
      <c r="H4171" s="35">
        <v>90.1</v>
      </c>
      <c r="I4171" s="37">
        <f t="shared" si="65"/>
        <v>1.4216962524654831E-2</v>
      </c>
      <c r="J4171" s="33"/>
    </row>
    <row r="4172" spans="1:10">
      <c r="A4172" s="33" t="s">
        <v>165</v>
      </c>
      <c r="B4172" s="34">
        <v>227.02099999999999</v>
      </c>
      <c r="C4172" s="35">
        <v>6337.5</v>
      </c>
      <c r="D4172" s="33" t="s">
        <v>54</v>
      </c>
      <c r="E4172" s="34">
        <v>227.27</v>
      </c>
      <c r="F4172" s="36">
        <v>0.24900000000002401</v>
      </c>
      <c r="G4172" s="34">
        <v>0.24900000000002401</v>
      </c>
      <c r="H4172" s="35">
        <v>1</v>
      </c>
      <c r="I4172" s="37">
        <f t="shared" si="65"/>
        <v>1.5779092702169624E-4</v>
      </c>
      <c r="J4172" s="33"/>
    </row>
    <row r="4173" spans="1:10">
      <c r="A4173" s="33" t="s">
        <v>165</v>
      </c>
      <c r="B4173" s="34">
        <v>227.02099999999999</v>
      </c>
      <c r="C4173" s="35">
        <v>6337.5</v>
      </c>
      <c r="D4173" s="33" t="s">
        <v>273</v>
      </c>
      <c r="E4173" s="34">
        <v>227.27199999999999</v>
      </c>
      <c r="F4173" s="36">
        <v>0.251000000000005</v>
      </c>
      <c r="G4173" s="34">
        <v>0.251000000000005</v>
      </c>
      <c r="H4173" s="35">
        <v>394.2</v>
      </c>
      <c r="I4173" s="37">
        <f t="shared" si="65"/>
        <v>6.2201183431952661E-2</v>
      </c>
      <c r="J4173" s="33"/>
    </row>
    <row r="4174" spans="1:10">
      <c r="A4174" s="33" t="s">
        <v>165</v>
      </c>
      <c r="B4174" s="34">
        <v>227.02099999999999</v>
      </c>
      <c r="C4174" s="35">
        <v>6337.5</v>
      </c>
      <c r="D4174" s="33" t="s">
        <v>290</v>
      </c>
      <c r="E4174" s="34">
        <v>227.309</v>
      </c>
      <c r="F4174" s="36">
        <v>0.28800000000001102</v>
      </c>
      <c r="G4174" s="34">
        <v>0.28800000000001102</v>
      </c>
      <c r="H4174" s="35">
        <v>6.5</v>
      </c>
      <c r="I4174" s="37">
        <f t="shared" si="65"/>
        <v>1.0256410256410256E-3</v>
      </c>
      <c r="J4174" s="33"/>
    </row>
    <row r="4175" spans="1:10">
      <c r="A4175" s="33" t="s">
        <v>165</v>
      </c>
      <c r="B4175" s="34">
        <v>227.02099999999999</v>
      </c>
      <c r="C4175" s="35">
        <v>6337.5</v>
      </c>
      <c r="D4175" s="33" t="s">
        <v>184</v>
      </c>
      <c r="E4175" s="34">
        <v>227.31100000000001</v>
      </c>
      <c r="F4175" s="36">
        <v>0.29000000000002102</v>
      </c>
      <c r="G4175" s="34">
        <v>0.29000000000002102</v>
      </c>
      <c r="H4175" s="35">
        <v>3410.17</v>
      </c>
      <c r="I4175" s="37">
        <f t="shared" si="65"/>
        <v>0.53809388560157789</v>
      </c>
      <c r="J4175" s="33"/>
    </row>
    <row r="4176" spans="1:10">
      <c r="A4176" s="33" t="s">
        <v>165</v>
      </c>
      <c r="B4176" s="34">
        <v>230.29900000000001</v>
      </c>
      <c r="C4176" s="35">
        <v>10393.1</v>
      </c>
      <c r="D4176" s="33" t="s">
        <v>165</v>
      </c>
      <c r="E4176" s="34">
        <v>230.102</v>
      </c>
      <c r="F4176" s="36">
        <v>0.19700000000000301</v>
      </c>
      <c r="G4176" s="34">
        <v>0.19700000000000301</v>
      </c>
      <c r="H4176" s="35">
        <v>11.5</v>
      </c>
      <c r="I4176" s="37">
        <f t="shared" si="65"/>
        <v>1.1065033531862485E-3</v>
      </c>
      <c r="J4176" s="33"/>
    </row>
    <row r="4177" spans="1:10">
      <c r="A4177" s="33" t="s">
        <v>165</v>
      </c>
      <c r="B4177" s="34">
        <v>230.29900000000001</v>
      </c>
      <c r="C4177" s="35">
        <v>10393.1</v>
      </c>
      <c r="D4177" s="33" t="s">
        <v>97</v>
      </c>
      <c r="E4177" s="34">
        <v>230.11799999999999</v>
      </c>
      <c r="F4177" s="36">
        <v>0.18100000000001201</v>
      </c>
      <c r="G4177" s="34">
        <v>0.18100000000001201</v>
      </c>
      <c r="H4177" s="35">
        <v>23</v>
      </c>
      <c r="I4177" s="37">
        <f t="shared" si="65"/>
        <v>2.213006706372497E-3</v>
      </c>
      <c r="J4177" s="33"/>
    </row>
    <row r="4178" spans="1:10">
      <c r="A4178" s="33" t="s">
        <v>165</v>
      </c>
      <c r="B4178" s="34">
        <v>230.29900000000001</v>
      </c>
      <c r="C4178" s="35">
        <v>10393.1</v>
      </c>
      <c r="D4178" s="33" t="s">
        <v>54</v>
      </c>
      <c r="E4178" s="34">
        <v>230.14</v>
      </c>
      <c r="F4178" s="36">
        <v>0.15900000000001999</v>
      </c>
      <c r="G4178" s="34">
        <v>0.15900000000001999</v>
      </c>
      <c r="H4178" s="35">
        <v>891.5</v>
      </c>
      <c r="I4178" s="37">
        <f t="shared" si="65"/>
        <v>8.5778064292655706E-2</v>
      </c>
      <c r="J4178" s="33"/>
    </row>
    <row r="4179" spans="1:10">
      <c r="A4179" s="33" t="s">
        <v>165</v>
      </c>
      <c r="B4179" s="34">
        <v>230.29900000000001</v>
      </c>
      <c r="C4179" s="35">
        <v>10393.1</v>
      </c>
      <c r="D4179" s="33" t="s">
        <v>193</v>
      </c>
      <c r="E4179" s="34">
        <v>230.14699999999999</v>
      </c>
      <c r="F4179" s="36">
        <v>0.15200000000001501</v>
      </c>
      <c r="G4179" s="34">
        <v>0.15200000000001501</v>
      </c>
      <c r="H4179" s="35">
        <v>325</v>
      </c>
      <c r="I4179" s="37">
        <f t="shared" si="65"/>
        <v>3.127074693787224E-2</v>
      </c>
      <c r="J4179" s="33"/>
    </row>
    <row r="4180" spans="1:10">
      <c r="A4180" s="33" t="s">
        <v>165</v>
      </c>
      <c r="B4180" s="34">
        <v>230.29900000000001</v>
      </c>
      <c r="C4180" s="35">
        <v>10393.1</v>
      </c>
      <c r="D4180" s="33" t="s">
        <v>165</v>
      </c>
      <c r="E4180" s="34">
        <v>230.15700000000001</v>
      </c>
      <c r="F4180" s="36">
        <v>0.14199999999999599</v>
      </c>
      <c r="G4180" s="34">
        <v>0.14199999999999599</v>
      </c>
      <c r="H4180" s="35">
        <v>26.6</v>
      </c>
      <c r="I4180" s="37">
        <f t="shared" si="65"/>
        <v>2.5593903647612359E-3</v>
      </c>
      <c r="J4180" s="33"/>
    </row>
    <row r="4181" spans="1:10">
      <c r="A4181" s="33" t="s">
        <v>165</v>
      </c>
      <c r="B4181" s="34">
        <v>230.29900000000001</v>
      </c>
      <c r="C4181" s="35">
        <v>10393.1</v>
      </c>
      <c r="D4181" s="33" t="s">
        <v>274</v>
      </c>
      <c r="E4181" s="34">
        <v>230.16399999999999</v>
      </c>
      <c r="F4181" s="36">
        <v>0.13500000000001899</v>
      </c>
      <c r="G4181" s="34">
        <v>0.13500000000001899</v>
      </c>
      <c r="H4181" s="35">
        <v>215</v>
      </c>
      <c r="I4181" s="37">
        <f t="shared" si="65"/>
        <v>2.0686801820438559E-2</v>
      </c>
      <c r="J4181" s="33"/>
    </row>
    <row r="4182" spans="1:10">
      <c r="A4182" s="33" t="s">
        <v>165</v>
      </c>
      <c r="B4182" s="34">
        <v>230.29900000000001</v>
      </c>
      <c r="C4182" s="35">
        <v>10393.1</v>
      </c>
      <c r="D4182" s="33" t="s">
        <v>97</v>
      </c>
      <c r="E4182" s="34">
        <v>230.16800000000001</v>
      </c>
      <c r="F4182" s="36">
        <v>0.13100000000000001</v>
      </c>
      <c r="G4182" s="34">
        <v>0.13100000000000001</v>
      </c>
      <c r="H4182" s="35">
        <v>16.3</v>
      </c>
      <c r="I4182" s="37">
        <f t="shared" si="65"/>
        <v>1.5683482310379002E-3</v>
      </c>
      <c r="J4182" s="33"/>
    </row>
    <row r="4183" spans="1:10">
      <c r="A4183" s="33" t="s">
        <v>165</v>
      </c>
      <c r="B4183" s="34">
        <v>230.29900000000001</v>
      </c>
      <c r="C4183" s="35">
        <v>10393.1</v>
      </c>
      <c r="D4183" s="33" t="s">
        <v>279</v>
      </c>
      <c r="E4183" s="34">
        <v>230.18199999999999</v>
      </c>
      <c r="F4183" s="36">
        <v>0.11700000000001901</v>
      </c>
      <c r="G4183" s="34">
        <v>0.11700000000001901</v>
      </c>
      <c r="H4183" s="35">
        <v>67.599999999999994</v>
      </c>
      <c r="I4183" s="37">
        <f t="shared" si="65"/>
        <v>6.5043153630774259E-3</v>
      </c>
      <c r="J4183" s="33"/>
    </row>
    <row r="4184" spans="1:10">
      <c r="A4184" s="33" t="s">
        <v>165</v>
      </c>
      <c r="B4184" s="34">
        <v>230.29900000000001</v>
      </c>
      <c r="C4184" s="35">
        <v>10393.1</v>
      </c>
      <c r="D4184" s="33" t="s">
        <v>284</v>
      </c>
      <c r="E4184" s="34">
        <v>230.18799999999999</v>
      </c>
      <c r="F4184" s="36">
        <v>0.111000000000018</v>
      </c>
      <c r="G4184" s="34">
        <v>0.111000000000018</v>
      </c>
      <c r="H4184" s="35">
        <v>1.3</v>
      </c>
      <c r="I4184" s="37">
        <f t="shared" si="65"/>
        <v>1.2508298775148897E-4</v>
      </c>
      <c r="J4184" s="33"/>
    </row>
    <row r="4185" spans="1:10">
      <c r="A4185" s="33" t="s">
        <v>165</v>
      </c>
      <c r="B4185" s="34">
        <v>230.29900000000001</v>
      </c>
      <c r="C4185" s="35">
        <v>10393.1</v>
      </c>
      <c r="D4185" s="33" t="s">
        <v>285</v>
      </c>
      <c r="E4185" s="34">
        <v>230.20099999999999</v>
      </c>
      <c r="F4185" s="36">
        <v>9.8000000000013202E-2</v>
      </c>
      <c r="G4185" s="34">
        <v>9.8000000000013202E-2</v>
      </c>
      <c r="H4185" s="35">
        <v>90.2</v>
      </c>
      <c r="I4185" s="37">
        <f t="shared" si="65"/>
        <v>8.6788349962956188E-3</v>
      </c>
      <c r="J4185" s="33"/>
    </row>
    <row r="4186" spans="1:10">
      <c r="A4186" s="33" t="s">
        <v>165</v>
      </c>
      <c r="B4186" s="34">
        <v>230.29900000000001</v>
      </c>
      <c r="C4186" s="35">
        <v>10393.1</v>
      </c>
      <c r="D4186" s="33" t="s">
        <v>296</v>
      </c>
      <c r="E4186" s="34">
        <v>230.20599999999999</v>
      </c>
      <c r="F4186" s="36">
        <v>9.3000000000017694E-2</v>
      </c>
      <c r="G4186" s="34">
        <v>9.3000000000017694E-2</v>
      </c>
      <c r="H4186" s="35">
        <v>0.5</v>
      </c>
      <c r="I4186" s="37">
        <f t="shared" si="65"/>
        <v>4.8108841442880373E-5</v>
      </c>
      <c r="J4186" s="33"/>
    </row>
    <row r="4187" spans="1:10">
      <c r="A4187" s="33" t="s">
        <v>165</v>
      </c>
      <c r="B4187" s="34">
        <v>230.29900000000001</v>
      </c>
      <c r="C4187" s="35">
        <v>10393.1</v>
      </c>
      <c r="D4187" s="33" t="s">
        <v>273</v>
      </c>
      <c r="E4187" s="34">
        <v>230.209</v>
      </c>
      <c r="F4187" s="36">
        <v>9.0000000000003397E-2</v>
      </c>
      <c r="G4187" s="34">
        <v>9.0000000000003397E-2</v>
      </c>
      <c r="H4187" s="35">
        <v>2886.7</v>
      </c>
      <c r="I4187" s="37">
        <f t="shared" si="65"/>
        <v>0.27775158518632553</v>
      </c>
      <c r="J4187" s="33"/>
    </row>
    <row r="4188" spans="1:10">
      <c r="A4188" s="33" t="s">
        <v>165</v>
      </c>
      <c r="B4188" s="34">
        <v>230.29900000000001</v>
      </c>
      <c r="C4188" s="35">
        <v>10393.1</v>
      </c>
      <c r="D4188" s="33" t="s">
        <v>165</v>
      </c>
      <c r="E4188" s="34">
        <v>230.214</v>
      </c>
      <c r="F4188" s="36">
        <v>8.5000000000008E-2</v>
      </c>
      <c r="G4188" s="34">
        <v>8.5000000000008E-2</v>
      </c>
      <c r="H4188" s="35">
        <v>5.6</v>
      </c>
      <c r="I4188" s="37">
        <f t="shared" si="65"/>
        <v>5.3881902416026012E-4</v>
      </c>
      <c r="J4188" s="33"/>
    </row>
    <row r="4189" spans="1:10">
      <c r="A4189" s="33" t="s">
        <v>165</v>
      </c>
      <c r="B4189" s="34">
        <v>230.29900000000001</v>
      </c>
      <c r="C4189" s="35">
        <v>10393.1</v>
      </c>
      <c r="D4189" s="33" t="s">
        <v>193</v>
      </c>
      <c r="E4189" s="34">
        <v>230.22399999999999</v>
      </c>
      <c r="F4189" s="36">
        <v>7.5000000000017095E-2</v>
      </c>
      <c r="G4189" s="34">
        <v>7.5000000000017095E-2</v>
      </c>
      <c r="H4189" s="35">
        <v>1097.2</v>
      </c>
      <c r="I4189" s="37">
        <f t="shared" si="65"/>
        <v>0.10557004166225668</v>
      </c>
      <c r="J4189" s="33"/>
    </row>
    <row r="4190" spans="1:10">
      <c r="A4190" s="33" t="s">
        <v>165</v>
      </c>
      <c r="B4190" s="34">
        <v>230.29900000000001</v>
      </c>
      <c r="C4190" s="35">
        <v>10393.1</v>
      </c>
      <c r="D4190" s="33" t="s">
        <v>165</v>
      </c>
      <c r="E4190" s="34">
        <v>230.24799999999999</v>
      </c>
      <c r="F4190" s="36">
        <v>5.1000000000016102E-2</v>
      </c>
      <c r="G4190" s="34">
        <v>5.1000000000016102E-2</v>
      </c>
      <c r="H4190" s="35">
        <v>275.60000000000002</v>
      </c>
      <c r="I4190" s="37">
        <f t="shared" si="65"/>
        <v>2.6517593403315661E-2</v>
      </c>
      <c r="J4190" s="33"/>
    </row>
    <row r="4191" spans="1:10">
      <c r="A4191" s="33" t="s">
        <v>165</v>
      </c>
      <c r="B4191" s="34">
        <v>230.29900000000001</v>
      </c>
      <c r="C4191" s="35">
        <v>10393.1</v>
      </c>
      <c r="D4191" s="33" t="s">
        <v>268</v>
      </c>
      <c r="E4191" s="34">
        <v>230.25399999999999</v>
      </c>
      <c r="F4191" s="36">
        <v>4.5000000000015902E-2</v>
      </c>
      <c r="G4191" s="34">
        <v>4.5000000000015902E-2</v>
      </c>
      <c r="H4191" s="35">
        <v>57.1</v>
      </c>
      <c r="I4191" s="37">
        <f t="shared" si="65"/>
        <v>5.4940296927769383E-3</v>
      </c>
      <c r="J4191" s="33"/>
    </row>
    <row r="4192" spans="1:10">
      <c r="A4192" s="33" t="s">
        <v>165</v>
      </c>
      <c r="B4192" s="34">
        <v>230.29900000000001</v>
      </c>
      <c r="C4192" s="35">
        <v>10393.1</v>
      </c>
      <c r="D4192" s="33" t="s">
        <v>273</v>
      </c>
      <c r="E4192" s="34">
        <v>230.27</v>
      </c>
      <c r="F4192" s="36">
        <v>2.89999999999964E-2</v>
      </c>
      <c r="G4192" s="34">
        <v>2.89999999999964E-2</v>
      </c>
      <c r="H4192" s="35">
        <v>338.9</v>
      </c>
      <c r="I4192" s="37">
        <f t="shared" si="65"/>
        <v>3.2608172729984314E-2</v>
      </c>
      <c r="J4192" s="33"/>
    </row>
    <row r="4193" spans="1:10">
      <c r="A4193" s="33" t="s">
        <v>165</v>
      </c>
      <c r="B4193" s="34">
        <v>230.29900000000001</v>
      </c>
      <c r="C4193" s="35">
        <v>10393.1</v>
      </c>
      <c r="D4193" s="33" t="s">
        <v>237</v>
      </c>
      <c r="E4193" s="34">
        <v>230.27500000000001</v>
      </c>
      <c r="F4193" s="36">
        <v>2.4000000000000899E-2</v>
      </c>
      <c r="G4193" s="34">
        <v>2.4000000000000899E-2</v>
      </c>
      <c r="H4193" s="35">
        <v>68.599999999999994</v>
      </c>
      <c r="I4193" s="37">
        <f t="shared" si="65"/>
        <v>6.600533045963186E-3</v>
      </c>
      <c r="J4193" s="33"/>
    </row>
    <row r="4194" spans="1:10">
      <c r="A4194" s="33" t="s">
        <v>165</v>
      </c>
      <c r="B4194" s="34">
        <v>230.29900000000001</v>
      </c>
      <c r="C4194" s="35">
        <v>10393.1</v>
      </c>
      <c r="D4194" s="33" t="s">
        <v>275</v>
      </c>
      <c r="E4194" s="34">
        <v>230.28399999999999</v>
      </c>
      <c r="F4194" s="36">
        <v>1.50000000000148E-2</v>
      </c>
      <c r="G4194" s="34">
        <v>1.50000000000148E-2</v>
      </c>
      <c r="H4194" s="35">
        <v>60</v>
      </c>
      <c r="I4194" s="37">
        <f t="shared" si="65"/>
        <v>5.7730609731456448E-3</v>
      </c>
      <c r="J4194" s="33"/>
    </row>
    <row r="4195" spans="1:10">
      <c r="A4195" s="33" t="s">
        <v>165</v>
      </c>
      <c r="B4195" s="34">
        <v>230.29900000000001</v>
      </c>
      <c r="C4195" s="35">
        <v>10393.1</v>
      </c>
      <c r="D4195" s="33" t="s">
        <v>193</v>
      </c>
      <c r="E4195" s="34">
        <v>230.29300000000001</v>
      </c>
      <c r="F4195" s="36">
        <v>6.00000000000023E-3</v>
      </c>
      <c r="G4195" s="34">
        <v>6.00000000000023E-3</v>
      </c>
      <c r="H4195" s="35">
        <v>2917.8</v>
      </c>
      <c r="I4195" s="37">
        <f t="shared" si="65"/>
        <v>0.28074395512407269</v>
      </c>
      <c r="J4195" s="33"/>
    </row>
    <row r="4196" spans="1:10">
      <c r="A4196" s="33" t="s">
        <v>165</v>
      </c>
      <c r="B4196" s="34">
        <v>230.29900000000001</v>
      </c>
      <c r="C4196" s="35">
        <v>10393.1</v>
      </c>
      <c r="D4196" s="33" t="s">
        <v>279</v>
      </c>
      <c r="E4196" s="34">
        <v>230.30199999999999</v>
      </c>
      <c r="F4196" s="36">
        <v>2.9999999999858998E-3</v>
      </c>
      <c r="G4196" s="34">
        <v>2.9999999999858998E-3</v>
      </c>
      <c r="H4196" s="35">
        <v>65.599999999999994</v>
      </c>
      <c r="I4196" s="37">
        <f t="shared" si="65"/>
        <v>6.3118799973059039E-3</v>
      </c>
      <c r="J4196" s="33"/>
    </row>
    <row r="4197" spans="1:10">
      <c r="A4197" s="33" t="s">
        <v>165</v>
      </c>
      <c r="B4197" s="34">
        <v>230.29900000000001</v>
      </c>
      <c r="C4197" s="35">
        <v>10393.1</v>
      </c>
      <c r="D4197" s="33" t="s">
        <v>293</v>
      </c>
      <c r="E4197" s="34">
        <v>230.30600000000001</v>
      </c>
      <c r="F4197" s="36">
        <v>7.0000000000049996E-3</v>
      </c>
      <c r="G4197" s="34">
        <v>7.0000000000049996E-3</v>
      </c>
      <c r="H4197" s="35">
        <v>70.3</v>
      </c>
      <c r="I4197" s="37">
        <f t="shared" si="65"/>
        <v>6.7641031068689803E-3</v>
      </c>
      <c r="J4197" s="33"/>
    </row>
    <row r="4198" spans="1:10">
      <c r="A4198" s="33" t="s">
        <v>165</v>
      </c>
      <c r="B4198" s="34">
        <v>230.29900000000001</v>
      </c>
      <c r="C4198" s="35">
        <v>10393.1</v>
      </c>
      <c r="D4198" s="33" t="s">
        <v>286</v>
      </c>
      <c r="E4198" s="34">
        <v>230.31200000000001</v>
      </c>
      <c r="F4198" s="36">
        <v>1.30000000000052E-2</v>
      </c>
      <c r="G4198" s="34">
        <v>1.30000000000052E-2</v>
      </c>
      <c r="H4198" s="35">
        <v>110.2</v>
      </c>
      <c r="I4198" s="37">
        <f t="shared" si="65"/>
        <v>1.0603188654010835E-2</v>
      </c>
      <c r="J4198" s="33"/>
    </row>
    <row r="4199" spans="1:10">
      <c r="A4199" s="33" t="s">
        <v>165</v>
      </c>
      <c r="B4199" s="34">
        <v>230.29900000000001</v>
      </c>
      <c r="C4199" s="35">
        <v>10393.1</v>
      </c>
      <c r="D4199" s="33" t="s">
        <v>278</v>
      </c>
      <c r="E4199" s="34">
        <v>230.32400000000001</v>
      </c>
      <c r="F4199" s="36">
        <v>2.5000000000005702E-2</v>
      </c>
      <c r="G4199" s="34">
        <v>2.5000000000005702E-2</v>
      </c>
      <c r="H4199" s="35">
        <v>15.1</v>
      </c>
      <c r="I4199" s="37">
        <f t="shared" si="65"/>
        <v>1.4528870115749872E-3</v>
      </c>
      <c r="J4199" s="33"/>
    </row>
    <row r="4200" spans="1:10">
      <c r="A4200" s="33" t="s">
        <v>165</v>
      </c>
      <c r="B4200" s="34">
        <v>230.29900000000001</v>
      </c>
      <c r="C4200" s="35">
        <v>10393.1</v>
      </c>
      <c r="D4200" s="33" t="s">
        <v>274</v>
      </c>
      <c r="E4200" s="34">
        <v>230.327</v>
      </c>
      <c r="F4200" s="36">
        <v>2.7999999999991601E-2</v>
      </c>
      <c r="G4200" s="34">
        <v>2.7999999999991601E-2</v>
      </c>
      <c r="H4200" s="35">
        <v>220</v>
      </c>
      <c r="I4200" s="37">
        <f t="shared" si="65"/>
        <v>2.1167890234867363E-2</v>
      </c>
      <c r="J4200" s="33"/>
    </row>
    <row r="4201" spans="1:10">
      <c r="A4201" s="33" t="s">
        <v>165</v>
      </c>
      <c r="B4201" s="34">
        <v>230.29900000000001</v>
      </c>
      <c r="C4201" s="35">
        <v>10393.1</v>
      </c>
      <c r="D4201" s="33" t="s">
        <v>97</v>
      </c>
      <c r="E4201" s="34">
        <v>230.33500000000001</v>
      </c>
      <c r="F4201" s="36">
        <v>3.6000000000001399E-2</v>
      </c>
      <c r="G4201" s="34">
        <v>3.6000000000001399E-2</v>
      </c>
      <c r="H4201" s="35">
        <v>23.1</v>
      </c>
      <c r="I4201" s="37">
        <f t="shared" si="65"/>
        <v>2.2226284746610734E-3</v>
      </c>
      <c r="J4201" s="33"/>
    </row>
    <row r="4202" spans="1:10">
      <c r="A4202" s="33" t="s">
        <v>165</v>
      </c>
      <c r="B4202" s="34">
        <v>230.29900000000001</v>
      </c>
      <c r="C4202" s="35">
        <v>10393.1</v>
      </c>
      <c r="D4202" s="33" t="s">
        <v>193</v>
      </c>
      <c r="E4202" s="34">
        <v>230.34899999999999</v>
      </c>
      <c r="F4202" s="36">
        <v>4.9999999999983002E-2</v>
      </c>
      <c r="G4202" s="34">
        <v>4.9999999999983002E-2</v>
      </c>
      <c r="H4202" s="35">
        <v>1780.6</v>
      </c>
      <c r="I4202" s="37">
        <f t="shared" si="65"/>
        <v>0.17132520614638558</v>
      </c>
      <c r="J4202" s="33"/>
    </row>
    <row r="4203" spans="1:10">
      <c r="A4203" s="33" t="s">
        <v>165</v>
      </c>
      <c r="B4203" s="34">
        <v>230.29900000000001</v>
      </c>
      <c r="C4203" s="35">
        <v>10393.1</v>
      </c>
      <c r="D4203" s="33" t="s">
        <v>274</v>
      </c>
      <c r="E4203" s="34">
        <v>230.38200000000001</v>
      </c>
      <c r="F4203" s="36">
        <v>8.2999999999998395E-2</v>
      </c>
      <c r="G4203" s="34">
        <v>8.2999999999998395E-2</v>
      </c>
      <c r="H4203" s="35">
        <v>2127.5</v>
      </c>
      <c r="I4203" s="37">
        <f t="shared" si="65"/>
        <v>0.20470312033945598</v>
      </c>
      <c r="J4203" s="33"/>
    </row>
    <row r="4204" spans="1:10">
      <c r="A4204" s="33" t="s">
        <v>165</v>
      </c>
      <c r="B4204" s="34">
        <v>230.29900000000001</v>
      </c>
      <c r="C4204" s="35">
        <v>10393.1</v>
      </c>
      <c r="D4204" s="33" t="s">
        <v>54</v>
      </c>
      <c r="E4204" s="34">
        <v>230.422</v>
      </c>
      <c r="F4204" s="36">
        <v>0.12299999999999101</v>
      </c>
      <c r="G4204" s="34">
        <v>0.12299999999999101</v>
      </c>
      <c r="H4204" s="35">
        <v>72.8</v>
      </c>
      <c r="I4204" s="37">
        <f t="shared" si="65"/>
        <v>7.0046473140833818E-3</v>
      </c>
      <c r="J4204" s="33"/>
    </row>
    <row r="4205" spans="1:10">
      <c r="A4205" s="33" t="s">
        <v>165</v>
      </c>
      <c r="B4205" s="34">
        <v>230.29900000000001</v>
      </c>
      <c r="C4205" s="35">
        <v>10393.1</v>
      </c>
      <c r="D4205" s="33" t="s">
        <v>290</v>
      </c>
      <c r="E4205" s="34">
        <v>230.422</v>
      </c>
      <c r="F4205" s="36">
        <v>0.12299999999999101</v>
      </c>
      <c r="G4205" s="34">
        <v>0.12299999999999101</v>
      </c>
      <c r="H4205" s="35">
        <v>318.89999999999998</v>
      </c>
      <c r="I4205" s="37">
        <f t="shared" si="65"/>
        <v>3.0683819072269098E-2</v>
      </c>
      <c r="J4205" s="33"/>
    </row>
    <row r="4206" spans="1:10">
      <c r="A4206" s="33" t="s">
        <v>165</v>
      </c>
      <c r="B4206" s="34">
        <v>230.29900000000001</v>
      </c>
      <c r="C4206" s="35">
        <v>10393.1</v>
      </c>
      <c r="D4206" s="33" t="s">
        <v>288</v>
      </c>
      <c r="E4206" s="34">
        <v>230.42400000000001</v>
      </c>
      <c r="F4206" s="36">
        <v>0.125</v>
      </c>
      <c r="G4206" s="34">
        <v>0.125</v>
      </c>
      <c r="H4206" s="35">
        <v>49606.5</v>
      </c>
      <c r="I4206" s="37">
        <f t="shared" si="65"/>
        <v>4.7730224860724899</v>
      </c>
      <c r="J4206" s="33"/>
    </row>
    <row r="4207" spans="1:10">
      <c r="A4207" s="33" t="s">
        <v>165</v>
      </c>
      <c r="B4207" s="34">
        <v>230.29900000000001</v>
      </c>
      <c r="C4207" s="35">
        <v>10393.1</v>
      </c>
      <c r="D4207" s="33" t="s">
        <v>275</v>
      </c>
      <c r="E4207" s="34">
        <v>230.428</v>
      </c>
      <c r="F4207" s="36">
        <v>0.12899999999999101</v>
      </c>
      <c r="G4207" s="34">
        <v>0.12899999999999101</v>
      </c>
      <c r="H4207" s="35">
        <v>144.19999999999999</v>
      </c>
      <c r="I4207" s="37">
        <f t="shared" si="65"/>
        <v>1.3874589872126699E-2</v>
      </c>
      <c r="J4207" s="33"/>
    </row>
    <row r="4208" spans="1:10">
      <c r="A4208" s="33" t="s">
        <v>165</v>
      </c>
      <c r="B4208" s="34">
        <v>230.29900000000001</v>
      </c>
      <c r="C4208" s="35">
        <v>10393.1</v>
      </c>
      <c r="D4208" s="33" t="s">
        <v>268</v>
      </c>
      <c r="E4208" s="34">
        <v>230.46299999999999</v>
      </c>
      <c r="F4208" s="36">
        <v>0.16399999999998699</v>
      </c>
      <c r="G4208" s="34">
        <v>0.16399999999998699</v>
      </c>
      <c r="H4208" s="35">
        <v>59.6</v>
      </c>
      <c r="I4208" s="37">
        <f t="shared" si="65"/>
        <v>5.7345738999913408E-3</v>
      </c>
      <c r="J4208" s="33"/>
    </row>
    <row r="4209" spans="1:10">
      <c r="A4209" s="33" t="s">
        <v>165</v>
      </c>
      <c r="B4209" s="34">
        <v>230.29900000000001</v>
      </c>
      <c r="C4209" s="35">
        <v>10393.1</v>
      </c>
      <c r="D4209" s="33" t="s">
        <v>97</v>
      </c>
      <c r="E4209" s="34">
        <v>230.47399999999999</v>
      </c>
      <c r="F4209" s="36">
        <v>0.174999999999983</v>
      </c>
      <c r="G4209" s="34">
        <v>0.174999999999983</v>
      </c>
      <c r="H4209" s="35">
        <v>19.899999999999999</v>
      </c>
      <c r="I4209" s="37">
        <f t="shared" si="65"/>
        <v>1.9147318894266387E-3</v>
      </c>
      <c r="J4209" s="33"/>
    </row>
    <row r="4210" spans="1:10">
      <c r="A4210" s="33" t="s">
        <v>165</v>
      </c>
      <c r="B4210" s="34">
        <v>230.29900000000001</v>
      </c>
      <c r="C4210" s="35">
        <v>10393.1</v>
      </c>
      <c r="D4210" s="33" t="s">
        <v>284</v>
      </c>
      <c r="E4210" s="34">
        <v>230.483</v>
      </c>
      <c r="F4210" s="36">
        <v>0.183999999999998</v>
      </c>
      <c r="G4210" s="34">
        <v>0.183999999999998</v>
      </c>
      <c r="H4210" s="35">
        <v>43</v>
      </c>
      <c r="I4210" s="37">
        <f t="shared" si="65"/>
        <v>4.1373603640877119E-3</v>
      </c>
      <c r="J4210" s="33"/>
    </row>
    <row r="4211" spans="1:10">
      <c r="A4211" s="33" t="s">
        <v>165</v>
      </c>
      <c r="B4211" s="34">
        <v>230.29900000000001</v>
      </c>
      <c r="C4211" s="35">
        <v>10393.1</v>
      </c>
      <c r="D4211" s="33" t="s">
        <v>268</v>
      </c>
      <c r="E4211" s="34">
        <v>230.483</v>
      </c>
      <c r="F4211" s="36">
        <v>0.183999999999998</v>
      </c>
      <c r="G4211" s="34">
        <v>0.183999999999998</v>
      </c>
      <c r="H4211" s="35">
        <v>283.39999999999998</v>
      </c>
      <c r="I4211" s="37">
        <f t="shared" si="65"/>
        <v>2.7268091329824592E-2</v>
      </c>
      <c r="J4211" s="33"/>
    </row>
    <row r="4212" spans="1:10">
      <c r="A4212" s="33" t="s">
        <v>165</v>
      </c>
      <c r="B4212" s="34">
        <v>230.29900000000001</v>
      </c>
      <c r="C4212" s="35">
        <v>10393.1</v>
      </c>
      <c r="D4212" s="33" t="s">
        <v>240</v>
      </c>
      <c r="E4212" s="34">
        <v>230.501</v>
      </c>
      <c r="F4212" s="36">
        <v>0.20199999999999799</v>
      </c>
      <c r="G4212" s="34">
        <v>0.20199999999999799</v>
      </c>
      <c r="H4212" s="35">
        <v>736.9</v>
      </c>
      <c r="I4212" s="37">
        <f t="shared" si="65"/>
        <v>7.0902810518517087E-2</v>
      </c>
      <c r="J4212" s="33"/>
    </row>
    <row r="4213" spans="1:10">
      <c r="A4213" s="33" t="s">
        <v>165</v>
      </c>
      <c r="B4213" s="34">
        <v>230.29900000000001</v>
      </c>
      <c r="C4213" s="35">
        <v>10393.1</v>
      </c>
      <c r="D4213" s="33" t="s">
        <v>54</v>
      </c>
      <c r="E4213" s="34">
        <v>230.51400000000001</v>
      </c>
      <c r="F4213" s="36">
        <v>0.21500000000000299</v>
      </c>
      <c r="G4213" s="34">
        <v>0.21500000000000299</v>
      </c>
      <c r="H4213" s="35">
        <v>47</v>
      </c>
      <c r="I4213" s="37">
        <f t="shared" si="65"/>
        <v>4.5222310956307549E-3</v>
      </c>
      <c r="J4213" s="33"/>
    </row>
    <row r="4214" spans="1:10">
      <c r="A4214" s="33" t="s">
        <v>165</v>
      </c>
      <c r="B4214" s="34">
        <v>230.29900000000001</v>
      </c>
      <c r="C4214" s="35">
        <v>10393.1</v>
      </c>
      <c r="D4214" s="33" t="s">
        <v>165</v>
      </c>
      <c r="E4214" s="34">
        <v>230.524</v>
      </c>
      <c r="F4214" s="36">
        <v>0.22499999999999401</v>
      </c>
      <c r="G4214" s="34">
        <v>0.22499999999999401</v>
      </c>
      <c r="H4214" s="35">
        <v>174.9</v>
      </c>
      <c r="I4214" s="37">
        <f t="shared" si="65"/>
        <v>1.6828472736719554E-2</v>
      </c>
      <c r="J4214" s="33"/>
    </row>
    <row r="4215" spans="1:10">
      <c r="A4215" s="33" t="s">
        <v>165</v>
      </c>
      <c r="B4215" s="34">
        <v>230.29900000000001</v>
      </c>
      <c r="C4215" s="35">
        <v>10393.1</v>
      </c>
      <c r="D4215" s="33" t="s">
        <v>290</v>
      </c>
      <c r="E4215" s="34">
        <v>230.547</v>
      </c>
      <c r="F4215" s="36">
        <v>0.24799999999999101</v>
      </c>
      <c r="G4215" s="34">
        <v>0.24799999999999101</v>
      </c>
      <c r="H4215" s="35">
        <v>32.17</v>
      </c>
      <c r="I4215" s="37">
        <f t="shared" si="65"/>
        <v>3.0953228584349231E-3</v>
      </c>
      <c r="J4215" s="33"/>
    </row>
    <row r="4216" spans="1:10">
      <c r="A4216" s="33" t="s">
        <v>165</v>
      </c>
      <c r="B4216" s="34">
        <v>231.60400000000001</v>
      </c>
      <c r="C4216" s="35">
        <v>9024.1</v>
      </c>
      <c r="D4216" s="33" t="s">
        <v>290</v>
      </c>
      <c r="E4216" s="34">
        <v>231.49</v>
      </c>
      <c r="F4216" s="36">
        <v>0.114000000000004</v>
      </c>
      <c r="G4216" s="34">
        <v>0.114000000000004</v>
      </c>
      <c r="H4216" s="35">
        <v>113.9</v>
      </c>
      <c r="I4216" s="37">
        <f t="shared" si="65"/>
        <v>1.2621757294356224E-2</v>
      </c>
      <c r="J4216" s="33"/>
    </row>
    <row r="4217" spans="1:10">
      <c r="A4217" s="33" t="s">
        <v>165</v>
      </c>
      <c r="B4217" s="34">
        <v>231.60400000000001</v>
      </c>
      <c r="C4217" s="35">
        <v>9024.1</v>
      </c>
      <c r="D4217" s="33" t="s">
        <v>54</v>
      </c>
      <c r="E4217" s="34">
        <v>231.49700000000001</v>
      </c>
      <c r="F4217" s="36">
        <v>0.106999999999999</v>
      </c>
      <c r="G4217" s="34">
        <v>0.106999999999999</v>
      </c>
      <c r="H4217" s="35">
        <v>3752.6</v>
      </c>
      <c r="I4217" s="37">
        <f t="shared" si="65"/>
        <v>0.41584202302722706</v>
      </c>
      <c r="J4217" s="33"/>
    </row>
    <row r="4218" spans="1:10">
      <c r="A4218" s="33" t="s">
        <v>165</v>
      </c>
      <c r="B4218" s="34">
        <v>231.60400000000001</v>
      </c>
      <c r="C4218" s="35">
        <v>9024.1</v>
      </c>
      <c r="D4218" s="33" t="s">
        <v>274</v>
      </c>
      <c r="E4218" s="34">
        <v>231.50200000000001</v>
      </c>
      <c r="F4218" s="36">
        <v>0.102000000000004</v>
      </c>
      <c r="G4218" s="34">
        <v>0.102000000000004</v>
      </c>
      <c r="H4218" s="35">
        <v>6.2</v>
      </c>
      <c r="I4218" s="37">
        <f t="shared" si="65"/>
        <v>6.8704912401236691E-4</v>
      </c>
      <c r="J4218" s="33"/>
    </row>
    <row r="4219" spans="1:10">
      <c r="A4219" s="33" t="s">
        <v>165</v>
      </c>
      <c r="B4219" s="34">
        <v>231.60400000000001</v>
      </c>
      <c r="C4219" s="35">
        <v>9024.1</v>
      </c>
      <c r="D4219" s="33" t="s">
        <v>284</v>
      </c>
      <c r="E4219" s="34">
        <v>231.51599999999999</v>
      </c>
      <c r="F4219" s="36">
        <v>8.8000000000022296E-2</v>
      </c>
      <c r="G4219" s="34">
        <v>8.8000000000022296E-2</v>
      </c>
      <c r="H4219" s="35">
        <v>9.5</v>
      </c>
      <c r="I4219" s="37">
        <f t="shared" si="65"/>
        <v>1.0527365609866912E-3</v>
      </c>
      <c r="J4219" s="33"/>
    </row>
    <row r="4220" spans="1:10">
      <c r="A4220" s="33" t="s">
        <v>165</v>
      </c>
      <c r="B4220" s="34">
        <v>231.60400000000001</v>
      </c>
      <c r="C4220" s="35">
        <v>9024.1</v>
      </c>
      <c r="D4220" s="33" t="s">
        <v>290</v>
      </c>
      <c r="E4220" s="34">
        <v>231.53800000000001</v>
      </c>
      <c r="F4220" s="36">
        <v>6.6000000000002501E-2</v>
      </c>
      <c r="G4220" s="34">
        <v>6.6000000000002501E-2</v>
      </c>
      <c r="H4220" s="35">
        <v>12.8</v>
      </c>
      <c r="I4220" s="37">
        <f t="shared" si="65"/>
        <v>1.4184239979610155E-3</v>
      </c>
      <c r="J4220" s="33"/>
    </row>
    <row r="4221" spans="1:10">
      <c r="A4221" s="33" t="s">
        <v>165</v>
      </c>
      <c r="B4221" s="34">
        <v>231.60400000000001</v>
      </c>
      <c r="C4221" s="35">
        <v>9024.1</v>
      </c>
      <c r="D4221" s="33" t="s">
        <v>284</v>
      </c>
      <c r="E4221" s="34">
        <v>231.54499999999999</v>
      </c>
      <c r="F4221" s="36">
        <v>5.90000000000259E-2</v>
      </c>
      <c r="G4221" s="34">
        <v>5.90000000000259E-2</v>
      </c>
      <c r="H4221" s="35">
        <v>44</v>
      </c>
      <c r="I4221" s="37">
        <f t="shared" si="65"/>
        <v>4.875832492990991E-3</v>
      </c>
      <c r="J4221" s="33"/>
    </row>
    <row r="4222" spans="1:10">
      <c r="A4222" s="33" t="s">
        <v>165</v>
      </c>
      <c r="B4222" s="34">
        <v>231.60400000000001</v>
      </c>
      <c r="C4222" s="35">
        <v>9024.1</v>
      </c>
      <c r="D4222" s="33" t="s">
        <v>193</v>
      </c>
      <c r="E4222" s="34">
        <v>231.54499999999999</v>
      </c>
      <c r="F4222" s="36">
        <v>5.90000000000259E-2</v>
      </c>
      <c r="G4222" s="34">
        <v>5.90000000000259E-2</v>
      </c>
      <c r="H4222" s="35">
        <v>568.1</v>
      </c>
      <c r="I4222" s="37">
        <f t="shared" si="65"/>
        <v>6.2953646347004136E-2</v>
      </c>
      <c r="J4222" s="33"/>
    </row>
    <row r="4223" spans="1:10">
      <c r="A4223" s="33" t="s">
        <v>165</v>
      </c>
      <c r="B4223" s="34">
        <v>231.60400000000001</v>
      </c>
      <c r="C4223" s="35">
        <v>9024.1</v>
      </c>
      <c r="D4223" s="33" t="s">
        <v>294</v>
      </c>
      <c r="E4223" s="34">
        <v>231.55</v>
      </c>
      <c r="F4223" s="36">
        <v>5.4000000000002102E-2</v>
      </c>
      <c r="G4223" s="34">
        <v>5.4000000000002102E-2</v>
      </c>
      <c r="H4223" s="35">
        <v>35</v>
      </c>
      <c r="I4223" s="37">
        <f t="shared" si="65"/>
        <v>3.8785031194246518E-3</v>
      </c>
      <c r="J4223" s="33"/>
    </row>
    <row r="4224" spans="1:10">
      <c r="A4224" s="33" t="s">
        <v>165</v>
      </c>
      <c r="B4224" s="34">
        <v>231.60400000000001</v>
      </c>
      <c r="C4224" s="35">
        <v>9024.1</v>
      </c>
      <c r="D4224" s="33" t="s">
        <v>278</v>
      </c>
      <c r="E4224" s="34">
        <v>231.56399999999999</v>
      </c>
      <c r="F4224" s="36">
        <v>4.0000000000020498E-2</v>
      </c>
      <c r="G4224" s="34">
        <v>4.0000000000020498E-2</v>
      </c>
      <c r="H4224" s="35">
        <v>1.8</v>
      </c>
      <c r="I4224" s="37">
        <f t="shared" si="65"/>
        <v>1.9946587471326779E-4</v>
      </c>
      <c r="J4224" s="33"/>
    </row>
    <row r="4225" spans="1:10">
      <c r="A4225" s="33" t="s">
        <v>165</v>
      </c>
      <c r="B4225" s="34">
        <v>231.60400000000001</v>
      </c>
      <c r="C4225" s="35">
        <v>9024.1</v>
      </c>
      <c r="D4225" s="33" t="s">
        <v>184</v>
      </c>
      <c r="E4225" s="34">
        <v>231.56899999999999</v>
      </c>
      <c r="F4225" s="36">
        <v>3.5000000000024997E-2</v>
      </c>
      <c r="G4225" s="34">
        <v>3.5000000000024997E-2</v>
      </c>
      <c r="H4225" s="35">
        <v>16.100000000000001</v>
      </c>
      <c r="I4225" s="37">
        <f t="shared" si="65"/>
        <v>1.7841114349353398E-3</v>
      </c>
      <c r="J4225" s="33"/>
    </row>
    <row r="4226" spans="1:10">
      <c r="A4226" s="33" t="s">
        <v>165</v>
      </c>
      <c r="B4226" s="34">
        <v>231.60400000000001</v>
      </c>
      <c r="C4226" s="35">
        <v>9024.1</v>
      </c>
      <c r="D4226" s="33" t="s">
        <v>276</v>
      </c>
      <c r="E4226" s="34">
        <v>231.57400000000001</v>
      </c>
      <c r="F4226" s="36">
        <v>3.0000000000001099E-2</v>
      </c>
      <c r="G4226" s="34">
        <v>3.0000000000001099E-2</v>
      </c>
      <c r="H4226" s="35">
        <v>0.1</v>
      </c>
      <c r="I4226" s="37">
        <f t="shared" ref="I4226:I4289" si="66">H4226/C4226</f>
        <v>1.1081437484070434E-5</v>
      </c>
      <c r="J4226" s="33"/>
    </row>
    <row r="4227" spans="1:10">
      <c r="A4227" s="33" t="s">
        <v>165</v>
      </c>
      <c r="B4227" s="34">
        <v>231.60400000000001</v>
      </c>
      <c r="C4227" s="35">
        <v>9024.1</v>
      </c>
      <c r="D4227" s="33" t="s">
        <v>54</v>
      </c>
      <c r="E4227" s="34">
        <v>231.57499999999999</v>
      </c>
      <c r="F4227" s="36">
        <v>2.9000000000024801E-2</v>
      </c>
      <c r="G4227" s="34">
        <v>2.9000000000024801E-2</v>
      </c>
      <c r="H4227" s="35">
        <v>5.0999999999999996</v>
      </c>
      <c r="I4227" s="37">
        <f t="shared" si="66"/>
        <v>5.6515331168759207E-4</v>
      </c>
      <c r="J4227" s="33"/>
    </row>
    <row r="4228" spans="1:10">
      <c r="A4228" s="33" t="s">
        <v>165</v>
      </c>
      <c r="B4228" s="34">
        <v>231.60400000000001</v>
      </c>
      <c r="C4228" s="35">
        <v>9024.1</v>
      </c>
      <c r="D4228" s="33" t="s">
        <v>275</v>
      </c>
      <c r="E4228" s="34">
        <v>231.58600000000001</v>
      </c>
      <c r="F4228" s="36">
        <v>1.8000000000000699E-2</v>
      </c>
      <c r="G4228" s="34">
        <v>1.8000000000000699E-2</v>
      </c>
      <c r="H4228" s="35">
        <v>0.1</v>
      </c>
      <c r="I4228" s="37">
        <f t="shared" si="66"/>
        <v>1.1081437484070434E-5</v>
      </c>
      <c r="J4228" s="33"/>
    </row>
    <row r="4229" spans="1:10">
      <c r="A4229" s="33" t="s">
        <v>165</v>
      </c>
      <c r="B4229" s="34">
        <v>231.60400000000001</v>
      </c>
      <c r="C4229" s="35">
        <v>9024.1</v>
      </c>
      <c r="D4229" s="33" t="s">
        <v>285</v>
      </c>
      <c r="E4229" s="34">
        <v>231.58699999999999</v>
      </c>
      <c r="F4229" s="36">
        <v>1.7000000000024301E-2</v>
      </c>
      <c r="G4229" s="34">
        <v>1.7000000000024301E-2</v>
      </c>
      <c r="H4229" s="35">
        <v>8.8000000000000007</v>
      </c>
      <c r="I4229" s="37">
        <f t="shared" si="66"/>
        <v>9.7516649859819818E-4</v>
      </c>
      <c r="J4229" s="33"/>
    </row>
    <row r="4230" spans="1:10">
      <c r="A4230" s="33" t="s">
        <v>165</v>
      </c>
      <c r="B4230" s="34">
        <v>231.60400000000001</v>
      </c>
      <c r="C4230" s="35">
        <v>9024.1</v>
      </c>
      <c r="D4230" s="33" t="s">
        <v>193</v>
      </c>
      <c r="E4230" s="34">
        <v>231.58699999999999</v>
      </c>
      <c r="F4230" s="36">
        <v>1.7000000000024301E-2</v>
      </c>
      <c r="G4230" s="34">
        <v>1.7000000000024301E-2</v>
      </c>
      <c r="H4230" s="35">
        <v>6.3</v>
      </c>
      <c r="I4230" s="37">
        <f t="shared" si="66"/>
        <v>6.9813056149643728E-4</v>
      </c>
      <c r="J4230" s="33"/>
    </row>
    <row r="4231" spans="1:10">
      <c r="A4231" s="33" t="s">
        <v>165</v>
      </c>
      <c r="B4231" s="34">
        <v>231.60400000000001</v>
      </c>
      <c r="C4231" s="35">
        <v>9024.1</v>
      </c>
      <c r="D4231" s="33" t="s">
        <v>291</v>
      </c>
      <c r="E4231" s="34">
        <v>231.58799999999999</v>
      </c>
      <c r="F4231" s="36">
        <v>1.6000000000019599E-2</v>
      </c>
      <c r="G4231" s="34">
        <v>1.6000000000019599E-2</v>
      </c>
      <c r="H4231" s="35">
        <v>6.4</v>
      </c>
      <c r="I4231" s="37">
        <f t="shared" si="66"/>
        <v>7.0921199898050776E-4</v>
      </c>
      <c r="J4231" s="33"/>
    </row>
    <row r="4232" spans="1:10">
      <c r="A4232" s="33" t="s">
        <v>165</v>
      </c>
      <c r="B4232" s="34">
        <v>231.60400000000001</v>
      </c>
      <c r="C4232" s="35">
        <v>9024.1</v>
      </c>
      <c r="D4232" s="33" t="s">
        <v>298</v>
      </c>
      <c r="E4232" s="34">
        <v>231.59200000000001</v>
      </c>
      <c r="F4232" s="36">
        <v>1.20000000000005E-2</v>
      </c>
      <c r="G4232" s="34">
        <v>1.20000000000005E-2</v>
      </c>
      <c r="H4232" s="35">
        <v>6.2</v>
      </c>
      <c r="I4232" s="37">
        <f t="shared" si="66"/>
        <v>6.8704912401236691E-4</v>
      </c>
      <c r="J4232" s="33"/>
    </row>
    <row r="4233" spans="1:10">
      <c r="A4233" s="33" t="s">
        <v>165</v>
      </c>
      <c r="B4233" s="34">
        <v>231.60400000000001</v>
      </c>
      <c r="C4233" s="35">
        <v>9024.1</v>
      </c>
      <c r="D4233" s="33" t="s">
        <v>54</v>
      </c>
      <c r="E4233" s="34">
        <v>231.596</v>
      </c>
      <c r="F4233" s="36">
        <v>8.0000000000097805E-3</v>
      </c>
      <c r="G4233" s="34">
        <v>8.0000000000097805E-3</v>
      </c>
      <c r="H4233" s="35">
        <v>22</v>
      </c>
      <c r="I4233" s="37">
        <f t="shared" si="66"/>
        <v>2.4379162464954955E-3</v>
      </c>
      <c r="J4233" s="33"/>
    </row>
    <row r="4234" spans="1:10">
      <c r="A4234" s="33" t="s">
        <v>165</v>
      </c>
      <c r="B4234" s="34">
        <v>231.60400000000001</v>
      </c>
      <c r="C4234" s="35">
        <v>9024.1</v>
      </c>
      <c r="D4234" s="33" t="s">
        <v>279</v>
      </c>
      <c r="E4234" s="34">
        <v>231.596</v>
      </c>
      <c r="F4234" s="36">
        <v>8.0000000000097805E-3</v>
      </c>
      <c r="G4234" s="34">
        <v>8.0000000000097805E-3</v>
      </c>
      <c r="H4234" s="35">
        <v>16.600000000000001</v>
      </c>
      <c r="I4234" s="37">
        <f t="shared" si="66"/>
        <v>1.839518622355692E-3</v>
      </c>
      <c r="J4234" s="33"/>
    </row>
    <row r="4235" spans="1:10">
      <c r="A4235" s="33" t="s">
        <v>165</v>
      </c>
      <c r="B4235" s="34">
        <v>231.60400000000001</v>
      </c>
      <c r="C4235" s="35">
        <v>9024.1</v>
      </c>
      <c r="D4235" s="33" t="s">
        <v>193</v>
      </c>
      <c r="E4235" s="34">
        <v>231.60400000000001</v>
      </c>
      <c r="F4235" s="36">
        <v>0</v>
      </c>
      <c r="G4235" s="34">
        <v>0</v>
      </c>
      <c r="H4235" s="35">
        <v>69.400000000000006</v>
      </c>
      <c r="I4235" s="37">
        <f t="shared" si="66"/>
        <v>7.6905176139448811E-3</v>
      </c>
      <c r="J4235" s="33"/>
    </row>
    <row r="4236" spans="1:10">
      <c r="A4236" s="33" t="s">
        <v>165</v>
      </c>
      <c r="B4236" s="34">
        <v>231.60400000000001</v>
      </c>
      <c r="C4236" s="35">
        <v>9024.1</v>
      </c>
      <c r="D4236" s="33" t="s">
        <v>275</v>
      </c>
      <c r="E4236" s="34">
        <v>231.61</v>
      </c>
      <c r="F4236" s="36">
        <v>6.00000000000023E-3</v>
      </c>
      <c r="G4236" s="34">
        <v>6.00000000000023E-3</v>
      </c>
      <c r="H4236" s="35">
        <v>0.4</v>
      </c>
      <c r="I4236" s="37">
        <f t="shared" si="66"/>
        <v>4.4325749936281735E-5</v>
      </c>
      <c r="J4236" s="33"/>
    </row>
    <row r="4237" spans="1:10">
      <c r="A4237" s="33" t="s">
        <v>165</v>
      </c>
      <c r="B4237" s="34">
        <v>231.60400000000001</v>
      </c>
      <c r="C4237" s="35">
        <v>9024.1</v>
      </c>
      <c r="D4237" s="33" t="s">
        <v>240</v>
      </c>
      <c r="E4237" s="34">
        <v>231.61500000000001</v>
      </c>
      <c r="F4237" s="36">
        <v>1.0999999999995701E-2</v>
      </c>
      <c r="G4237" s="34">
        <v>1.0999999999995701E-2</v>
      </c>
      <c r="H4237" s="35">
        <v>0.9</v>
      </c>
      <c r="I4237" s="37">
        <f t="shared" si="66"/>
        <v>9.9732937356633895E-5</v>
      </c>
      <c r="J4237" s="33"/>
    </row>
    <row r="4238" spans="1:10">
      <c r="A4238" s="33" t="s">
        <v>165</v>
      </c>
      <c r="B4238" s="34">
        <v>231.60400000000001</v>
      </c>
      <c r="C4238" s="35">
        <v>9024.1</v>
      </c>
      <c r="D4238" s="33" t="s">
        <v>54</v>
      </c>
      <c r="E4238" s="34">
        <v>231.61600000000001</v>
      </c>
      <c r="F4238" s="36">
        <v>1.20000000000005E-2</v>
      </c>
      <c r="G4238" s="34">
        <v>1.20000000000005E-2</v>
      </c>
      <c r="H4238" s="35">
        <v>13.8</v>
      </c>
      <c r="I4238" s="37">
        <f t="shared" si="66"/>
        <v>1.5292383728017199E-3</v>
      </c>
      <c r="J4238" s="33"/>
    </row>
    <row r="4239" spans="1:10">
      <c r="A4239" s="33" t="s">
        <v>165</v>
      </c>
      <c r="B4239" s="34">
        <v>231.60400000000001</v>
      </c>
      <c r="C4239" s="35">
        <v>9024.1</v>
      </c>
      <c r="D4239" s="33" t="s">
        <v>274</v>
      </c>
      <c r="E4239" s="34">
        <v>231.625</v>
      </c>
      <c r="F4239" s="36">
        <v>2.0999999999986599E-2</v>
      </c>
      <c r="G4239" s="34">
        <v>2.0999999999986599E-2</v>
      </c>
      <c r="H4239" s="35">
        <v>2</v>
      </c>
      <c r="I4239" s="37">
        <f t="shared" si="66"/>
        <v>2.2162874968140867E-4</v>
      </c>
      <c r="J4239" s="33"/>
    </row>
    <row r="4240" spans="1:10">
      <c r="A4240" s="33" t="s">
        <v>165</v>
      </c>
      <c r="B4240" s="34">
        <v>231.60400000000001</v>
      </c>
      <c r="C4240" s="35">
        <v>9024.1</v>
      </c>
      <c r="D4240" s="33" t="s">
        <v>297</v>
      </c>
      <c r="E4240" s="34">
        <v>231.64400000000001</v>
      </c>
      <c r="F4240" s="36">
        <v>3.9999999999992E-2</v>
      </c>
      <c r="G4240" s="34">
        <v>3.9999999999992E-2</v>
      </c>
      <c r="H4240" s="35">
        <v>0.3</v>
      </c>
      <c r="I4240" s="37">
        <f t="shared" si="66"/>
        <v>3.3244312452211296E-5</v>
      </c>
      <c r="J4240" s="33"/>
    </row>
    <row r="4241" spans="1:10">
      <c r="A4241" s="33" t="s">
        <v>165</v>
      </c>
      <c r="B4241" s="34">
        <v>231.60400000000001</v>
      </c>
      <c r="C4241" s="35">
        <v>9024.1</v>
      </c>
      <c r="D4241" s="33" t="s">
        <v>269</v>
      </c>
      <c r="E4241" s="34">
        <v>231.648</v>
      </c>
      <c r="F4241" s="36">
        <v>4.3999999999982699E-2</v>
      </c>
      <c r="G4241" s="34">
        <v>4.3999999999982699E-2</v>
      </c>
      <c r="H4241" s="35">
        <v>21.9</v>
      </c>
      <c r="I4241" s="37">
        <f t="shared" si="66"/>
        <v>2.4268348090114248E-3</v>
      </c>
      <c r="J4241" s="33"/>
    </row>
    <row r="4242" spans="1:10">
      <c r="A4242" s="33" t="s">
        <v>165</v>
      </c>
      <c r="B4242" s="34">
        <v>231.60400000000001</v>
      </c>
      <c r="C4242" s="35">
        <v>9024.1</v>
      </c>
      <c r="D4242" s="33" t="s">
        <v>54</v>
      </c>
      <c r="E4242" s="34">
        <v>231.685</v>
      </c>
      <c r="F4242" s="36">
        <v>8.09999999999889E-2</v>
      </c>
      <c r="G4242" s="34">
        <v>8.09999999999889E-2</v>
      </c>
      <c r="H4242" s="35">
        <v>17.5</v>
      </c>
      <c r="I4242" s="37">
        <f t="shared" si="66"/>
        <v>1.9392515597123259E-3</v>
      </c>
      <c r="J4242" s="33"/>
    </row>
    <row r="4243" spans="1:10">
      <c r="A4243" s="33" t="s">
        <v>165</v>
      </c>
      <c r="B4243" s="34">
        <v>231.60400000000001</v>
      </c>
      <c r="C4243" s="35">
        <v>9024.1</v>
      </c>
      <c r="D4243" s="33" t="s">
        <v>295</v>
      </c>
      <c r="E4243" s="34">
        <v>231.703</v>
      </c>
      <c r="F4243" s="36">
        <v>9.8999999999989499E-2</v>
      </c>
      <c r="G4243" s="34">
        <v>9.8999999999989499E-2</v>
      </c>
      <c r="H4243" s="35">
        <v>30.2</v>
      </c>
      <c r="I4243" s="37">
        <f t="shared" si="66"/>
        <v>3.3465941201892709E-3</v>
      </c>
      <c r="J4243" s="33"/>
    </row>
    <row r="4244" spans="1:10">
      <c r="A4244" s="33" t="s">
        <v>165</v>
      </c>
      <c r="B4244" s="34">
        <v>231.60400000000001</v>
      </c>
      <c r="C4244" s="35">
        <v>9024.1</v>
      </c>
      <c r="D4244" s="33" t="s">
        <v>54</v>
      </c>
      <c r="E4244" s="34">
        <v>231.70699999999999</v>
      </c>
      <c r="F4244" s="36">
        <v>0.10299999999998</v>
      </c>
      <c r="G4244" s="34">
        <v>0.10299999999998</v>
      </c>
      <c r="H4244" s="35">
        <v>183.9</v>
      </c>
      <c r="I4244" s="37">
        <f t="shared" si="66"/>
        <v>2.0378763533205526E-2</v>
      </c>
      <c r="J4244" s="33"/>
    </row>
    <row r="4245" spans="1:10">
      <c r="A4245" s="33" t="s">
        <v>165</v>
      </c>
      <c r="B4245" s="34">
        <v>231.60400000000001</v>
      </c>
      <c r="C4245" s="35">
        <v>9024.1</v>
      </c>
      <c r="D4245" s="33" t="s">
        <v>165</v>
      </c>
      <c r="E4245" s="34">
        <v>231.71600000000001</v>
      </c>
      <c r="F4245" s="36">
        <v>0.11199999999999501</v>
      </c>
      <c r="G4245" s="34">
        <v>0.11199999999999501</v>
      </c>
      <c r="H4245" s="35">
        <v>812</v>
      </c>
      <c r="I4245" s="37">
        <f t="shared" si="66"/>
        <v>8.9981272370651913E-2</v>
      </c>
      <c r="J4245" s="33"/>
    </row>
    <row r="4246" spans="1:10">
      <c r="A4246" s="33" t="s">
        <v>165</v>
      </c>
      <c r="B4246" s="34">
        <v>231.60400000000001</v>
      </c>
      <c r="C4246" s="35">
        <v>9024.1</v>
      </c>
      <c r="D4246" s="33" t="s">
        <v>272</v>
      </c>
      <c r="E4246" s="34">
        <v>231.72200000000001</v>
      </c>
      <c r="F4246" s="36">
        <v>0.117999999999995</v>
      </c>
      <c r="G4246" s="34">
        <v>0.117999999999995</v>
      </c>
      <c r="H4246" s="35">
        <v>103.8</v>
      </c>
      <c r="I4246" s="37">
        <f t="shared" si="66"/>
        <v>1.1502532108465109E-2</v>
      </c>
      <c r="J4246" s="33"/>
    </row>
    <row r="4247" spans="1:10">
      <c r="A4247" s="33" t="s">
        <v>165</v>
      </c>
      <c r="B4247" s="34">
        <v>231.60400000000001</v>
      </c>
      <c r="C4247" s="35">
        <v>9024.1</v>
      </c>
      <c r="D4247" s="33" t="s">
        <v>236</v>
      </c>
      <c r="E4247" s="34">
        <v>231.72499999999999</v>
      </c>
      <c r="F4247" s="36">
        <v>0.120999999999981</v>
      </c>
      <c r="G4247" s="34">
        <v>0.120999999999981</v>
      </c>
      <c r="H4247" s="35">
        <v>270.60000000000002</v>
      </c>
      <c r="I4247" s="37">
        <f t="shared" si="66"/>
        <v>2.9986369831894594E-2</v>
      </c>
      <c r="J4247" s="33"/>
    </row>
    <row r="4248" spans="1:10">
      <c r="A4248" s="33" t="s">
        <v>165</v>
      </c>
      <c r="B4248" s="34">
        <v>231.60400000000001</v>
      </c>
      <c r="C4248" s="35">
        <v>9024.1</v>
      </c>
      <c r="D4248" s="33" t="s">
        <v>268</v>
      </c>
      <c r="E4248" s="34">
        <v>231.78</v>
      </c>
      <c r="F4248" s="36">
        <v>0.175999999999988</v>
      </c>
      <c r="G4248" s="34">
        <v>0.175999999999988</v>
      </c>
      <c r="H4248" s="35">
        <v>67.3</v>
      </c>
      <c r="I4248" s="37">
        <f t="shared" si="66"/>
        <v>7.4578074267794012E-3</v>
      </c>
      <c r="J4248" s="33"/>
    </row>
    <row r="4249" spans="1:10">
      <c r="A4249" s="33" t="s">
        <v>165</v>
      </c>
      <c r="B4249" s="34">
        <v>231.60400000000001</v>
      </c>
      <c r="C4249" s="35">
        <v>9024.1</v>
      </c>
      <c r="D4249" s="33" t="s">
        <v>133</v>
      </c>
      <c r="E4249" s="34">
        <v>231.78100000000001</v>
      </c>
      <c r="F4249" s="36">
        <v>0.176999999999993</v>
      </c>
      <c r="G4249" s="34">
        <v>0.176999999999993</v>
      </c>
      <c r="H4249" s="35">
        <v>73.8</v>
      </c>
      <c r="I4249" s="37">
        <f t="shared" si="66"/>
        <v>8.1781008632439787E-3</v>
      </c>
      <c r="J4249" s="33"/>
    </row>
    <row r="4250" spans="1:10">
      <c r="A4250" s="33" t="s">
        <v>165</v>
      </c>
      <c r="B4250" s="34">
        <v>231.60400000000001</v>
      </c>
      <c r="C4250" s="35">
        <v>9024.1</v>
      </c>
      <c r="D4250" s="33" t="s">
        <v>294</v>
      </c>
      <c r="E4250" s="34">
        <v>231.83</v>
      </c>
      <c r="F4250" s="36">
        <v>0.22599999999999901</v>
      </c>
      <c r="G4250" s="34">
        <v>0.22599999999999901</v>
      </c>
      <c r="H4250" s="35">
        <v>46.4</v>
      </c>
      <c r="I4250" s="37">
        <f t="shared" si="66"/>
        <v>5.1417869926086808E-3</v>
      </c>
      <c r="J4250" s="33"/>
    </row>
    <row r="4251" spans="1:10">
      <c r="A4251" s="33" t="s">
        <v>165</v>
      </c>
      <c r="B4251" s="34">
        <v>231.60400000000001</v>
      </c>
      <c r="C4251" s="35">
        <v>9024.1</v>
      </c>
      <c r="D4251" s="33" t="s">
        <v>282</v>
      </c>
      <c r="E4251" s="34">
        <v>231.83699999999999</v>
      </c>
      <c r="F4251" s="36">
        <v>0.232999999999976</v>
      </c>
      <c r="G4251" s="34">
        <v>0.232999999999976</v>
      </c>
      <c r="H4251" s="35">
        <v>9.8000000000000007</v>
      </c>
      <c r="I4251" s="37">
        <f t="shared" si="66"/>
        <v>1.0859808734389024E-3</v>
      </c>
      <c r="J4251" s="33"/>
    </row>
    <row r="4252" spans="1:10">
      <c r="A4252" s="33" t="s">
        <v>165</v>
      </c>
      <c r="B4252" s="34">
        <v>231.60400000000001</v>
      </c>
      <c r="C4252" s="35">
        <v>9024.1</v>
      </c>
      <c r="D4252" s="33" t="s">
        <v>54</v>
      </c>
      <c r="E4252" s="34">
        <v>231.84299999999999</v>
      </c>
      <c r="F4252" s="36">
        <v>0.23899999999997601</v>
      </c>
      <c r="G4252" s="34">
        <v>0.23899999999997601</v>
      </c>
      <c r="H4252" s="35">
        <v>50.5</v>
      </c>
      <c r="I4252" s="37">
        <f t="shared" si="66"/>
        <v>5.5961259294555685E-3</v>
      </c>
      <c r="J4252" s="33"/>
    </row>
    <row r="4253" spans="1:10">
      <c r="A4253" s="33" t="s">
        <v>165</v>
      </c>
      <c r="B4253" s="34">
        <v>231.60400000000001</v>
      </c>
      <c r="C4253" s="35">
        <v>9024.1</v>
      </c>
      <c r="D4253" s="33" t="s">
        <v>269</v>
      </c>
      <c r="E4253" s="34">
        <v>231.84899999999999</v>
      </c>
      <c r="F4253" s="36">
        <v>0.24499999999997599</v>
      </c>
      <c r="G4253" s="34">
        <v>0.24499999999997599</v>
      </c>
      <c r="H4253" s="35">
        <v>29.1</v>
      </c>
      <c r="I4253" s="37">
        <f t="shared" si="66"/>
        <v>3.2246983078644963E-3</v>
      </c>
      <c r="J4253" s="33"/>
    </row>
    <row r="4254" spans="1:10">
      <c r="A4254" s="33" t="s">
        <v>165</v>
      </c>
      <c r="B4254" s="34">
        <v>231.60400000000001</v>
      </c>
      <c r="C4254" s="35">
        <v>9024.1</v>
      </c>
      <c r="D4254" s="33" t="s">
        <v>165</v>
      </c>
      <c r="E4254" s="34">
        <v>231.851</v>
      </c>
      <c r="F4254" s="36">
        <v>0.24699999999998601</v>
      </c>
      <c r="G4254" s="34">
        <v>0.24699999999998601</v>
      </c>
      <c r="H4254" s="35">
        <v>62.4</v>
      </c>
      <c r="I4254" s="37">
        <f t="shared" si="66"/>
        <v>6.9148169900599505E-3</v>
      </c>
      <c r="J4254" s="33"/>
    </row>
    <row r="4255" spans="1:10">
      <c r="A4255" s="33" t="s">
        <v>173</v>
      </c>
      <c r="B4255" s="34">
        <v>390.84300000000002</v>
      </c>
      <c r="C4255" s="35">
        <v>14190.7</v>
      </c>
      <c r="D4255" s="33" t="s">
        <v>84</v>
      </c>
      <c r="E4255" s="34">
        <v>390.34399999999999</v>
      </c>
      <c r="F4255" s="36">
        <v>0.499</v>
      </c>
      <c r="G4255" s="34">
        <v>0.499</v>
      </c>
      <c r="H4255" s="35">
        <v>264.39999999999998</v>
      </c>
      <c r="I4255" s="37">
        <f t="shared" si="66"/>
        <v>1.863192090594544E-2</v>
      </c>
      <c r="J4255" s="33" t="s">
        <v>116</v>
      </c>
    </row>
    <row r="4256" spans="1:10">
      <c r="A4256" s="33" t="s">
        <v>173</v>
      </c>
      <c r="B4256" s="34">
        <v>390.84300000000002</v>
      </c>
      <c r="C4256" s="35">
        <v>14190.7</v>
      </c>
      <c r="D4256" s="33" t="s">
        <v>84</v>
      </c>
      <c r="E4256" s="34">
        <v>390.63099999999997</v>
      </c>
      <c r="F4256" s="36">
        <v>0.21199999999999999</v>
      </c>
      <c r="G4256" s="34">
        <v>0.21199999999999999</v>
      </c>
      <c r="H4256" s="35">
        <v>33607</v>
      </c>
      <c r="I4256" s="37">
        <f t="shared" si="66"/>
        <v>2.3682411720352059</v>
      </c>
      <c r="J4256" s="33" t="s">
        <v>116</v>
      </c>
    </row>
    <row r="4257" spans="1:10">
      <c r="A4257" s="33" t="s">
        <v>173</v>
      </c>
      <c r="B4257" s="34">
        <v>390.84300000000002</v>
      </c>
      <c r="C4257" s="35">
        <v>14190.7</v>
      </c>
      <c r="D4257" s="33" t="s">
        <v>296</v>
      </c>
      <c r="E4257" s="34">
        <v>390.637</v>
      </c>
      <c r="F4257" s="36">
        <v>0.206000000000017</v>
      </c>
      <c r="G4257" s="34">
        <v>0.206000000000017</v>
      </c>
      <c r="H4257" s="35">
        <v>0.3</v>
      </c>
      <c r="I4257" s="37">
        <f t="shared" si="66"/>
        <v>2.1140606171647627E-5</v>
      </c>
      <c r="J4257" s="33"/>
    </row>
    <row r="4258" spans="1:10">
      <c r="A4258" s="33" t="s">
        <v>173</v>
      </c>
      <c r="B4258" s="34">
        <v>390.84300000000002</v>
      </c>
      <c r="C4258" s="35">
        <v>14190.7</v>
      </c>
      <c r="D4258" s="33" t="s">
        <v>25</v>
      </c>
      <c r="E4258" s="34">
        <v>390.64400000000001</v>
      </c>
      <c r="F4258" s="36">
        <v>0.199000000000012</v>
      </c>
      <c r="G4258" s="34">
        <v>0.199000000000012</v>
      </c>
      <c r="H4258" s="35">
        <v>175.2</v>
      </c>
      <c r="I4258" s="37">
        <f t="shared" si="66"/>
        <v>1.2346114004242214E-2</v>
      </c>
      <c r="J4258" s="33" t="s">
        <v>116</v>
      </c>
    </row>
    <row r="4259" spans="1:10">
      <c r="A4259" s="33" t="s">
        <v>173</v>
      </c>
      <c r="B4259" s="34">
        <v>390.84300000000002</v>
      </c>
      <c r="C4259" s="35">
        <v>14190.7</v>
      </c>
      <c r="D4259" s="33" t="s">
        <v>277</v>
      </c>
      <c r="E4259" s="34">
        <v>390.64499999999998</v>
      </c>
      <c r="F4259" s="36">
        <v>0.19800000000003601</v>
      </c>
      <c r="G4259" s="34">
        <v>0.19800000000003601</v>
      </c>
      <c r="H4259" s="35">
        <v>183.1</v>
      </c>
      <c r="I4259" s="37">
        <f t="shared" si="66"/>
        <v>1.2902816633428935E-2</v>
      </c>
      <c r="J4259" s="33"/>
    </row>
    <row r="4260" spans="1:10">
      <c r="A4260" s="33" t="s">
        <v>173</v>
      </c>
      <c r="B4260" s="34">
        <v>390.84300000000002</v>
      </c>
      <c r="C4260" s="35">
        <v>14190.7</v>
      </c>
      <c r="D4260" s="33" t="s">
        <v>275</v>
      </c>
      <c r="E4260" s="34">
        <v>390.64600000000002</v>
      </c>
      <c r="F4260" s="36">
        <v>0.19700000000000301</v>
      </c>
      <c r="G4260" s="34">
        <v>0.19700000000000301</v>
      </c>
      <c r="H4260" s="35">
        <v>6.1</v>
      </c>
      <c r="I4260" s="37">
        <f t="shared" si="66"/>
        <v>4.2985899215683507E-4</v>
      </c>
      <c r="J4260" s="33"/>
    </row>
    <row r="4261" spans="1:10">
      <c r="A4261" s="33" t="s">
        <v>173</v>
      </c>
      <c r="B4261" s="34">
        <v>390.84300000000002</v>
      </c>
      <c r="C4261" s="35">
        <v>14190.7</v>
      </c>
      <c r="D4261" s="33" t="s">
        <v>97</v>
      </c>
      <c r="E4261" s="34">
        <v>390.64800000000002</v>
      </c>
      <c r="F4261" s="36">
        <v>0.19499999999999301</v>
      </c>
      <c r="G4261" s="34">
        <v>0.19499999999999301</v>
      </c>
      <c r="H4261" s="35">
        <v>44.9</v>
      </c>
      <c r="I4261" s="37">
        <f t="shared" si="66"/>
        <v>3.1640440570232615E-3</v>
      </c>
      <c r="J4261" s="33"/>
    </row>
    <row r="4262" spans="1:10">
      <c r="A4262" s="33" t="s">
        <v>173</v>
      </c>
      <c r="B4262" s="34">
        <v>390.84300000000002</v>
      </c>
      <c r="C4262" s="35">
        <v>14190.7</v>
      </c>
      <c r="D4262" s="33" t="s">
        <v>278</v>
      </c>
      <c r="E4262" s="34">
        <v>390.67500000000001</v>
      </c>
      <c r="F4262" s="36">
        <v>0.16800000000000601</v>
      </c>
      <c r="G4262" s="34">
        <v>0.16800000000000601</v>
      </c>
      <c r="H4262" s="35">
        <v>25.4</v>
      </c>
      <c r="I4262" s="37">
        <f t="shared" si="66"/>
        <v>1.7899046558661658E-3</v>
      </c>
      <c r="J4262" s="33"/>
    </row>
    <row r="4263" spans="1:10">
      <c r="A4263" s="33" t="s">
        <v>173</v>
      </c>
      <c r="B4263" s="34">
        <v>390.84300000000002</v>
      </c>
      <c r="C4263" s="35">
        <v>14190.7</v>
      </c>
      <c r="D4263" s="33" t="s">
        <v>270</v>
      </c>
      <c r="E4263" s="34">
        <v>390.68</v>
      </c>
      <c r="F4263" s="36">
        <v>0.163000000000011</v>
      </c>
      <c r="G4263" s="34">
        <v>0.163000000000011</v>
      </c>
      <c r="H4263" s="35">
        <v>194</v>
      </c>
      <c r="I4263" s="37">
        <f t="shared" si="66"/>
        <v>1.3670925324332133E-2</v>
      </c>
      <c r="J4263" s="33"/>
    </row>
    <row r="4264" spans="1:10">
      <c r="A4264" s="33" t="s">
        <v>173</v>
      </c>
      <c r="B4264" s="34">
        <v>390.84300000000002</v>
      </c>
      <c r="C4264" s="35">
        <v>14190.7</v>
      </c>
      <c r="D4264" s="33" t="s">
        <v>275</v>
      </c>
      <c r="E4264" s="34">
        <v>390.69099999999997</v>
      </c>
      <c r="F4264" s="36">
        <v>0.15200000000004399</v>
      </c>
      <c r="G4264" s="34">
        <v>0.15200000000004399</v>
      </c>
      <c r="H4264" s="35">
        <v>47</v>
      </c>
      <c r="I4264" s="37">
        <f t="shared" si="66"/>
        <v>3.312028300224795E-3</v>
      </c>
      <c r="J4264" s="33"/>
    </row>
    <row r="4265" spans="1:10">
      <c r="A4265" s="33" t="s">
        <v>173</v>
      </c>
      <c r="B4265" s="34">
        <v>390.84300000000002</v>
      </c>
      <c r="C4265" s="35">
        <v>14190.7</v>
      </c>
      <c r="D4265" s="33" t="s">
        <v>25</v>
      </c>
      <c r="E4265" s="34">
        <v>390.69200000000001</v>
      </c>
      <c r="F4265" s="36">
        <v>0.15100000000001099</v>
      </c>
      <c r="G4265" s="34">
        <v>0.15100000000001099</v>
      </c>
      <c r="H4265" s="35">
        <v>348.1</v>
      </c>
      <c r="I4265" s="37">
        <f t="shared" si="66"/>
        <v>2.4530150027835131E-2</v>
      </c>
      <c r="J4265" s="33" t="s">
        <v>116</v>
      </c>
    </row>
    <row r="4266" spans="1:10">
      <c r="A4266" s="33" t="s">
        <v>173</v>
      </c>
      <c r="B4266" s="34">
        <v>390.84300000000002</v>
      </c>
      <c r="C4266" s="35">
        <v>14190.7</v>
      </c>
      <c r="D4266" s="33" t="s">
        <v>280</v>
      </c>
      <c r="E4266" s="34">
        <v>390.71100000000001</v>
      </c>
      <c r="F4266" s="36">
        <v>0.132000000000005</v>
      </c>
      <c r="G4266" s="34">
        <v>0.132000000000005</v>
      </c>
      <c r="H4266" s="35">
        <v>92342</v>
      </c>
      <c r="I4266" s="37">
        <f t="shared" si="66"/>
        <v>6.5072195170076172</v>
      </c>
      <c r="J4266" s="33"/>
    </row>
    <row r="4267" spans="1:10">
      <c r="A4267" s="33" t="s">
        <v>173</v>
      </c>
      <c r="B4267" s="34">
        <v>390.84300000000002</v>
      </c>
      <c r="C4267" s="35">
        <v>14190.7</v>
      </c>
      <c r="D4267" s="33" t="s">
        <v>25</v>
      </c>
      <c r="E4267" s="34">
        <v>390.72899999999998</v>
      </c>
      <c r="F4267" s="36">
        <v>0.11400000000003301</v>
      </c>
      <c r="G4267" s="34">
        <v>0.11400000000003301</v>
      </c>
      <c r="H4267" s="35">
        <v>2467.9</v>
      </c>
      <c r="I4267" s="37">
        <f t="shared" si="66"/>
        <v>0.17390967323669726</v>
      </c>
      <c r="J4267" s="33" t="s">
        <v>116</v>
      </c>
    </row>
    <row r="4268" spans="1:10">
      <c r="A4268" s="33" t="s">
        <v>173</v>
      </c>
      <c r="B4268" s="34">
        <v>390.84300000000002</v>
      </c>
      <c r="C4268" s="35">
        <v>14190.7</v>
      </c>
      <c r="D4268" s="33" t="s">
        <v>165</v>
      </c>
      <c r="E4268" s="34">
        <v>390.74099999999999</v>
      </c>
      <c r="F4268" s="36">
        <v>0.102000000000032</v>
      </c>
      <c r="G4268" s="34">
        <v>0.102000000000032</v>
      </c>
      <c r="H4268" s="35">
        <v>0.6</v>
      </c>
      <c r="I4268" s="37">
        <f t="shared" si="66"/>
        <v>4.2281212343295254E-5</v>
      </c>
      <c r="J4268" s="33"/>
    </row>
    <row r="4269" spans="1:10">
      <c r="A4269" s="33" t="s">
        <v>173</v>
      </c>
      <c r="B4269" s="34">
        <v>390.84300000000002</v>
      </c>
      <c r="C4269" s="35">
        <v>14190.7</v>
      </c>
      <c r="D4269" s="33" t="s">
        <v>184</v>
      </c>
      <c r="E4269" s="34">
        <v>390.74900000000002</v>
      </c>
      <c r="F4269" s="36">
        <v>9.3999999999994102E-2</v>
      </c>
      <c r="G4269" s="34">
        <v>9.3999999999994102E-2</v>
      </c>
      <c r="H4269" s="35">
        <v>5841</v>
      </c>
      <c r="I4269" s="37">
        <f t="shared" si="66"/>
        <v>0.41160760216197928</v>
      </c>
      <c r="J4269" s="33"/>
    </row>
    <row r="4270" spans="1:10">
      <c r="A4270" s="33" t="s">
        <v>173</v>
      </c>
      <c r="B4270" s="34">
        <v>390.84300000000002</v>
      </c>
      <c r="C4270" s="35">
        <v>14190.7</v>
      </c>
      <c r="D4270" s="33" t="s">
        <v>239</v>
      </c>
      <c r="E4270" s="34">
        <v>390.77600000000001</v>
      </c>
      <c r="F4270" s="36">
        <v>6.7000000000007304E-2</v>
      </c>
      <c r="G4270" s="34">
        <v>6.7000000000007304E-2</v>
      </c>
      <c r="H4270" s="35">
        <v>2.8</v>
      </c>
      <c r="I4270" s="37">
        <f t="shared" si="66"/>
        <v>1.9731232426871116E-4</v>
      </c>
      <c r="J4270" s="33"/>
    </row>
    <row r="4271" spans="1:10">
      <c r="A4271" s="33" t="s">
        <v>173</v>
      </c>
      <c r="B4271" s="34">
        <v>390.84300000000002</v>
      </c>
      <c r="C4271" s="35">
        <v>14190.7</v>
      </c>
      <c r="D4271" s="33" t="s">
        <v>27</v>
      </c>
      <c r="E4271" s="34">
        <v>390.78399999999999</v>
      </c>
      <c r="F4271" s="36">
        <v>5.90000000000259E-2</v>
      </c>
      <c r="G4271" s="34">
        <v>5.90000000000259E-2</v>
      </c>
      <c r="H4271" s="35">
        <v>2092.1</v>
      </c>
      <c r="I4271" s="37">
        <f t="shared" si="66"/>
        <v>0.14742754057234667</v>
      </c>
      <c r="J4271" s="33" t="s">
        <v>116</v>
      </c>
    </row>
    <row r="4272" spans="1:10">
      <c r="A4272" s="33" t="s">
        <v>173</v>
      </c>
      <c r="B4272" s="34">
        <v>390.84300000000002</v>
      </c>
      <c r="C4272" s="35">
        <v>14190.7</v>
      </c>
      <c r="D4272" s="33" t="s">
        <v>97</v>
      </c>
      <c r="E4272" s="34">
        <v>390.79300000000001</v>
      </c>
      <c r="F4272" s="36">
        <v>5.0000000000011403E-2</v>
      </c>
      <c r="G4272" s="34">
        <v>5.0000000000011403E-2</v>
      </c>
      <c r="H4272" s="35">
        <v>3.8</v>
      </c>
      <c r="I4272" s="37">
        <f t="shared" si="66"/>
        <v>2.677810115075366E-4</v>
      </c>
      <c r="J4272" s="33"/>
    </row>
    <row r="4273" spans="1:10">
      <c r="A4273" s="33" t="s">
        <v>173</v>
      </c>
      <c r="B4273" s="34">
        <v>390.84300000000002</v>
      </c>
      <c r="C4273" s="35">
        <v>14190.7</v>
      </c>
      <c r="D4273" s="33" t="s">
        <v>279</v>
      </c>
      <c r="E4273" s="34">
        <v>390.82</v>
      </c>
      <c r="F4273" s="36">
        <v>2.3000000000024601E-2</v>
      </c>
      <c r="G4273" s="34">
        <v>2.3000000000024601E-2</v>
      </c>
      <c r="H4273" s="35">
        <v>3.5</v>
      </c>
      <c r="I4273" s="37">
        <f t="shared" si="66"/>
        <v>2.46640405335889E-4</v>
      </c>
      <c r="J4273" s="33"/>
    </row>
    <row r="4274" spans="1:10">
      <c r="A4274" s="33" t="s">
        <v>173</v>
      </c>
      <c r="B4274" s="34">
        <v>390.84300000000002</v>
      </c>
      <c r="C4274" s="35">
        <v>14190.7</v>
      </c>
      <c r="D4274" s="33" t="s">
        <v>277</v>
      </c>
      <c r="E4274" s="34">
        <v>390.83100000000002</v>
      </c>
      <c r="F4274" s="36">
        <v>1.20000000000005E-2</v>
      </c>
      <c r="G4274" s="34">
        <v>1.20000000000005E-2</v>
      </c>
      <c r="H4274" s="35">
        <v>112.9</v>
      </c>
      <c r="I4274" s="37">
        <f t="shared" si="66"/>
        <v>7.9559147892633904E-3</v>
      </c>
      <c r="J4274" s="33"/>
    </row>
    <row r="4275" spans="1:10">
      <c r="A4275" s="33" t="s">
        <v>173</v>
      </c>
      <c r="B4275" s="34">
        <v>390.84300000000002</v>
      </c>
      <c r="C4275" s="35">
        <v>14190.7</v>
      </c>
      <c r="D4275" s="33" t="s">
        <v>25</v>
      </c>
      <c r="E4275" s="34">
        <v>390.84</v>
      </c>
      <c r="F4275" s="36">
        <v>3.0000000000427502E-3</v>
      </c>
      <c r="G4275" s="34">
        <v>3.0000000000427502E-3</v>
      </c>
      <c r="H4275" s="35">
        <v>2321.6999999999998</v>
      </c>
      <c r="I4275" s="37">
        <f t="shared" si="66"/>
        <v>0.16360715116238098</v>
      </c>
      <c r="J4275" s="33" t="s">
        <v>116</v>
      </c>
    </row>
    <row r="4276" spans="1:10">
      <c r="A4276" s="33" t="s">
        <v>173</v>
      </c>
      <c r="B4276" s="34">
        <v>390.84300000000002</v>
      </c>
      <c r="C4276" s="35">
        <v>14190.7</v>
      </c>
      <c r="D4276" s="33" t="s">
        <v>54</v>
      </c>
      <c r="E4276" s="34">
        <v>390.85399999999998</v>
      </c>
      <c r="F4276" s="36">
        <v>1.09999999999673E-2</v>
      </c>
      <c r="G4276" s="34">
        <v>1.09999999999673E-2</v>
      </c>
      <c r="H4276" s="35">
        <v>5.2</v>
      </c>
      <c r="I4276" s="37">
        <f t="shared" si="66"/>
        <v>3.6643717364189221E-4</v>
      </c>
      <c r="J4276" s="33"/>
    </row>
    <row r="4277" spans="1:10">
      <c r="A4277" s="33" t="s">
        <v>173</v>
      </c>
      <c r="B4277" s="34">
        <v>390.84300000000002</v>
      </c>
      <c r="C4277" s="35">
        <v>14190.7</v>
      </c>
      <c r="D4277" s="33" t="s">
        <v>275</v>
      </c>
      <c r="E4277" s="34">
        <v>390.86</v>
      </c>
      <c r="F4277" s="36">
        <v>1.69999999999959E-2</v>
      </c>
      <c r="G4277" s="34">
        <v>1.69999999999959E-2</v>
      </c>
      <c r="H4277" s="35">
        <v>38.6</v>
      </c>
      <c r="I4277" s="37">
        <f t="shared" si="66"/>
        <v>2.7200913274186616E-3</v>
      </c>
      <c r="J4277" s="33"/>
    </row>
    <row r="4278" spans="1:10">
      <c r="A4278" s="33" t="s">
        <v>173</v>
      </c>
      <c r="B4278" s="34">
        <v>390.84300000000002</v>
      </c>
      <c r="C4278" s="35">
        <v>14190.7</v>
      </c>
      <c r="D4278" s="33" t="s">
        <v>239</v>
      </c>
      <c r="E4278" s="34">
        <v>390.87599999999998</v>
      </c>
      <c r="F4278" s="36">
        <v>3.2999999999958597E-2</v>
      </c>
      <c r="G4278" s="34">
        <v>3.2999999999958597E-2</v>
      </c>
      <c r="H4278" s="35">
        <v>150.9</v>
      </c>
      <c r="I4278" s="37">
        <f t="shared" si="66"/>
        <v>1.0633724904338757E-2</v>
      </c>
      <c r="J4278" s="33"/>
    </row>
    <row r="4279" spans="1:10">
      <c r="A4279" s="33" t="s">
        <v>173</v>
      </c>
      <c r="B4279" s="34">
        <v>390.84300000000002</v>
      </c>
      <c r="C4279" s="35">
        <v>14190.7</v>
      </c>
      <c r="D4279" s="33" t="s">
        <v>165</v>
      </c>
      <c r="E4279" s="34">
        <v>390.892</v>
      </c>
      <c r="F4279" s="36">
        <v>4.89999999999782E-2</v>
      </c>
      <c r="G4279" s="34">
        <v>4.89999999999782E-2</v>
      </c>
      <c r="H4279" s="35">
        <v>3.1</v>
      </c>
      <c r="I4279" s="37">
        <f t="shared" si="66"/>
        <v>2.1845293044035882E-4</v>
      </c>
      <c r="J4279" s="33"/>
    </row>
    <row r="4280" spans="1:10">
      <c r="A4280" s="33" t="s">
        <v>173</v>
      </c>
      <c r="B4280" s="34">
        <v>390.84300000000002</v>
      </c>
      <c r="C4280" s="35">
        <v>14190.7</v>
      </c>
      <c r="D4280" s="33" t="s">
        <v>273</v>
      </c>
      <c r="E4280" s="34">
        <v>390.89699999999999</v>
      </c>
      <c r="F4280" s="36">
        <v>5.3999999999973597E-2</v>
      </c>
      <c r="G4280" s="34">
        <v>5.3999999999973597E-2</v>
      </c>
      <c r="H4280" s="35">
        <v>40.299999999999997</v>
      </c>
      <c r="I4280" s="37">
        <f t="shared" si="66"/>
        <v>2.8398880957246644E-3</v>
      </c>
      <c r="J4280" s="33"/>
    </row>
    <row r="4281" spans="1:10">
      <c r="A4281" s="33" t="s">
        <v>173</v>
      </c>
      <c r="B4281" s="34">
        <v>390.84300000000002</v>
      </c>
      <c r="C4281" s="35">
        <v>14190.7</v>
      </c>
      <c r="D4281" s="33" t="s">
        <v>277</v>
      </c>
      <c r="E4281" s="34">
        <v>390.90600000000001</v>
      </c>
      <c r="F4281" s="36">
        <v>6.2999999999988204E-2</v>
      </c>
      <c r="G4281" s="34">
        <v>6.2999999999988204E-2</v>
      </c>
      <c r="H4281" s="35">
        <v>81.900000000000006</v>
      </c>
      <c r="I4281" s="37">
        <f t="shared" si="66"/>
        <v>5.7713854848598029E-3</v>
      </c>
      <c r="J4281" s="33"/>
    </row>
    <row r="4282" spans="1:10">
      <c r="A4282" s="33" t="s">
        <v>173</v>
      </c>
      <c r="B4282" s="34">
        <v>390.84300000000002</v>
      </c>
      <c r="C4282" s="35">
        <v>14190.7</v>
      </c>
      <c r="D4282" s="33" t="s">
        <v>268</v>
      </c>
      <c r="E4282" s="34">
        <v>390.90800000000002</v>
      </c>
      <c r="F4282" s="36">
        <v>6.4999999999997699E-2</v>
      </c>
      <c r="G4282" s="34">
        <v>6.4999999999997699E-2</v>
      </c>
      <c r="H4282" s="35">
        <v>93.6</v>
      </c>
      <c r="I4282" s="37">
        <f t="shared" si="66"/>
        <v>6.5958691255540592E-3</v>
      </c>
      <c r="J4282" s="33"/>
    </row>
    <row r="4283" spans="1:10">
      <c r="A4283" s="33" t="s">
        <v>173</v>
      </c>
      <c r="B4283" s="34">
        <v>390.84300000000002</v>
      </c>
      <c r="C4283" s="35">
        <v>14190.7</v>
      </c>
      <c r="D4283" s="33" t="s">
        <v>269</v>
      </c>
      <c r="E4283" s="34">
        <v>390.91800000000001</v>
      </c>
      <c r="F4283" s="36">
        <v>7.4999999999988604E-2</v>
      </c>
      <c r="G4283" s="34">
        <v>7.4999999999988604E-2</v>
      </c>
      <c r="H4283" s="35">
        <v>10.7</v>
      </c>
      <c r="I4283" s="37">
        <f t="shared" si="66"/>
        <v>7.5401495345543202E-4</v>
      </c>
      <c r="J4283" s="33"/>
    </row>
    <row r="4284" spans="1:10">
      <c r="A4284" s="33" t="s">
        <v>173</v>
      </c>
      <c r="B4284" s="34">
        <v>390.84300000000002</v>
      </c>
      <c r="C4284" s="35">
        <v>14190.7</v>
      </c>
      <c r="D4284" s="33" t="s">
        <v>25</v>
      </c>
      <c r="E4284" s="34">
        <v>390.93099999999998</v>
      </c>
      <c r="F4284" s="36">
        <v>8.7999999999965398E-2</v>
      </c>
      <c r="G4284" s="34">
        <v>8.7999999999965398E-2</v>
      </c>
      <c r="H4284" s="35">
        <v>502.8</v>
      </c>
      <c r="I4284" s="37">
        <f t="shared" si="66"/>
        <v>3.5431655943681424E-2</v>
      </c>
      <c r="J4284" s="33" t="s">
        <v>116</v>
      </c>
    </row>
    <row r="4285" spans="1:10">
      <c r="A4285" s="33" t="s">
        <v>173</v>
      </c>
      <c r="B4285" s="34">
        <v>390.84300000000002</v>
      </c>
      <c r="C4285" s="35">
        <v>14190.7</v>
      </c>
      <c r="D4285" s="33" t="s">
        <v>276</v>
      </c>
      <c r="E4285" s="34">
        <v>390.93799999999999</v>
      </c>
      <c r="F4285" s="36">
        <v>9.49999999999704E-2</v>
      </c>
      <c r="G4285" s="34">
        <v>9.49999999999704E-2</v>
      </c>
      <c r="H4285" s="35">
        <v>22</v>
      </c>
      <c r="I4285" s="37">
        <f t="shared" si="66"/>
        <v>1.5503111192541592E-3</v>
      </c>
      <c r="J4285" s="33"/>
    </row>
    <row r="4286" spans="1:10">
      <c r="A4286" s="33" t="s">
        <v>173</v>
      </c>
      <c r="B4286" s="34">
        <v>390.84300000000002</v>
      </c>
      <c r="C4286" s="35">
        <v>14190.7</v>
      </c>
      <c r="D4286" s="33" t="s">
        <v>275</v>
      </c>
      <c r="E4286" s="34">
        <v>390.95400000000001</v>
      </c>
      <c r="F4286" s="36">
        <v>0.11099999999999</v>
      </c>
      <c r="G4286" s="34">
        <v>0.11099999999999</v>
      </c>
      <c r="H4286" s="35">
        <v>3.6</v>
      </c>
      <c r="I4286" s="37">
        <f t="shared" si="66"/>
        <v>2.5368727405977151E-4</v>
      </c>
      <c r="J4286" s="33"/>
    </row>
    <row r="4287" spans="1:10">
      <c r="A4287" s="33" t="s">
        <v>173</v>
      </c>
      <c r="B4287" s="34">
        <v>390.84300000000002</v>
      </c>
      <c r="C4287" s="35">
        <v>14190.7</v>
      </c>
      <c r="D4287" s="33" t="s">
        <v>201</v>
      </c>
      <c r="E4287" s="34">
        <v>390.95499999999998</v>
      </c>
      <c r="F4287" s="36">
        <v>0.111999999999966</v>
      </c>
      <c r="G4287" s="34">
        <v>0.111999999999966</v>
      </c>
      <c r="H4287" s="35">
        <v>548.6</v>
      </c>
      <c r="I4287" s="37">
        <f t="shared" si="66"/>
        <v>3.8659121819219627E-2</v>
      </c>
      <c r="J4287" s="33"/>
    </row>
    <row r="4288" spans="1:10">
      <c r="A4288" s="33" t="s">
        <v>173</v>
      </c>
      <c r="B4288" s="34">
        <v>390.84300000000002</v>
      </c>
      <c r="C4288" s="35">
        <v>14190.7</v>
      </c>
      <c r="D4288" s="33" t="s">
        <v>97</v>
      </c>
      <c r="E4288" s="34">
        <v>390.96600000000001</v>
      </c>
      <c r="F4288" s="36">
        <v>0.12299999999999101</v>
      </c>
      <c r="G4288" s="34">
        <v>0.12299999999999101</v>
      </c>
      <c r="H4288" s="35">
        <v>2.8</v>
      </c>
      <c r="I4288" s="37">
        <f t="shared" si="66"/>
        <v>1.9731232426871116E-4</v>
      </c>
      <c r="J4288" s="33"/>
    </row>
    <row r="4289" spans="1:10">
      <c r="A4289" s="33" t="s">
        <v>173</v>
      </c>
      <c r="B4289" s="34">
        <v>390.84300000000002</v>
      </c>
      <c r="C4289" s="35">
        <v>14190.7</v>
      </c>
      <c r="D4289" s="33" t="s">
        <v>277</v>
      </c>
      <c r="E4289" s="34">
        <v>390.971</v>
      </c>
      <c r="F4289" s="36">
        <v>0.12799999999998601</v>
      </c>
      <c r="G4289" s="34">
        <v>0.12799999999998601</v>
      </c>
      <c r="H4289" s="35">
        <v>52.1</v>
      </c>
      <c r="I4289" s="37">
        <f t="shared" si="66"/>
        <v>3.6714186051428049E-3</v>
      </c>
      <c r="J4289" s="33"/>
    </row>
    <row r="4290" spans="1:10">
      <c r="A4290" s="33" t="s">
        <v>173</v>
      </c>
      <c r="B4290" s="34">
        <v>390.84300000000002</v>
      </c>
      <c r="C4290" s="35">
        <v>14190.7</v>
      </c>
      <c r="D4290" s="33" t="s">
        <v>25</v>
      </c>
      <c r="E4290" s="34">
        <v>390.97500000000002</v>
      </c>
      <c r="F4290" s="36">
        <v>0.132000000000005</v>
      </c>
      <c r="G4290" s="34">
        <v>0.132000000000005</v>
      </c>
      <c r="H4290" s="35">
        <v>360.1</v>
      </c>
      <c r="I4290" s="37">
        <f t="shared" ref="I4290:I4353" si="67">H4290/C4290</f>
        <v>2.5375774274701036E-2</v>
      </c>
      <c r="J4290" s="33" t="s">
        <v>116</v>
      </c>
    </row>
    <row r="4291" spans="1:10">
      <c r="A4291" s="33" t="s">
        <v>173</v>
      </c>
      <c r="B4291" s="34">
        <v>390.84300000000002</v>
      </c>
      <c r="C4291" s="35">
        <v>14190.7</v>
      </c>
      <c r="D4291" s="33" t="s">
        <v>288</v>
      </c>
      <c r="E4291" s="34">
        <v>390.99099999999999</v>
      </c>
      <c r="F4291" s="36">
        <v>0.14799999999996799</v>
      </c>
      <c r="G4291" s="34">
        <v>0.14799999999996799</v>
      </c>
      <c r="H4291" s="35">
        <v>22.7</v>
      </c>
      <c r="I4291" s="37">
        <f t="shared" si="67"/>
        <v>1.5996392003213371E-3</v>
      </c>
      <c r="J4291" s="33"/>
    </row>
    <row r="4292" spans="1:10">
      <c r="A4292" s="33" t="s">
        <v>173</v>
      </c>
      <c r="B4292" s="34">
        <v>390.84300000000002</v>
      </c>
      <c r="C4292" s="35">
        <v>14190.7</v>
      </c>
      <c r="D4292" s="33" t="s">
        <v>278</v>
      </c>
      <c r="E4292" s="34">
        <v>390.99099999999999</v>
      </c>
      <c r="F4292" s="36">
        <v>0.14799999999996799</v>
      </c>
      <c r="G4292" s="34">
        <v>0.14799999999996799</v>
      </c>
      <c r="H4292" s="35">
        <v>172</v>
      </c>
      <c r="I4292" s="37">
        <f t="shared" si="67"/>
        <v>1.2120614205077974E-2</v>
      </c>
      <c r="J4292" s="33"/>
    </row>
    <row r="4293" spans="1:10">
      <c r="A4293" s="33" t="s">
        <v>173</v>
      </c>
      <c r="B4293" s="34">
        <v>390.84300000000002</v>
      </c>
      <c r="C4293" s="35">
        <v>14190.7</v>
      </c>
      <c r="D4293" s="33" t="s">
        <v>54</v>
      </c>
      <c r="E4293" s="34">
        <v>390.99299999999999</v>
      </c>
      <c r="F4293" s="36">
        <v>0.14999999999997701</v>
      </c>
      <c r="G4293" s="34">
        <v>0.14999999999997701</v>
      </c>
      <c r="H4293" s="35">
        <v>18.8</v>
      </c>
      <c r="I4293" s="37">
        <f t="shared" si="67"/>
        <v>1.3248113200899181E-3</v>
      </c>
      <c r="J4293" s="33"/>
    </row>
    <row r="4294" spans="1:10">
      <c r="A4294" s="33" t="s">
        <v>173</v>
      </c>
      <c r="B4294" s="34">
        <v>390.84300000000002</v>
      </c>
      <c r="C4294" s="35">
        <v>14190.7</v>
      </c>
      <c r="D4294" s="33" t="s">
        <v>270</v>
      </c>
      <c r="E4294" s="34">
        <v>391.00900000000001</v>
      </c>
      <c r="F4294" s="36">
        <v>0.16599999999999701</v>
      </c>
      <c r="G4294" s="34">
        <v>0.16599999999999701</v>
      </c>
      <c r="H4294" s="35">
        <v>245.3</v>
      </c>
      <c r="I4294" s="37">
        <f t="shared" si="67"/>
        <v>1.7285968979683878E-2</v>
      </c>
      <c r="J4294" s="33"/>
    </row>
    <row r="4295" spans="1:10">
      <c r="A4295" s="33" t="s">
        <v>173</v>
      </c>
      <c r="B4295" s="34">
        <v>400.86900000000003</v>
      </c>
      <c r="C4295" s="35">
        <v>8598.1</v>
      </c>
      <c r="D4295" s="33" t="s">
        <v>193</v>
      </c>
      <c r="E4295" s="34">
        <v>400.72300000000001</v>
      </c>
      <c r="F4295" s="36">
        <v>0.14600000000001501</v>
      </c>
      <c r="G4295" s="34">
        <v>0.14600000000001501</v>
      </c>
      <c r="H4295" s="35">
        <v>3.3</v>
      </c>
      <c r="I4295" s="37">
        <f t="shared" si="67"/>
        <v>3.8380572452053355E-4</v>
      </c>
      <c r="J4295" s="33"/>
    </row>
    <row r="4296" spans="1:10">
      <c r="A4296" s="33" t="s">
        <v>173</v>
      </c>
      <c r="B4296" s="34">
        <v>400.86900000000003</v>
      </c>
      <c r="C4296" s="35">
        <v>8598.1</v>
      </c>
      <c r="D4296" s="33" t="s">
        <v>54</v>
      </c>
      <c r="E4296" s="34">
        <v>400.72500000000002</v>
      </c>
      <c r="F4296" s="36">
        <v>0.14400000000000601</v>
      </c>
      <c r="G4296" s="34">
        <v>0.14400000000000601</v>
      </c>
      <c r="H4296" s="35">
        <v>2.6</v>
      </c>
      <c r="I4296" s="37">
        <f t="shared" si="67"/>
        <v>3.0239238901617801E-4</v>
      </c>
      <c r="J4296" s="33"/>
    </row>
    <row r="4297" spans="1:10">
      <c r="A4297" s="33" t="s">
        <v>173</v>
      </c>
      <c r="B4297" s="34">
        <v>400.86900000000003</v>
      </c>
      <c r="C4297" s="35">
        <v>8598.1</v>
      </c>
      <c r="D4297" s="33" t="s">
        <v>97</v>
      </c>
      <c r="E4297" s="34">
        <v>400.72699999999998</v>
      </c>
      <c r="F4297" s="36">
        <v>0.142000000000053</v>
      </c>
      <c r="G4297" s="34">
        <v>0.142000000000053</v>
      </c>
      <c r="H4297" s="35">
        <v>3.5</v>
      </c>
      <c r="I4297" s="37">
        <f t="shared" si="67"/>
        <v>4.0706667752177803E-4</v>
      </c>
      <c r="J4297" s="33"/>
    </row>
    <row r="4298" spans="1:10">
      <c r="A4298" s="33" t="s">
        <v>173</v>
      </c>
      <c r="B4298" s="34">
        <v>400.86900000000003</v>
      </c>
      <c r="C4298" s="35">
        <v>8598.1</v>
      </c>
      <c r="D4298" s="33" t="s">
        <v>63</v>
      </c>
      <c r="E4298" s="34">
        <v>400.73500000000001</v>
      </c>
      <c r="F4298" s="36">
        <v>0.13400000000000001</v>
      </c>
      <c r="G4298" s="34">
        <v>0.13400000000000001</v>
      </c>
      <c r="H4298" s="35">
        <v>67.8</v>
      </c>
      <c r="I4298" s="37">
        <f t="shared" si="67"/>
        <v>7.8854630674218724E-3</v>
      </c>
      <c r="J4298" s="33" t="s">
        <v>116</v>
      </c>
    </row>
    <row r="4299" spans="1:10">
      <c r="A4299" s="33" t="s">
        <v>173</v>
      </c>
      <c r="B4299" s="34">
        <v>400.86900000000003</v>
      </c>
      <c r="C4299" s="35">
        <v>8598.1</v>
      </c>
      <c r="D4299" s="33" t="s">
        <v>27</v>
      </c>
      <c r="E4299" s="34">
        <v>400.74299999999999</v>
      </c>
      <c r="F4299" s="36">
        <v>0.126000000000033</v>
      </c>
      <c r="G4299" s="34">
        <v>0.126000000000033</v>
      </c>
      <c r="H4299" s="35">
        <v>1905.1</v>
      </c>
      <c r="I4299" s="37">
        <f t="shared" si="67"/>
        <v>0.2215722078133541</v>
      </c>
      <c r="J4299" s="33" t="s">
        <v>116</v>
      </c>
    </row>
    <row r="4300" spans="1:10">
      <c r="A4300" s="33" t="s">
        <v>173</v>
      </c>
      <c r="B4300" s="34">
        <v>400.86900000000003</v>
      </c>
      <c r="C4300" s="35">
        <v>8598.1</v>
      </c>
      <c r="D4300" s="33" t="s">
        <v>270</v>
      </c>
      <c r="E4300" s="34">
        <v>400.74799999999999</v>
      </c>
      <c r="F4300" s="36">
        <v>0.12100000000003799</v>
      </c>
      <c r="G4300" s="34">
        <v>0.12100000000003799</v>
      </c>
      <c r="H4300" s="35">
        <v>1182.5999999999999</v>
      </c>
      <c r="I4300" s="37">
        <f t="shared" si="67"/>
        <v>0.13754201509635849</v>
      </c>
      <c r="J4300" s="33"/>
    </row>
    <row r="4301" spans="1:10">
      <c r="A4301" s="33" t="s">
        <v>173</v>
      </c>
      <c r="B4301" s="34">
        <v>400.86900000000003</v>
      </c>
      <c r="C4301" s="35">
        <v>8598.1</v>
      </c>
      <c r="D4301" s="33" t="s">
        <v>268</v>
      </c>
      <c r="E4301" s="34">
        <v>400.75299999999999</v>
      </c>
      <c r="F4301" s="36">
        <v>0.116000000000042</v>
      </c>
      <c r="G4301" s="34">
        <v>0.116000000000042</v>
      </c>
      <c r="H4301" s="35">
        <v>44</v>
      </c>
      <c r="I4301" s="37">
        <f t="shared" si="67"/>
        <v>5.1174096602737808E-3</v>
      </c>
      <c r="J4301" s="33"/>
    </row>
    <row r="4302" spans="1:10">
      <c r="A4302" s="33" t="s">
        <v>173</v>
      </c>
      <c r="B4302" s="34">
        <v>400.86900000000003</v>
      </c>
      <c r="C4302" s="35">
        <v>8598.1</v>
      </c>
      <c r="D4302" s="33" t="s">
        <v>236</v>
      </c>
      <c r="E4302" s="34">
        <v>400.75799999999998</v>
      </c>
      <c r="F4302" s="36">
        <v>0.11100000000004701</v>
      </c>
      <c r="G4302" s="34">
        <v>0.11100000000004701</v>
      </c>
      <c r="H4302" s="35">
        <v>54</v>
      </c>
      <c r="I4302" s="37">
        <f t="shared" si="67"/>
        <v>6.280457310336004E-3</v>
      </c>
      <c r="J4302" s="33"/>
    </row>
    <row r="4303" spans="1:10">
      <c r="A4303" s="33" t="s">
        <v>173</v>
      </c>
      <c r="B4303" s="34">
        <v>400.86900000000003</v>
      </c>
      <c r="C4303" s="35">
        <v>8598.1</v>
      </c>
      <c r="D4303" s="33" t="s">
        <v>25</v>
      </c>
      <c r="E4303" s="34">
        <v>400.75900000000001</v>
      </c>
      <c r="F4303" s="36">
        <v>0.110000000000014</v>
      </c>
      <c r="G4303" s="34">
        <v>0.110000000000014</v>
      </c>
      <c r="H4303" s="35">
        <v>948</v>
      </c>
      <c r="I4303" s="37">
        <f t="shared" si="67"/>
        <v>0.11025691722589874</v>
      </c>
      <c r="J4303" s="33" t="s">
        <v>116</v>
      </c>
    </row>
    <row r="4304" spans="1:10">
      <c r="A4304" s="33" t="s">
        <v>173</v>
      </c>
      <c r="B4304" s="34">
        <v>400.86900000000003</v>
      </c>
      <c r="C4304" s="35">
        <v>8598.1</v>
      </c>
      <c r="D4304" s="33" t="s">
        <v>33</v>
      </c>
      <c r="E4304" s="34">
        <v>400.77600000000001</v>
      </c>
      <c r="F4304" s="36">
        <v>9.3000000000017694E-2</v>
      </c>
      <c r="G4304" s="34">
        <v>9.3000000000017694E-2</v>
      </c>
      <c r="H4304" s="35">
        <v>144</v>
      </c>
      <c r="I4304" s="37">
        <f t="shared" si="67"/>
        <v>1.6747886160896012E-2</v>
      </c>
      <c r="J4304" s="33" t="s">
        <v>116</v>
      </c>
    </row>
    <row r="4305" spans="1:10">
      <c r="A4305" s="33" t="s">
        <v>173</v>
      </c>
      <c r="B4305" s="34">
        <v>400.86900000000003</v>
      </c>
      <c r="C4305" s="35">
        <v>8598.1</v>
      </c>
      <c r="D4305" s="33" t="s">
        <v>84</v>
      </c>
      <c r="E4305" s="34">
        <v>400.79599999999999</v>
      </c>
      <c r="F4305" s="36">
        <v>7.2999999999999995E-2</v>
      </c>
      <c r="G4305" s="34">
        <v>7.2999999999999995E-2</v>
      </c>
      <c r="H4305" s="35">
        <v>2016.5</v>
      </c>
      <c r="I4305" s="37">
        <f t="shared" si="67"/>
        <v>0.23452855863504726</v>
      </c>
      <c r="J4305" s="33" t="s">
        <v>116</v>
      </c>
    </row>
    <row r="4306" spans="1:10">
      <c r="A4306" s="33" t="s">
        <v>173</v>
      </c>
      <c r="B4306" s="34">
        <v>400.86900000000003</v>
      </c>
      <c r="C4306" s="35">
        <v>8598.1</v>
      </c>
      <c r="D4306" s="33" t="s">
        <v>240</v>
      </c>
      <c r="E4306" s="34">
        <v>400.80200000000002</v>
      </c>
      <c r="F4306" s="36">
        <v>6.7000000000007304E-2</v>
      </c>
      <c r="G4306" s="34">
        <v>6.7000000000007304E-2</v>
      </c>
      <c r="H4306" s="35">
        <v>27</v>
      </c>
      <c r="I4306" s="37">
        <f t="shared" si="67"/>
        <v>3.140228655168002E-3</v>
      </c>
      <c r="J4306" s="33"/>
    </row>
    <row r="4307" spans="1:10">
      <c r="A4307" s="33" t="s">
        <v>173</v>
      </c>
      <c r="B4307" s="34">
        <v>400.86900000000003</v>
      </c>
      <c r="C4307" s="35">
        <v>8598.1</v>
      </c>
      <c r="D4307" s="33" t="s">
        <v>275</v>
      </c>
      <c r="E4307" s="34">
        <v>400.80500000000001</v>
      </c>
      <c r="F4307" s="36">
        <v>6.4000000000021401E-2</v>
      </c>
      <c r="G4307" s="34">
        <v>6.4000000000021401E-2</v>
      </c>
      <c r="H4307" s="35">
        <v>25</v>
      </c>
      <c r="I4307" s="37">
        <f t="shared" si="67"/>
        <v>2.9076191251555575E-3</v>
      </c>
      <c r="J4307" s="33"/>
    </row>
    <row r="4308" spans="1:10">
      <c r="A4308" s="33" t="s">
        <v>173</v>
      </c>
      <c r="B4308" s="34">
        <v>400.86900000000003</v>
      </c>
      <c r="C4308" s="35">
        <v>8598.1</v>
      </c>
      <c r="D4308" s="33" t="s">
        <v>278</v>
      </c>
      <c r="E4308" s="34">
        <v>400.81700000000001</v>
      </c>
      <c r="F4308" s="36">
        <v>5.2000000000020898E-2</v>
      </c>
      <c r="G4308" s="34">
        <v>5.2000000000020898E-2</v>
      </c>
      <c r="H4308" s="35">
        <v>73.099999999999994</v>
      </c>
      <c r="I4308" s="37">
        <f t="shared" si="67"/>
        <v>8.5018783219548491E-3</v>
      </c>
      <c r="J4308" s="33"/>
    </row>
    <row r="4309" spans="1:10">
      <c r="A4309" s="33" t="s">
        <v>173</v>
      </c>
      <c r="B4309" s="34">
        <v>400.86900000000003</v>
      </c>
      <c r="C4309" s="35">
        <v>8598.1</v>
      </c>
      <c r="D4309" s="33" t="s">
        <v>268</v>
      </c>
      <c r="E4309" s="34">
        <v>400.827</v>
      </c>
      <c r="F4309" s="36">
        <v>4.2000000000029999E-2</v>
      </c>
      <c r="G4309" s="34">
        <v>4.2000000000029999E-2</v>
      </c>
      <c r="H4309" s="35">
        <v>8.6999999999999993</v>
      </c>
      <c r="I4309" s="37">
        <f t="shared" si="67"/>
        <v>1.0118514555541339E-3</v>
      </c>
      <c r="J4309" s="33"/>
    </row>
    <row r="4310" spans="1:10">
      <c r="A4310" s="33" t="s">
        <v>173</v>
      </c>
      <c r="B4310" s="34">
        <v>400.86900000000003</v>
      </c>
      <c r="C4310" s="35">
        <v>8598.1</v>
      </c>
      <c r="D4310" s="33" t="s">
        <v>270</v>
      </c>
      <c r="E4310" s="34">
        <v>400.83300000000003</v>
      </c>
      <c r="F4310" s="36">
        <v>3.6000000000001399E-2</v>
      </c>
      <c r="G4310" s="34">
        <v>3.6000000000001399E-2</v>
      </c>
      <c r="H4310" s="35">
        <v>576.4</v>
      </c>
      <c r="I4310" s="37">
        <f t="shared" si="67"/>
        <v>6.7038066549586536E-2</v>
      </c>
      <c r="J4310" s="33"/>
    </row>
    <row r="4311" spans="1:10">
      <c r="A4311" s="33" t="s">
        <v>173</v>
      </c>
      <c r="B4311" s="34">
        <v>400.86900000000003</v>
      </c>
      <c r="C4311" s="35">
        <v>8598.1</v>
      </c>
      <c r="D4311" s="33" t="s">
        <v>269</v>
      </c>
      <c r="E4311" s="34">
        <v>400.846</v>
      </c>
      <c r="F4311" s="36">
        <v>2.3000000000024601E-2</v>
      </c>
      <c r="G4311" s="34">
        <v>2.3000000000024601E-2</v>
      </c>
      <c r="H4311" s="35">
        <v>100.6</v>
      </c>
      <c r="I4311" s="37">
        <f t="shared" si="67"/>
        <v>1.1700259359625962E-2</v>
      </c>
      <c r="J4311" s="33"/>
    </row>
    <row r="4312" spans="1:10">
      <c r="A4312" s="33" t="s">
        <v>173</v>
      </c>
      <c r="B4312" s="34">
        <v>400.86900000000003</v>
      </c>
      <c r="C4312" s="35">
        <v>8598.1</v>
      </c>
      <c r="D4312" s="33" t="s">
        <v>275</v>
      </c>
      <c r="E4312" s="34">
        <v>400.85</v>
      </c>
      <c r="F4312" s="36">
        <v>1.9000000000005499E-2</v>
      </c>
      <c r="G4312" s="34">
        <v>1.9000000000005499E-2</v>
      </c>
      <c r="H4312" s="35">
        <v>10</v>
      </c>
      <c r="I4312" s="37">
        <f t="shared" si="67"/>
        <v>1.163047650062223E-3</v>
      </c>
      <c r="J4312" s="33"/>
    </row>
    <row r="4313" spans="1:10">
      <c r="A4313" s="33" t="s">
        <v>173</v>
      </c>
      <c r="B4313" s="34">
        <v>400.86900000000003</v>
      </c>
      <c r="C4313" s="35">
        <v>8598.1</v>
      </c>
      <c r="D4313" s="33" t="s">
        <v>25</v>
      </c>
      <c r="E4313" s="34">
        <v>400.86700000000002</v>
      </c>
      <c r="F4313" s="36">
        <v>2.0000000000095501E-3</v>
      </c>
      <c r="G4313" s="34">
        <v>2.0000000000095501E-3</v>
      </c>
      <c r="H4313" s="35">
        <v>206.3</v>
      </c>
      <c r="I4313" s="37">
        <f t="shared" si="67"/>
        <v>2.3993673020783663E-2</v>
      </c>
      <c r="J4313" s="33" t="s">
        <v>116</v>
      </c>
    </row>
    <row r="4314" spans="1:10">
      <c r="A4314" s="33" t="s">
        <v>173</v>
      </c>
      <c r="B4314" s="34">
        <v>400.86900000000003</v>
      </c>
      <c r="C4314" s="35">
        <v>8598.1</v>
      </c>
      <c r="D4314" s="33" t="s">
        <v>27</v>
      </c>
      <c r="E4314" s="34">
        <v>400.875</v>
      </c>
      <c r="F4314" s="36">
        <v>5.99999999997181E-3</v>
      </c>
      <c r="G4314" s="34">
        <v>5.99999999997181E-3</v>
      </c>
      <c r="H4314" s="35">
        <v>703.5</v>
      </c>
      <c r="I4314" s="37">
        <f t="shared" si="67"/>
        <v>8.1820402181877389E-2</v>
      </c>
      <c r="J4314" s="33" t="s">
        <v>116</v>
      </c>
    </row>
    <row r="4315" spans="1:10">
      <c r="A4315" s="33" t="s">
        <v>173</v>
      </c>
      <c r="B4315" s="34">
        <v>400.86900000000003</v>
      </c>
      <c r="C4315" s="35">
        <v>8598.1</v>
      </c>
      <c r="D4315" s="33" t="s">
        <v>274</v>
      </c>
      <c r="E4315" s="34">
        <v>400.875</v>
      </c>
      <c r="F4315" s="36">
        <v>5.99999999997181E-3</v>
      </c>
      <c r="G4315" s="34">
        <v>5.99999999997181E-3</v>
      </c>
      <c r="H4315" s="35">
        <v>1030</v>
      </c>
      <c r="I4315" s="37">
        <f t="shared" si="67"/>
        <v>0.11979390795640897</v>
      </c>
      <c r="J4315" s="33"/>
    </row>
    <row r="4316" spans="1:10">
      <c r="A4316" s="33" t="s">
        <v>173</v>
      </c>
      <c r="B4316" s="34">
        <v>400.86900000000003</v>
      </c>
      <c r="C4316" s="35">
        <v>8598.1</v>
      </c>
      <c r="D4316" s="33" t="s">
        <v>36</v>
      </c>
      <c r="E4316" s="34">
        <v>400.89100000000002</v>
      </c>
      <c r="F4316" s="36">
        <v>2.1999999999999999E-2</v>
      </c>
      <c r="G4316" s="34">
        <v>2.1999999999999999E-2</v>
      </c>
      <c r="H4316" s="35">
        <v>1211.0999999999999</v>
      </c>
      <c r="I4316" s="37">
        <f t="shared" si="67"/>
        <v>0.14085670089903582</v>
      </c>
      <c r="J4316" s="33" t="s">
        <v>116</v>
      </c>
    </row>
    <row r="4317" spans="1:10">
      <c r="A4317" s="33" t="s">
        <v>173</v>
      </c>
      <c r="B4317" s="34">
        <v>400.86900000000003</v>
      </c>
      <c r="C4317" s="35">
        <v>8598.1</v>
      </c>
      <c r="D4317" s="33" t="s">
        <v>237</v>
      </c>
      <c r="E4317" s="34">
        <v>400.89299999999997</v>
      </c>
      <c r="F4317" s="36">
        <v>2.3999999999944101E-2</v>
      </c>
      <c r="G4317" s="34">
        <v>2.3999999999944101E-2</v>
      </c>
      <c r="H4317" s="35">
        <v>270</v>
      </c>
      <c r="I4317" s="37">
        <f t="shared" si="67"/>
        <v>3.1402286551680023E-2</v>
      </c>
      <c r="J4317" s="33"/>
    </row>
    <row r="4318" spans="1:10">
      <c r="A4318" s="33" t="s">
        <v>173</v>
      </c>
      <c r="B4318" s="34">
        <v>400.86900000000003</v>
      </c>
      <c r="C4318" s="35">
        <v>8598.1</v>
      </c>
      <c r="D4318" s="33" t="s">
        <v>25</v>
      </c>
      <c r="E4318" s="34">
        <v>400.90600000000001</v>
      </c>
      <c r="F4318" s="36">
        <v>3.6999999999977697E-2</v>
      </c>
      <c r="G4318" s="34">
        <v>3.6999999999977697E-2</v>
      </c>
      <c r="H4318" s="35">
        <v>186.8</v>
      </c>
      <c r="I4318" s="37">
        <f t="shared" si="67"/>
        <v>2.1725730103162328E-2</v>
      </c>
      <c r="J4318" s="33" t="s">
        <v>116</v>
      </c>
    </row>
    <row r="4319" spans="1:10">
      <c r="A4319" s="33" t="s">
        <v>173</v>
      </c>
      <c r="B4319" s="34">
        <v>400.86900000000003</v>
      </c>
      <c r="C4319" s="35">
        <v>8598.1</v>
      </c>
      <c r="D4319" s="33" t="s">
        <v>84</v>
      </c>
      <c r="E4319" s="34">
        <v>400.916</v>
      </c>
      <c r="F4319" s="36">
        <v>4.7E-2</v>
      </c>
      <c r="G4319" s="34">
        <v>4.7E-2</v>
      </c>
      <c r="H4319" s="35">
        <v>1028.2</v>
      </c>
      <c r="I4319" s="37">
        <f t="shared" si="67"/>
        <v>0.11958455937939777</v>
      </c>
      <c r="J4319" s="33" t="s">
        <v>116</v>
      </c>
    </row>
    <row r="4320" spans="1:10">
      <c r="A4320" s="33" t="s">
        <v>173</v>
      </c>
      <c r="B4320" s="34">
        <v>400.86900000000003</v>
      </c>
      <c r="C4320" s="35">
        <v>8598.1</v>
      </c>
      <c r="D4320" s="33" t="s">
        <v>277</v>
      </c>
      <c r="E4320" s="34">
        <v>400.91699999999997</v>
      </c>
      <c r="F4320" s="36">
        <v>4.7999999999945003E-2</v>
      </c>
      <c r="G4320" s="34">
        <v>4.7999999999945003E-2</v>
      </c>
      <c r="H4320" s="35">
        <v>166.7</v>
      </c>
      <c r="I4320" s="37">
        <f t="shared" si="67"/>
        <v>1.9388004326537256E-2</v>
      </c>
      <c r="J4320" s="33"/>
    </row>
    <row r="4321" spans="1:10">
      <c r="A4321" s="33" t="s">
        <v>173</v>
      </c>
      <c r="B4321" s="34">
        <v>400.86900000000003</v>
      </c>
      <c r="C4321" s="35">
        <v>8598.1</v>
      </c>
      <c r="D4321" s="33" t="s">
        <v>36</v>
      </c>
      <c r="E4321" s="34">
        <v>400.92200000000003</v>
      </c>
      <c r="F4321" s="36">
        <v>5.2999999999999999E-2</v>
      </c>
      <c r="G4321" s="34">
        <v>5.2999999999999999E-2</v>
      </c>
      <c r="H4321" s="35">
        <v>613.9</v>
      </c>
      <c r="I4321" s="37">
        <f t="shared" si="67"/>
        <v>7.1399495237319865E-2</v>
      </c>
      <c r="J4321" s="33" t="s">
        <v>116</v>
      </c>
    </row>
    <row r="4322" spans="1:10">
      <c r="A4322" s="33" t="s">
        <v>173</v>
      </c>
      <c r="B4322" s="34">
        <v>400.86900000000003</v>
      </c>
      <c r="C4322" s="35">
        <v>8598.1</v>
      </c>
      <c r="D4322" s="33" t="s">
        <v>275</v>
      </c>
      <c r="E4322" s="34">
        <v>400.93599999999998</v>
      </c>
      <c r="F4322" s="36">
        <v>6.6999999999950405E-2</v>
      </c>
      <c r="G4322" s="34">
        <v>6.6999999999950405E-2</v>
      </c>
      <c r="H4322" s="35">
        <v>7.2</v>
      </c>
      <c r="I4322" s="37">
        <f t="shared" si="67"/>
        <v>8.3739430804480059E-4</v>
      </c>
      <c r="J4322" s="33"/>
    </row>
    <row r="4323" spans="1:10">
      <c r="A4323" s="33" t="s">
        <v>173</v>
      </c>
      <c r="B4323" s="34">
        <v>400.86900000000003</v>
      </c>
      <c r="C4323" s="35">
        <v>8598.1</v>
      </c>
      <c r="D4323" s="33" t="s">
        <v>133</v>
      </c>
      <c r="E4323" s="34">
        <v>400.94799999999998</v>
      </c>
      <c r="F4323" s="36">
        <v>7.8999999999950901E-2</v>
      </c>
      <c r="G4323" s="34">
        <v>7.8999999999950901E-2</v>
      </c>
      <c r="H4323" s="35">
        <v>5.3</v>
      </c>
      <c r="I4323" s="37">
        <f t="shared" si="67"/>
        <v>6.1641525453297818E-4</v>
      </c>
      <c r="J4323" s="33"/>
    </row>
    <row r="4324" spans="1:10">
      <c r="A4324" s="33" t="s">
        <v>173</v>
      </c>
      <c r="B4324" s="34">
        <v>400.86900000000003</v>
      </c>
      <c r="C4324" s="35">
        <v>8598.1</v>
      </c>
      <c r="D4324" s="33" t="s">
        <v>237</v>
      </c>
      <c r="E4324" s="34">
        <v>400.96600000000001</v>
      </c>
      <c r="F4324" s="36">
        <v>9.6999999999980005E-2</v>
      </c>
      <c r="G4324" s="34">
        <v>9.6999999999980005E-2</v>
      </c>
      <c r="H4324" s="35">
        <v>51.4</v>
      </c>
      <c r="I4324" s="37">
        <f t="shared" si="67"/>
        <v>5.9780649213198259E-3</v>
      </c>
      <c r="J4324" s="33"/>
    </row>
    <row r="4325" spans="1:10">
      <c r="A4325" s="33" t="s">
        <v>173</v>
      </c>
      <c r="B4325" s="34">
        <v>400.86900000000003</v>
      </c>
      <c r="C4325" s="35">
        <v>8598.1</v>
      </c>
      <c r="D4325" s="33" t="s">
        <v>97</v>
      </c>
      <c r="E4325" s="34">
        <v>400.971</v>
      </c>
      <c r="F4325" s="36">
        <v>0.101999999999975</v>
      </c>
      <c r="G4325" s="34">
        <v>0.101999999999975</v>
      </c>
      <c r="H4325" s="35">
        <v>10.199999999999999</v>
      </c>
      <c r="I4325" s="37">
        <f t="shared" si="67"/>
        <v>1.1863086030634673E-3</v>
      </c>
      <c r="J4325" s="33"/>
    </row>
    <row r="4326" spans="1:10">
      <c r="A4326" s="33" t="s">
        <v>173</v>
      </c>
      <c r="B4326" s="34">
        <v>400.86900000000003</v>
      </c>
      <c r="C4326" s="35">
        <v>8598.1</v>
      </c>
      <c r="D4326" s="33" t="s">
        <v>268</v>
      </c>
      <c r="E4326" s="34">
        <v>400.99700000000001</v>
      </c>
      <c r="F4326" s="36">
        <v>0.12799999999998601</v>
      </c>
      <c r="G4326" s="34">
        <v>0.12799999999998601</v>
      </c>
      <c r="H4326" s="35">
        <v>29</v>
      </c>
      <c r="I4326" s="37">
        <f t="shared" si="67"/>
        <v>3.3728381851804469E-3</v>
      </c>
      <c r="J4326" s="33"/>
    </row>
    <row r="4327" spans="1:10">
      <c r="A4327" s="33" t="s">
        <v>173</v>
      </c>
      <c r="B4327" s="34">
        <v>400.86900000000003</v>
      </c>
      <c r="C4327" s="35">
        <v>8598.1</v>
      </c>
      <c r="D4327" s="33" t="s">
        <v>201</v>
      </c>
      <c r="E4327" s="34">
        <v>401.00400000000002</v>
      </c>
      <c r="F4327" s="36">
        <v>0.13499999999999099</v>
      </c>
      <c r="G4327" s="34">
        <v>0.13499999999999099</v>
      </c>
      <c r="H4327" s="35">
        <v>73</v>
      </c>
      <c r="I4327" s="37">
        <f t="shared" si="67"/>
        <v>8.4902478454542286E-3</v>
      </c>
      <c r="J4327" s="33"/>
    </row>
    <row r="4328" spans="1:10">
      <c r="A4328" s="33" t="s">
        <v>173</v>
      </c>
      <c r="B4328" s="34">
        <v>400.86900000000003</v>
      </c>
      <c r="C4328" s="35">
        <v>8598.1</v>
      </c>
      <c r="D4328" s="33" t="s">
        <v>33</v>
      </c>
      <c r="E4328" s="34">
        <v>401.00599999999997</v>
      </c>
      <c r="F4328" s="36">
        <v>0.136999999999944</v>
      </c>
      <c r="G4328" s="34">
        <v>0.136999999999944</v>
      </c>
      <c r="H4328" s="35">
        <v>303.89999999999998</v>
      </c>
      <c r="I4328" s="37">
        <f t="shared" si="67"/>
        <v>3.5345018085390957E-2</v>
      </c>
      <c r="J4328" s="33" t="s">
        <v>116</v>
      </c>
    </row>
    <row r="4329" spans="1:10">
      <c r="A4329" s="33" t="s">
        <v>173</v>
      </c>
      <c r="B4329" s="34">
        <v>400.86900000000003</v>
      </c>
      <c r="C4329" s="35">
        <v>8598.1</v>
      </c>
      <c r="D4329" s="33" t="s">
        <v>54</v>
      </c>
      <c r="E4329" s="34">
        <v>401.00700000000001</v>
      </c>
      <c r="F4329" s="36">
        <v>0.137999999999977</v>
      </c>
      <c r="G4329" s="34">
        <v>0.137999999999977</v>
      </c>
      <c r="H4329" s="35">
        <v>1.3</v>
      </c>
      <c r="I4329" s="37">
        <f t="shared" si="67"/>
        <v>1.51196194508089E-4</v>
      </c>
      <c r="J4329" s="33"/>
    </row>
    <row r="4330" spans="1:10">
      <c r="A4330" s="33" t="s">
        <v>173</v>
      </c>
      <c r="B4330" s="34">
        <v>400.86900000000003</v>
      </c>
      <c r="C4330" s="35">
        <v>8598.1</v>
      </c>
      <c r="D4330" s="33" t="s">
        <v>25</v>
      </c>
      <c r="E4330" s="34">
        <v>401.01400000000001</v>
      </c>
      <c r="F4330" s="36">
        <v>0.144999999999982</v>
      </c>
      <c r="G4330" s="34">
        <v>0.144999999999982</v>
      </c>
      <c r="H4330" s="35">
        <v>358.3</v>
      </c>
      <c r="I4330" s="37">
        <f t="shared" si="67"/>
        <v>4.1671997301729449E-2</v>
      </c>
      <c r="J4330" s="33" t="s">
        <v>116</v>
      </c>
    </row>
    <row r="4331" spans="1:10">
      <c r="A4331" s="33" t="s">
        <v>173</v>
      </c>
      <c r="B4331" s="34">
        <v>400.86900000000003</v>
      </c>
      <c r="C4331" s="35">
        <v>8598.1</v>
      </c>
      <c r="D4331" s="33" t="s">
        <v>274</v>
      </c>
      <c r="E4331" s="34">
        <v>401.03800000000001</v>
      </c>
      <c r="F4331" s="36">
        <v>0.168999999999983</v>
      </c>
      <c r="G4331" s="34">
        <v>0.168999999999983</v>
      </c>
      <c r="H4331" s="35">
        <v>42</v>
      </c>
      <c r="I4331" s="37">
        <f t="shared" si="67"/>
        <v>4.8848001302613363E-3</v>
      </c>
      <c r="J4331" s="33"/>
    </row>
    <row r="4332" spans="1:10">
      <c r="A4332" s="33" t="s">
        <v>173</v>
      </c>
      <c r="B4332" s="34">
        <v>400.86900000000003</v>
      </c>
      <c r="C4332" s="35">
        <v>8598.1</v>
      </c>
      <c r="D4332" s="33" t="s">
        <v>27</v>
      </c>
      <c r="E4332" s="34">
        <v>401.04500000000002</v>
      </c>
      <c r="F4332" s="36">
        <v>0.175999999999988</v>
      </c>
      <c r="G4332" s="34">
        <v>0.175999999999988</v>
      </c>
      <c r="H4332" s="35">
        <v>470.4</v>
      </c>
      <c r="I4332" s="37">
        <f t="shared" si="67"/>
        <v>5.4709761458926968E-2</v>
      </c>
      <c r="J4332" s="33" t="s">
        <v>116</v>
      </c>
    </row>
    <row r="4333" spans="1:10">
      <c r="A4333" s="33" t="s">
        <v>173</v>
      </c>
      <c r="B4333" s="34">
        <v>400.86900000000003</v>
      </c>
      <c r="C4333" s="35">
        <v>8598.1</v>
      </c>
      <c r="D4333" s="33" t="s">
        <v>173</v>
      </c>
      <c r="E4333" s="34">
        <v>401.06</v>
      </c>
      <c r="F4333" s="36">
        <v>0.190999999999974</v>
      </c>
      <c r="G4333" s="34">
        <v>0.190999999999974</v>
      </c>
      <c r="H4333" s="35">
        <v>2390.3000000000002</v>
      </c>
      <c r="I4333" s="37">
        <f t="shared" si="67"/>
        <v>0.27800327979437317</v>
      </c>
      <c r="J4333" s="33"/>
    </row>
    <row r="4334" spans="1:10">
      <c r="A4334" s="33" t="s">
        <v>173</v>
      </c>
      <c r="B4334" s="34">
        <v>406.28100000000001</v>
      </c>
      <c r="C4334" s="35">
        <v>13744.9</v>
      </c>
      <c r="D4334" s="33" t="s">
        <v>27</v>
      </c>
      <c r="E4334" s="34">
        <v>406.108</v>
      </c>
      <c r="F4334" s="36">
        <v>0.17300000000000201</v>
      </c>
      <c r="G4334" s="34">
        <v>0.17300000000000201</v>
      </c>
      <c r="H4334" s="35">
        <v>20406.900000000001</v>
      </c>
      <c r="I4334" s="37">
        <f t="shared" si="67"/>
        <v>1.484688866415907</v>
      </c>
      <c r="J4334" s="33" t="s">
        <v>116</v>
      </c>
    </row>
    <row r="4335" spans="1:10">
      <c r="A4335" s="33" t="s">
        <v>173</v>
      </c>
      <c r="B4335" s="34">
        <v>406.28100000000001</v>
      </c>
      <c r="C4335" s="35">
        <v>13744.9</v>
      </c>
      <c r="D4335" s="33" t="s">
        <v>36</v>
      </c>
      <c r="E4335" s="34">
        <v>406.12900000000002</v>
      </c>
      <c r="F4335" s="36">
        <v>0.152</v>
      </c>
      <c r="G4335" s="34">
        <v>0.152</v>
      </c>
      <c r="H4335" s="35">
        <v>61.2</v>
      </c>
      <c r="I4335" s="37">
        <f t="shared" si="67"/>
        <v>4.452560586108302E-3</v>
      </c>
      <c r="J4335" s="33" t="s">
        <v>116</v>
      </c>
    </row>
    <row r="4336" spans="1:10">
      <c r="A4336" s="33" t="s">
        <v>173</v>
      </c>
      <c r="B4336" s="34">
        <v>406.28100000000001</v>
      </c>
      <c r="C4336" s="35">
        <v>13744.9</v>
      </c>
      <c r="D4336" s="33" t="s">
        <v>173</v>
      </c>
      <c r="E4336" s="34">
        <v>406.13200000000001</v>
      </c>
      <c r="F4336" s="36">
        <v>0.14900000000000099</v>
      </c>
      <c r="G4336" s="34">
        <v>0.14900000000000099</v>
      </c>
      <c r="H4336" s="35">
        <v>386.3</v>
      </c>
      <c r="I4336" s="37">
        <f t="shared" si="67"/>
        <v>2.8104969843360084E-2</v>
      </c>
      <c r="J4336" s="33"/>
    </row>
    <row r="4337" spans="1:10">
      <c r="A4337" s="33" t="s">
        <v>173</v>
      </c>
      <c r="B4337" s="34">
        <v>406.28100000000001</v>
      </c>
      <c r="C4337" s="35">
        <v>13744.9</v>
      </c>
      <c r="D4337" s="33" t="s">
        <v>193</v>
      </c>
      <c r="E4337" s="34">
        <v>406.13799999999998</v>
      </c>
      <c r="F4337" s="36">
        <v>0.14300000000002899</v>
      </c>
      <c r="G4337" s="34">
        <v>0.14300000000002899</v>
      </c>
      <c r="H4337" s="35">
        <v>65</v>
      </c>
      <c r="I4337" s="37">
        <f t="shared" si="67"/>
        <v>4.7290267662914972E-3</v>
      </c>
      <c r="J4337" s="33"/>
    </row>
    <row r="4338" spans="1:10">
      <c r="A4338" s="33" t="s">
        <v>173</v>
      </c>
      <c r="B4338" s="34">
        <v>406.28100000000001</v>
      </c>
      <c r="C4338" s="35">
        <v>13744.9</v>
      </c>
      <c r="D4338" s="33" t="s">
        <v>25</v>
      </c>
      <c r="E4338" s="34">
        <v>406.14100000000002</v>
      </c>
      <c r="F4338" s="36">
        <v>0.139999999999986</v>
      </c>
      <c r="G4338" s="34">
        <v>0.139999999999986</v>
      </c>
      <c r="H4338" s="35">
        <v>122.8</v>
      </c>
      <c r="I4338" s="37">
        <f t="shared" si="67"/>
        <v>8.9342228753937821E-3</v>
      </c>
      <c r="J4338" s="33" t="s">
        <v>116</v>
      </c>
    </row>
    <row r="4339" spans="1:10">
      <c r="A4339" s="33" t="s">
        <v>173</v>
      </c>
      <c r="B4339" s="34">
        <v>406.28100000000001</v>
      </c>
      <c r="C4339" s="35">
        <v>13744.9</v>
      </c>
      <c r="D4339" s="33" t="s">
        <v>236</v>
      </c>
      <c r="E4339" s="34">
        <v>406.15100000000001</v>
      </c>
      <c r="F4339" s="36">
        <v>0.12999999999999601</v>
      </c>
      <c r="G4339" s="34">
        <v>0.12999999999999601</v>
      </c>
      <c r="H4339" s="35">
        <v>76.900000000000006</v>
      </c>
      <c r="I4339" s="37">
        <f t="shared" si="67"/>
        <v>5.5948024358125565E-3</v>
      </c>
      <c r="J4339" s="33"/>
    </row>
    <row r="4340" spans="1:10">
      <c r="A4340" s="33" t="s">
        <v>173</v>
      </c>
      <c r="B4340" s="34">
        <v>406.28100000000001</v>
      </c>
      <c r="C4340" s="35">
        <v>13744.9</v>
      </c>
      <c r="D4340" s="33" t="s">
        <v>201</v>
      </c>
      <c r="E4340" s="34">
        <v>406.15800000000002</v>
      </c>
      <c r="F4340" s="36">
        <v>0.12299999999999101</v>
      </c>
      <c r="G4340" s="34">
        <v>0.12299999999999101</v>
      </c>
      <c r="H4340" s="35">
        <v>316.3</v>
      </c>
      <c r="I4340" s="37">
        <f t="shared" si="67"/>
        <v>2.3012171787353857E-2</v>
      </c>
      <c r="J4340" s="33"/>
    </row>
    <row r="4341" spans="1:10">
      <c r="A4341" s="33" t="s">
        <v>173</v>
      </c>
      <c r="B4341" s="34">
        <v>406.28100000000001</v>
      </c>
      <c r="C4341" s="35">
        <v>13744.9</v>
      </c>
      <c r="D4341" s="33" t="s">
        <v>116</v>
      </c>
      <c r="E4341" s="34">
        <v>406.166</v>
      </c>
      <c r="F4341" s="36">
        <v>0.115</v>
      </c>
      <c r="G4341" s="34">
        <v>0.115</v>
      </c>
      <c r="H4341" s="35">
        <v>101.1</v>
      </c>
      <c r="I4341" s="37">
        <f t="shared" si="67"/>
        <v>7.3554554780318514E-3</v>
      </c>
      <c r="J4341" s="33" t="s">
        <v>116</v>
      </c>
    </row>
    <row r="4342" spans="1:10">
      <c r="A4342" s="33" t="s">
        <v>173</v>
      </c>
      <c r="B4342" s="34">
        <v>406.28100000000001</v>
      </c>
      <c r="C4342" s="35">
        <v>13744.9</v>
      </c>
      <c r="D4342" s="33" t="s">
        <v>240</v>
      </c>
      <c r="E4342" s="34">
        <v>406.173</v>
      </c>
      <c r="F4342" s="36">
        <v>0.108000000000004</v>
      </c>
      <c r="G4342" s="34">
        <v>0.108000000000004</v>
      </c>
      <c r="H4342" s="35">
        <v>49.5</v>
      </c>
      <c r="I4342" s="37">
        <f t="shared" si="67"/>
        <v>3.6013357681758326E-3</v>
      </c>
      <c r="J4342" s="33"/>
    </row>
    <row r="4343" spans="1:10">
      <c r="A4343" s="33" t="s">
        <v>173</v>
      </c>
      <c r="B4343" s="34">
        <v>406.28100000000001</v>
      </c>
      <c r="C4343" s="35">
        <v>13744.9</v>
      </c>
      <c r="D4343" s="33" t="s">
        <v>277</v>
      </c>
      <c r="E4343" s="34">
        <v>406.17500000000001</v>
      </c>
      <c r="F4343" s="36">
        <v>0.105999999999995</v>
      </c>
      <c r="G4343" s="34">
        <v>0.105999999999995</v>
      </c>
      <c r="H4343" s="35">
        <v>97.7</v>
      </c>
      <c r="I4343" s="37">
        <f t="shared" si="67"/>
        <v>7.1080910010258352E-3</v>
      </c>
      <c r="J4343" s="33"/>
    </row>
    <row r="4344" spans="1:10">
      <c r="A4344" s="33" t="s">
        <v>173</v>
      </c>
      <c r="B4344" s="34">
        <v>406.28100000000001</v>
      </c>
      <c r="C4344" s="35">
        <v>13744.9</v>
      </c>
      <c r="D4344" s="33" t="s">
        <v>279</v>
      </c>
      <c r="E4344" s="34">
        <v>406.18599999999998</v>
      </c>
      <c r="F4344" s="36">
        <v>9.5000000000027299E-2</v>
      </c>
      <c r="G4344" s="34">
        <v>9.5000000000027299E-2</v>
      </c>
      <c r="H4344" s="35">
        <v>2</v>
      </c>
      <c r="I4344" s="37">
        <f t="shared" si="67"/>
        <v>1.4550851588589222E-4</v>
      </c>
      <c r="J4344" s="33"/>
    </row>
    <row r="4345" spans="1:10">
      <c r="A4345" s="33" t="s">
        <v>173</v>
      </c>
      <c r="B4345" s="34">
        <v>406.28100000000001</v>
      </c>
      <c r="C4345" s="35">
        <v>13744.9</v>
      </c>
      <c r="D4345" s="33" t="s">
        <v>273</v>
      </c>
      <c r="E4345" s="34">
        <v>406.19799999999998</v>
      </c>
      <c r="F4345" s="36">
        <v>8.3000000000026802E-2</v>
      </c>
      <c r="G4345" s="34">
        <v>8.3000000000026802E-2</v>
      </c>
      <c r="H4345" s="35">
        <v>285.60000000000002</v>
      </c>
      <c r="I4345" s="37">
        <f t="shared" si="67"/>
        <v>2.0778616068505413E-2</v>
      </c>
      <c r="J4345" s="33"/>
    </row>
    <row r="4346" spans="1:10">
      <c r="A4346" s="33" t="s">
        <v>173</v>
      </c>
      <c r="B4346" s="34">
        <v>406.28100000000001</v>
      </c>
      <c r="C4346" s="35">
        <v>13744.9</v>
      </c>
      <c r="D4346" s="33" t="s">
        <v>275</v>
      </c>
      <c r="E4346" s="34">
        <v>406.20800000000003</v>
      </c>
      <c r="F4346" s="36">
        <v>7.2999999999979095E-2</v>
      </c>
      <c r="G4346" s="34">
        <v>7.2999999999979095E-2</v>
      </c>
      <c r="H4346" s="35">
        <v>131.9</v>
      </c>
      <c r="I4346" s="37">
        <f t="shared" si="67"/>
        <v>9.5962866226745932E-3</v>
      </c>
      <c r="J4346" s="33"/>
    </row>
    <row r="4347" spans="1:10">
      <c r="A4347" s="33" t="s">
        <v>173</v>
      </c>
      <c r="B4347" s="34">
        <v>406.28100000000001</v>
      </c>
      <c r="C4347" s="35">
        <v>13744.9</v>
      </c>
      <c r="D4347" s="33" t="s">
        <v>300</v>
      </c>
      <c r="E4347" s="34">
        <v>406.214</v>
      </c>
      <c r="F4347" s="36">
        <v>6.7000000000007304E-2</v>
      </c>
      <c r="G4347" s="34">
        <v>6.7000000000007304E-2</v>
      </c>
      <c r="H4347" s="35">
        <v>29.6</v>
      </c>
      <c r="I4347" s="37">
        <f t="shared" si="67"/>
        <v>2.153526035111205E-3</v>
      </c>
      <c r="J4347" s="33"/>
    </row>
    <row r="4348" spans="1:10">
      <c r="A4348" s="33" t="s">
        <v>173</v>
      </c>
      <c r="B4348" s="34">
        <v>406.28100000000001</v>
      </c>
      <c r="C4348" s="35">
        <v>13744.9</v>
      </c>
      <c r="D4348" s="33" t="s">
        <v>25</v>
      </c>
      <c r="E4348" s="34">
        <v>406.22199999999998</v>
      </c>
      <c r="F4348" s="36">
        <v>5.90000000000259E-2</v>
      </c>
      <c r="G4348" s="34">
        <v>5.90000000000259E-2</v>
      </c>
      <c r="H4348" s="35">
        <v>2307</v>
      </c>
      <c r="I4348" s="37">
        <f t="shared" si="67"/>
        <v>0.16784407307437668</v>
      </c>
      <c r="J4348" s="33" t="s">
        <v>116</v>
      </c>
    </row>
    <row r="4349" spans="1:10">
      <c r="A4349" s="33" t="s">
        <v>173</v>
      </c>
      <c r="B4349" s="34">
        <v>406.28100000000001</v>
      </c>
      <c r="C4349" s="35">
        <v>13744.9</v>
      </c>
      <c r="D4349" s="33" t="s">
        <v>173</v>
      </c>
      <c r="E4349" s="34">
        <v>406.22199999999998</v>
      </c>
      <c r="F4349" s="36">
        <v>5.90000000000259E-2</v>
      </c>
      <c r="G4349" s="34">
        <v>5.90000000000259E-2</v>
      </c>
      <c r="H4349" s="35">
        <v>1436.9</v>
      </c>
      <c r="I4349" s="37">
        <f t="shared" si="67"/>
        <v>0.10454059323821928</v>
      </c>
      <c r="J4349" s="33"/>
    </row>
    <row r="4350" spans="1:10">
      <c r="A4350" s="33" t="s">
        <v>173</v>
      </c>
      <c r="B4350" s="34">
        <v>406.28100000000001</v>
      </c>
      <c r="C4350" s="35">
        <v>13744.9</v>
      </c>
      <c r="D4350" s="33" t="s">
        <v>97</v>
      </c>
      <c r="E4350" s="34">
        <v>406.24400000000003</v>
      </c>
      <c r="F4350" s="36">
        <v>3.6999999999977697E-2</v>
      </c>
      <c r="G4350" s="34">
        <v>3.6999999999977697E-2</v>
      </c>
      <c r="H4350" s="35">
        <v>11.7</v>
      </c>
      <c r="I4350" s="37">
        <f t="shared" si="67"/>
        <v>8.5122481793246951E-4</v>
      </c>
      <c r="J4350" s="33"/>
    </row>
    <row r="4351" spans="1:10">
      <c r="A4351" s="33" t="s">
        <v>173</v>
      </c>
      <c r="B4351" s="34">
        <v>406.28100000000001</v>
      </c>
      <c r="C4351" s="35">
        <v>13744.9</v>
      </c>
      <c r="D4351" s="33" t="s">
        <v>277</v>
      </c>
      <c r="E4351" s="34">
        <v>406.25400000000002</v>
      </c>
      <c r="F4351" s="36">
        <v>2.6999999999986798E-2</v>
      </c>
      <c r="G4351" s="34">
        <v>2.6999999999986798E-2</v>
      </c>
      <c r="H4351" s="35">
        <v>1224.0999999999999</v>
      </c>
      <c r="I4351" s="37">
        <f t="shared" si="67"/>
        <v>8.905848714796033E-2</v>
      </c>
      <c r="J4351" s="33"/>
    </row>
    <row r="4352" spans="1:10">
      <c r="A4352" s="33" t="s">
        <v>173</v>
      </c>
      <c r="B4352" s="34">
        <v>406.28100000000001</v>
      </c>
      <c r="C4352" s="35">
        <v>13744.9</v>
      </c>
      <c r="D4352" s="33" t="s">
        <v>36</v>
      </c>
      <c r="E4352" s="34">
        <v>406.25900000000001</v>
      </c>
      <c r="F4352" s="36">
        <v>2.1999999999999999E-2</v>
      </c>
      <c r="G4352" s="34">
        <v>2.1999999999999999E-2</v>
      </c>
      <c r="H4352" s="35">
        <v>3226.9</v>
      </c>
      <c r="I4352" s="37">
        <f t="shared" si="67"/>
        <v>0.23477071495609281</v>
      </c>
      <c r="J4352" s="33" t="s">
        <v>116</v>
      </c>
    </row>
    <row r="4353" spans="1:10">
      <c r="A4353" s="33" t="s">
        <v>173</v>
      </c>
      <c r="B4353" s="34">
        <v>406.28100000000001</v>
      </c>
      <c r="C4353" s="35">
        <v>13744.9</v>
      </c>
      <c r="D4353" s="33" t="s">
        <v>286</v>
      </c>
      <c r="E4353" s="34">
        <v>406.26400000000001</v>
      </c>
      <c r="F4353" s="36">
        <v>1.69999999999959E-2</v>
      </c>
      <c r="G4353" s="34">
        <v>1.69999999999959E-2</v>
      </c>
      <c r="H4353" s="35">
        <v>101.2</v>
      </c>
      <c r="I4353" s="37">
        <f t="shared" si="67"/>
        <v>7.3627309038261472E-3</v>
      </c>
      <c r="J4353" s="33"/>
    </row>
    <row r="4354" spans="1:10">
      <c r="A4354" s="33" t="s">
        <v>173</v>
      </c>
      <c r="B4354" s="34">
        <v>406.28100000000001</v>
      </c>
      <c r="C4354" s="35">
        <v>13744.9</v>
      </c>
      <c r="D4354" s="33" t="s">
        <v>269</v>
      </c>
      <c r="E4354" s="34">
        <v>406.28300000000002</v>
      </c>
      <c r="F4354" s="36">
        <v>2.0000000000095501E-3</v>
      </c>
      <c r="G4354" s="34">
        <v>2.0000000000095501E-3</v>
      </c>
      <c r="H4354" s="35">
        <v>66.599999999999994</v>
      </c>
      <c r="I4354" s="37">
        <f t="shared" ref="I4354:I4417" si="68">H4354/C4354</f>
        <v>4.8454335790002103E-3</v>
      </c>
      <c r="J4354" s="33"/>
    </row>
    <row r="4355" spans="1:10">
      <c r="A4355" s="33" t="s">
        <v>173</v>
      </c>
      <c r="B4355" s="34">
        <v>406.28100000000001</v>
      </c>
      <c r="C4355" s="35">
        <v>13744.9</v>
      </c>
      <c r="D4355" s="33" t="s">
        <v>268</v>
      </c>
      <c r="E4355" s="34">
        <v>406.28500000000003</v>
      </c>
      <c r="F4355" s="36">
        <v>4.0000000000191003E-3</v>
      </c>
      <c r="G4355" s="34">
        <v>4.0000000000191003E-3</v>
      </c>
      <c r="H4355" s="35">
        <v>29</v>
      </c>
      <c r="I4355" s="37">
        <f t="shared" si="68"/>
        <v>2.1098734803454374E-3</v>
      </c>
      <c r="J4355" s="33"/>
    </row>
    <row r="4356" spans="1:10">
      <c r="A4356" s="33" t="s">
        <v>173</v>
      </c>
      <c r="B4356" s="34">
        <v>406.28100000000001</v>
      </c>
      <c r="C4356" s="35">
        <v>13744.9</v>
      </c>
      <c r="D4356" s="33" t="s">
        <v>25</v>
      </c>
      <c r="E4356" s="34">
        <v>406.29399999999998</v>
      </c>
      <c r="F4356" s="36">
        <v>1.2999999999976799E-2</v>
      </c>
      <c r="G4356" s="34">
        <v>1.2999999999976799E-2</v>
      </c>
      <c r="H4356" s="35">
        <v>1233</v>
      </c>
      <c r="I4356" s="37">
        <f t="shared" si="68"/>
        <v>8.9706000043652562E-2</v>
      </c>
      <c r="J4356" s="33" t="s">
        <v>116</v>
      </c>
    </row>
    <row r="4357" spans="1:10">
      <c r="A4357" s="33" t="s">
        <v>173</v>
      </c>
      <c r="B4357" s="34">
        <v>406.28100000000001</v>
      </c>
      <c r="C4357" s="35">
        <v>13744.9</v>
      </c>
      <c r="D4357" s="33" t="s">
        <v>36</v>
      </c>
      <c r="E4357" s="34">
        <v>406.33600000000001</v>
      </c>
      <c r="F4357" s="36">
        <v>5.5E-2</v>
      </c>
      <c r="G4357" s="34">
        <v>5.5E-2</v>
      </c>
      <c r="H4357" s="35">
        <v>10624.1</v>
      </c>
      <c r="I4357" s="37">
        <f t="shared" si="68"/>
        <v>0.7729485118116538</v>
      </c>
      <c r="J4357" s="33" t="s">
        <v>116</v>
      </c>
    </row>
    <row r="4358" spans="1:10">
      <c r="A4358" s="33" t="s">
        <v>173</v>
      </c>
      <c r="B4358" s="34">
        <v>406.28100000000001</v>
      </c>
      <c r="C4358" s="35">
        <v>13744.9</v>
      </c>
      <c r="D4358" s="33" t="s">
        <v>240</v>
      </c>
      <c r="E4358" s="34">
        <v>406.35300000000001</v>
      </c>
      <c r="F4358" s="36">
        <v>7.2000000000002701E-2</v>
      </c>
      <c r="G4358" s="34">
        <v>7.2000000000002701E-2</v>
      </c>
      <c r="H4358" s="35">
        <v>215.6</v>
      </c>
      <c r="I4358" s="37">
        <f t="shared" si="68"/>
        <v>1.5685818012499183E-2</v>
      </c>
      <c r="J4358" s="33"/>
    </row>
    <row r="4359" spans="1:10">
      <c r="A4359" s="33" t="s">
        <v>173</v>
      </c>
      <c r="B4359" s="34">
        <v>406.28100000000001</v>
      </c>
      <c r="C4359" s="35">
        <v>13744.9</v>
      </c>
      <c r="D4359" s="33" t="s">
        <v>270</v>
      </c>
      <c r="E4359" s="34">
        <v>406.35399999999998</v>
      </c>
      <c r="F4359" s="36">
        <v>7.2999999999979095E-2</v>
      </c>
      <c r="G4359" s="34">
        <v>7.2999999999979095E-2</v>
      </c>
      <c r="H4359" s="35">
        <v>4770</v>
      </c>
      <c r="I4359" s="37">
        <f t="shared" si="68"/>
        <v>0.34703781038785297</v>
      </c>
      <c r="J4359" s="33"/>
    </row>
    <row r="4360" spans="1:10">
      <c r="A4360" s="33" t="s">
        <v>173</v>
      </c>
      <c r="B4360" s="34">
        <v>406.28100000000001</v>
      </c>
      <c r="C4360" s="35">
        <v>13744.9</v>
      </c>
      <c r="D4360" s="33" t="s">
        <v>97</v>
      </c>
      <c r="E4360" s="34">
        <v>406.35899999999998</v>
      </c>
      <c r="F4360" s="36">
        <v>7.7999999999974506E-2</v>
      </c>
      <c r="G4360" s="34">
        <v>7.7999999999974506E-2</v>
      </c>
      <c r="H4360" s="35">
        <v>823.3</v>
      </c>
      <c r="I4360" s="37">
        <f t="shared" si="68"/>
        <v>5.9898580564427532E-2</v>
      </c>
      <c r="J4360" s="33"/>
    </row>
    <row r="4361" spans="1:10">
      <c r="A4361" s="33" t="s">
        <v>173</v>
      </c>
      <c r="B4361" s="34">
        <v>406.28100000000001</v>
      </c>
      <c r="C4361" s="35">
        <v>13744.9</v>
      </c>
      <c r="D4361" s="33" t="s">
        <v>201</v>
      </c>
      <c r="E4361" s="34">
        <v>406.38900000000001</v>
      </c>
      <c r="F4361" s="36">
        <v>0.108000000000004</v>
      </c>
      <c r="G4361" s="34">
        <v>0.108000000000004</v>
      </c>
      <c r="H4361" s="35">
        <v>1462.5</v>
      </c>
      <c r="I4361" s="37">
        <f t="shared" si="68"/>
        <v>0.10640310224155869</v>
      </c>
      <c r="J4361" s="33"/>
    </row>
    <row r="4362" spans="1:10">
      <c r="A4362" s="33" t="s">
        <v>173</v>
      </c>
      <c r="B4362" s="34">
        <v>406.28100000000001</v>
      </c>
      <c r="C4362" s="35">
        <v>13744.9</v>
      </c>
      <c r="D4362" s="33" t="s">
        <v>25</v>
      </c>
      <c r="E4362" s="34">
        <v>406.392</v>
      </c>
      <c r="F4362" s="36">
        <v>0.11099999999999</v>
      </c>
      <c r="G4362" s="34">
        <v>0.11099999999999</v>
      </c>
      <c r="H4362" s="35">
        <v>473.5</v>
      </c>
      <c r="I4362" s="37">
        <f t="shared" si="68"/>
        <v>3.4449141135984983E-2</v>
      </c>
      <c r="J4362" s="33" t="s">
        <v>116</v>
      </c>
    </row>
    <row r="4363" spans="1:10">
      <c r="A4363" s="33" t="s">
        <v>173</v>
      </c>
      <c r="B4363" s="34">
        <v>406.28100000000001</v>
      </c>
      <c r="C4363" s="35">
        <v>13744.9</v>
      </c>
      <c r="D4363" s="33" t="s">
        <v>278</v>
      </c>
      <c r="E4363" s="34">
        <v>406.392</v>
      </c>
      <c r="F4363" s="36">
        <v>0.11099999999999</v>
      </c>
      <c r="G4363" s="34">
        <v>0.11099999999999</v>
      </c>
      <c r="H4363" s="35">
        <v>64.8</v>
      </c>
      <c r="I4363" s="37">
        <f t="shared" si="68"/>
        <v>4.7144759147029081E-3</v>
      </c>
      <c r="J4363" s="33"/>
    </row>
    <row r="4364" spans="1:10">
      <c r="A4364" s="33" t="s">
        <v>173</v>
      </c>
      <c r="B4364" s="34">
        <v>406.28100000000001</v>
      </c>
      <c r="C4364" s="35">
        <v>13744.9</v>
      </c>
      <c r="D4364" s="33" t="s">
        <v>236</v>
      </c>
      <c r="E4364" s="34">
        <v>406.41500000000002</v>
      </c>
      <c r="F4364" s="36">
        <v>0.134000000000015</v>
      </c>
      <c r="G4364" s="34">
        <v>0.134000000000015</v>
      </c>
      <c r="H4364" s="35">
        <v>463.3</v>
      </c>
      <c r="I4364" s="37">
        <f t="shared" si="68"/>
        <v>3.3707047704966936E-2</v>
      </c>
      <c r="J4364" s="33"/>
    </row>
    <row r="4365" spans="1:10">
      <c r="A4365" s="33" t="s">
        <v>173</v>
      </c>
      <c r="B4365" s="34">
        <v>406.28100000000001</v>
      </c>
      <c r="C4365" s="35">
        <v>13744.9</v>
      </c>
      <c r="D4365" s="33" t="s">
        <v>277</v>
      </c>
      <c r="E4365" s="34">
        <v>406.41699999999997</v>
      </c>
      <c r="F4365" s="36">
        <v>0.13599999999996701</v>
      </c>
      <c r="G4365" s="34">
        <v>0.13599999999996701</v>
      </c>
      <c r="H4365" s="35">
        <v>156.69999999999999</v>
      </c>
      <c r="I4365" s="37">
        <f t="shared" si="68"/>
        <v>1.1400592219659654E-2</v>
      </c>
      <c r="J4365" s="33"/>
    </row>
    <row r="4366" spans="1:10">
      <c r="A4366" s="33" t="s">
        <v>173</v>
      </c>
      <c r="B4366" s="34">
        <v>406.28100000000001</v>
      </c>
      <c r="C4366" s="35">
        <v>13744.9</v>
      </c>
      <c r="D4366" s="33" t="s">
        <v>237</v>
      </c>
      <c r="E4366" s="34">
        <v>406.42099999999999</v>
      </c>
      <c r="F4366" s="36">
        <v>0.139999999999986</v>
      </c>
      <c r="G4366" s="34">
        <v>0.139999999999986</v>
      </c>
      <c r="H4366" s="35">
        <v>70.599999999999994</v>
      </c>
      <c r="I4366" s="37">
        <f t="shared" si="68"/>
        <v>5.1364506107719953E-3</v>
      </c>
      <c r="J4366" s="33"/>
    </row>
    <row r="4367" spans="1:10">
      <c r="A4367" s="33" t="s">
        <v>173</v>
      </c>
      <c r="B4367" s="34">
        <v>406.28100000000001</v>
      </c>
      <c r="C4367" s="35">
        <v>13744.9</v>
      </c>
      <c r="D4367" s="33" t="s">
        <v>165</v>
      </c>
      <c r="E4367" s="34">
        <v>406.43700000000001</v>
      </c>
      <c r="F4367" s="36">
        <v>0.15600000000000599</v>
      </c>
      <c r="G4367" s="34">
        <v>0.15600000000000599</v>
      </c>
      <c r="H4367" s="35">
        <v>25</v>
      </c>
      <c r="I4367" s="37">
        <f t="shared" si="68"/>
        <v>1.8188564485736528E-3</v>
      </c>
      <c r="J4367" s="33"/>
    </row>
    <row r="4368" spans="1:10">
      <c r="A4368" s="33" t="s">
        <v>173</v>
      </c>
      <c r="B4368" s="34">
        <v>406.28100000000001</v>
      </c>
      <c r="C4368" s="35">
        <v>13744.9</v>
      </c>
      <c r="D4368" s="33" t="s">
        <v>268</v>
      </c>
      <c r="E4368" s="34">
        <v>406.44600000000003</v>
      </c>
      <c r="F4368" s="36">
        <v>0.16500000000002099</v>
      </c>
      <c r="G4368" s="34">
        <v>0.16500000000002099</v>
      </c>
      <c r="H4368" s="35">
        <v>419</v>
      </c>
      <c r="I4368" s="37">
        <f t="shared" si="68"/>
        <v>3.048403407809442E-2</v>
      </c>
      <c r="J4368" s="33"/>
    </row>
    <row r="4369" spans="1:10">
      <c r="A4369" s="33" t="s">
        <v>173</v>
      </c>
      <c r="B4369" s="34">
        <v>406.28100000000001</v>
      </c>
      <c r="C4369" s="35">
        <v>13744.9</v>
      </c>
      <c r="D4369" s="33" t="s">
        <v>270</v>
      </c>
      <c r="E4369" s="34">
        <v>406.45499999999998</v>
      </c>
      <c r="F4369" s="36">
        <v>0.17399999999997801</v>
      </c>
      <c r="G4369" s="34">
        <v>0.17399999999997801</v>
      </c>
      <c r="H4369" s="35">
        <v>6738.4</v>
      </c>
      <c r="I4369" s="37">
        <f t="shared" si="68"/>
        <v>0.49024729172274806</v>
      </c>
      <c r="J4369" s="33"/>
    </row>
    <row r="4370" spans="1:10">
      <c r="A4370" s="33" t="s">
        <v>173</v>
      </c>
      <c r="B4370" s="34">
        <v>406.28100000000001</v>
      </c>
      <c r="C4370" s="35">
        <v>13744.9</v>
      </c>
      <c r="D4370" s="33" t="s">
        <v>193</v>
      </c>
      <c r="E4370" s="34">
        <v>406.46</v>
      </c>
      <c r="F4370" s="36">
        <v>0.17899999999997401</v>
      </c>
      <c r="G4370" s="34">
        <v>0.17899999999997401</v>
      </c>
      <c r="H4370" s="35">
        <v>42.8</v>
      </c>
      <c r="I4370" s="37">
        <f t="shared" si="68"/>
        <v>3.1138822399580934E-3</v>
      </c>
      <c r="J4370" s="33"/>
    </row>
    <row r="4371" spans="1:10">
      <c r="A4371" s="33" t="s">
        <v>173</v>
      </c>
      <c r="B4371" s="34">
        <v>406.28100000000001</v>
      </c>
      <c r="C4371" s="35">
        <v>13744.9</v>
      </c>
      <c r="D4371" s="33" t="s">
        <v>274</v>
      </c>
      <c r="E4371" s="34">
        <v>406.47800000000001</v>
      </c>
      <c r="F4371" s="36">
        <v>0.19700000000000301</v>
      </c>
      <c r="G4371" s="34">
        <v>0.19700000000000301</v>
      </c>
      <c r="H4371" s="35">
        <v>21.7</v>
      </c>
      <c r="I4371" s="37">
        <f t="shared" si="68"/>
        <v>1.5787673973619307E-3</v>
      </c>
      <c r="J4371" s="33"/>
    </row>
    <row r="4372" spans="1:10">
      <c r="A4372" s="33" t="s">
        <v>173</v>
      </c>
      <c r="B4372" s="34">
        <v>406.28100000000001</v>
      </c>
      <c r="C4372" s="35">
        <v>13744.9</v>
      </c>
      <c r="D4372" s="33" t="s">
        <v>133</v>
      </c>
      <c r="E4372" s="34">
        <v>406.47899999999998</v>
      </c>
      <c r="F4372" s="36">
        <v>0.197999999999979</v>
      </c>
      <c r="G4372" s="34">
        <v>0.197999999999979</v>
      </c>
      <c r="H4372" s="35">
        <v>125.6</v>
      </c>
      <c r="I4372" s="37">
        <f t="shared" si="68"/>
        <v>9.1379347976340321E-3</v>
      </c>
      <c r="J4372" s="33"/>
    </row>
    <row r="4373" spans="1:10">
      <c r="A4373" s="33" t="s">
        <v>173</v>
      </c>
      <c r="B4373" s="34">
        <v>406.28100000000001</v>
      </c>
      <c r="C4373" s="35">
        <v>13744.9</v>
      </c>
      <c r="D4373" s="33" t="s">
        <v>276</v>
      </c>
      <c r="E4373" s="34">
        <v>406.50700000000001</v>
      </c>
      <c r="F4373" s="36">
        <v>0.22599999999999901</v>
      </c>
      <c r="G4373" s="34">
        <v>0.22599999999999901</v>
      </c>
      <c r="H4373" s="35">
        <v>105.5</v>
      </c>
      <c r="I4373" s="37">
        <f t="shared" si="68"/>
        <v>7.6755742129808145E-3</v>
      </c>
      <c r="J4373" s="33"/>
    </row>
    <row r="4374" spans="1:10">
      <c r="A4374" s="33" t="s">
        <v>173</v>
      </c>
      <c r="B4374" s="34">
        <v>410.072</v>
      </c>
      <c r="C4374" s="35">
        <v>28125.9</v>
      </c>
      <c r="D4374" s="33" t="s">
        <v>63</v>
      </c>
      <c r="E4374" s="34">
        <v>409.87</v>
      </c>
      <c r="F4374" s="36">
        <v>0.20200000000000001</v>
      </c>
      <c r="G4374" s="34">
        <v>0.20200000000000001</v>
      </c>
      <c r="H4374" s="35">
        <v>25.2</v>
      </c>
      <c r="I4374" s="37">
        <f t="shared" si="68"/>
        <v>8.959713289174746E-4</v>
      </c>
      <c r="J4374" s="33" t="s">
        <v>116</v>
      </c>
    </row>
    <row r="4375" spans="1:10">
      <c r="A4375" s="33" t="s">
        <v>173</v>
      </c>
      <c r="B4375" s="34">
        <v>410.072</v>
      </c>
      <c r="C4375" s="35">
        <v>28125.9</v>
      </c>
      <c r="D4375" s="33" t="s">
        <v>275</v>
      </c>
      <c r="E4375" s="34">
        <v>409.87299999999999</v>
      </c>
      <c r="F4375" s="36">
        <v>0.199000000000012</v>
      </c>
      <c r="G4375" s="34">
        <v>0.199000000000012</v>
      </c>
      <c r="H4375" s="35">
        <v>14.7</v>
      </c>
      <c r="I4375" s="37">
        <f t="shared" si="68"/>
        <v>5.2264994186852678E-4</v>
      </c>
      <c r="J4375" s="33"/>
    </row>
    <row r="4376" spans="1:10">
      <c r="A4376" s="33" t="s">
        <v>173</v>
      </c>
      <c r="B4376" s="34">
        <v>410.072</v>
      </c>
      <c r="C4376" s="35">
        <v>28125.9</v>
      </c>
      <c r="D4376" s="33" t="s">
        <v>36</v>
      </c>
      <c r="E4376" s="34">
        <v>409.88900000000001</v>
      </c>
      <c r="F4376" s="36">
        <v>0.183</v>
      </c>
      <c r="G4376" s="34">
        <v>0.183</v>
      </c>
      <c r="H4376" s="35">
        <v>4410</v>
      </c>
      <c r="I4376" s="37">
        <f t="shared" si="68"/>
        <v>0.15679498256055804</v>
      </c>
      <c r="J4376" s="33" t="s">
        <v>116</v>
      </c>
    </row>
    <row r="4377" spans="1:10">
      <c r="A4377" s="33" t="s">
        <v>173</v>
      </c>
      <c r="B4377" s="34">
        <v>410.072</v>
      </c>
      <c r="C4377" s="35">
        <v>28125.9</v>
      </c>
      <c r="D4377" s="33" t="s">
        <v>27</v>
      </c>
      <c r="E4377" s="34">
        <v>409.89299999999997</v>
      </c>
      <c r="F4377" s="36">
        <v>0.179000000000031</v>
      </c>
      <c r="G4377" s="34">
        <v>0.179000000000031</v>
      </c>
      <c r="H4377" s="35">
        <v>932.6</v>
      </c>
      <c r="I4377" s="37">
        <f t="shared" si="68"/>
        <v>3.31580500535094E-2</v>
      </c>
      <c r="J4377" s="33" t="s">
        <v>116</v>
      </c>
    </row>
    <row r="4378" spans="1:10">
      <c r="A4378" s="33" t="s">
        <v>173</v>
      </c>
      <c r="B4378" s="34">
        <v>410.072</v>
      </c>
      <c r="C4378" s="35">
        <v>28125.9</v>
      </c>
      <c r="D4378" s="33" t="s">
        <v>271</v>
      </c>
      <c r="E4378" s="34">
        <v>409.89299999999997</v>
      </c>
      <c r="F4378" s="36">
        <v>0.179000000000031</v>
      </c>
      <c r="G4378" s="34">
        <v>0.179000000000031</v>
      </c>
      <c r="H4378" s="35">
        <v>841.7</v>
      </c>
      <c r="I4378" s="37">
        <f t="shared" si="68"/>
        <v>2.9926153474199937E-2</v>
      </c>
      <c r="J4378" s="33"/>
    </row>
    <row r="4379" spans="1:10">
      <c r="A4379" s="33" t="s">
        <v>173</v>
      </c>
      <c r="B4379" s="34">
        <v>410.072</v>
      </c>
      <c r="C4379" s="35">
        <v>28125.9</v>
      </c>
      <c r="D4379" s="33" t="s">
        <v>270</v>
      </c>
      <c r="E4379" s="34">
        <v>409.89499999999998</v>
      </c>
      <c r="F4379" s="36">
        <v>0.177000000000021</v>
      </c>
      <c r="G4379" s="34">
        <v>0.177000000000021</v>
      </c>
      <c r="H4379" s="35">
        <v>433.4</v>
      </c>
      <c r="I4379" s="37">
        <f t="shared" si="68"/>
        <v>1.5409284680667995E-2</v>
      </c>
      <c r="J4379" s="33"/>
    </row>
    <row r="4380" spans="1:10">
      <c r="A4380" s="33" t="s">
        <v>173</v>
      </c>
      <c r="B4380" s="34">
        <v>410.072</v>
      </c>
      <c r="C4380" s="35">
        <v>28125.9</v>
      </c>
      <c r="D4380" s="33" t="s">
        <v>25</v>
      </c>
      <c r="E4380" s="34">
        <v>409.899</v>
      </c>
      <c r="F4380" s="36">
        <v>0.17300000000000201</v>
      </c>
      <c r="G4380" s="34">
        <v>0.17300000000000201</v>
      </c>
      <c r="H4380" s="35">
        <v>861.7</v>
      </c>
      <c r="I4380" s="37">
        <f t="shared" si="68"/>
        <v>3.0637241830483646E-2</v>
      </c>
      <c r="J4380" s="33" t="s">
        <v>116</v>
      </c>
    </row>
    <row r="4381" spans="1:10">
      <c r="A4381" s="33" t="s">
        <v>173</v>
      </c>
      <c r="B4381" s="34">
        <v>410.072</v>
      </c>
      <c r="C4381" s="35">
        <v>28125.9</v>
      </c>
      <c r="D4381" s="33" t="s">
        <v>274</v>
      </c>
      <c r="E4381" s="34">
        <v>409.90100000000001</v>
      </c>
      <c r="F4381" s="36">
        <v>0.17099999999999199</v>
      </c>
      <c r="G4381" s="34">
        <v>0.17099999999999199</v>
      </c>
      <c r="H4381" s="35">
        <v>6.9</v>
      </c>
      <c r="I4381" s="37">
        <f t="shared" si="68"/>
        <v>2.4532548291787996E-4</v>
      </c>
      <c r="J4381" s="33"/>
    </row>
    <row r="4382" spans="1:10">
      <c r="A4382" s="33" t="s">
        <v>173</v>
      </c>
      <c r="B4382" s="34">
        <v>410.072</v>
      </c>
      <c r="C4382" s="35">
        <v>28125.9</v>
      </c>
      <c r="D4382" s="33" t="s">
        <v>273</v>
      </c>
      <c r="E4382" s="34">
        <v>409.90600000000001</v>
      </c>
      <c r="F4382" s="36">
        <v>0.16599999999999701</v>
      </c>
      <c r="G4382" s="34">
        <v>0.16599999999999701</v>
      </c>
      <c r="H4382" s="35">
        <v>56.1</v>
      </c>
      <c r="I4382" s="37">
        <f t="shared" si="68"/>
        <v>1.9946028393758065E-3</v>
      </c>
      <c r="J4382" s="33"/>
    </row>
    <row r="4383" spans="1:10">
      <c r="A4383" s="33" t="s">
        <v>173</v>
      </c>
      <c r="B4383" s="34">
        <v>410.072</v>
      </c>
      <c r="C4383" s="35">
        <v>28125.9</v>
      </c>
      <c r="D4383" s="33" t="s">
        <v>236</v>
      </c>
      <c r="E4383" s="34">
        <v>409.93</v>
      </c>
      <c r="F4383" s="36">
        <v>0.14199999999999599</v>
      </c>
      <c r="G4383" s="34">
        <v>0.14199999999999599</v>
      </c>
      <c r="H4383" s="35">
        <v>277</v>
      </c>
      <c r="I4383" s="37">
        <f t="shared" si="68"/>
        <v>9.8485737345293829E-3</v>
      </c>
      <c r="J4383" s="33"/>
    </row>
    <row r="4384" spans="1:10">
      <c r="A4384" s="33" t="s">
        <v>173</v>
      </c>
      <c r="B4384" s="34">
        <v>410.072</v>
      </c>
      <c r="C4384" s="35">
        <v>28125.9</v>
      </c>
      <c r="D4384" s="33" t="s">
        <v>133</v>
      </c>
      <c r="E4384" s="34">
        <v>409.95400000000001</v>
      </c>
      <c r="F4384" s="36">
        <v>0.117999999999995</v>
      </c>
      <c r="G4384" s="34">
        <v>0.117999999999995</v>
      </c>
      <c r="H4384" s="35">
        <v>7311.6</v>
      </c>
      <c r="I4384" s="37">
        <f t="shared" si="68"/>
        <v>0.2599596812901987</v>
      </c>
      <c r="J4384" s="33"/>
    </row>
    <row r="4385" spans="1:10">
      <c r="A4385" s="33" t="s">
        <v>173</v>
      </c>
      <c r="B4385" s="34">
        <v>410.072</v>
      </c>
      <c r="C4385" s="35">
        <v>28125.9</v>
      </c>
      <c r="D4385" s="33" t="s">
        <v>25</v>
      </c>
      <c r="E4385" s="34">
        <v>409.97399999999999</v>
      </c>
      <c r="F4385" s="36">
        <v>9.8000000000013202E-2</v>
      </c>
      <c r="G4385" s="34">
        <v>9.8000000000013202E-2</v>
      </c>
      <c r="H4385" s="35">
        <v>493.6</v>
      </c>
      <c r="I4385" s="37">
        <f t="shared" si="68"/>
        <v>1.7549660633081964E-2</v>
      </c>
      <c r="J4385" s="33" t="s">
        <v>116</v>
      </c>
    </row>
    <row r="4386" spans="1:10">
      <c r="A4386" s="33" t="s">
        <v>173</v>
      </c>
      <c r="B4386" s="34">
        <v>410.072</v>
      </c>
      <c r="C4386" s="35">
        <v>28125.9</v>
      </c>
      <c r="D4386" s="33" t="s">
        <v>278</v>
      </c>
      <c r="E4386" s="34">
        <v>409.97800000000001</v>
      </c>
      <c r="F4386" s="36">
        <v>9.3999999999994102E-2</v>
      </c>
      <c r="G4386" s="34">
        <v>9.3999999999994102E-2</v>
      </c>
      <c r="H4386" s="35">
        <v>1703</v>
      </c>
      <c r="I4386" s="37">
        <f t="shared" si="68"/>
        <v>6.0549173537557906E-2</v>
      </c>
      <c r="J4386" s="33"/>
    </row>
    <row r="4387" spans="1:10">
      <c r="A4387" s="33" t="s">
        <v>173</v>
      </c>
      <c r="B4387" s="34">
        <v>410.072</v>
      </c>
      <c r="C4387" s="35">
        <v>28125.9</v>
      </c>
      <c r="D4387" s="33" t="s">
        <v>36</v>
      </c>
      <c r="E4387" s="34">
        <v>410.01799999999997</v>
      </c>
      <c r="F4387" s="36">
        <v>5.3999999999999999E-2</v>
      </c>
      <c r="G4387" s="34">
        <v>5.3999999999999999E-2</v>
      </c>
      <c r="H4387" s="35">
        <v>92.4</v>
      </c>
      <c r="I4387" s="37">
        <f t="shared" si="68"/>
        <v>3.2852282060307405E-3</v>
      </c>
      <c r="J4387" s="33" t="s">
        <v>116</v>
      </c>
    </row>
    <row r="4388" spans="1:10">
      <c r="A4388" s="33" t="s">
        <v>173</v>
      </c>
      <c r="B4388" s="34">
        <v>410.072</v>
      </c>
      <c r="C4388" s="35">
        <v>28125.9</v>
      </c>
      <c r="D4388" s="33" t="s">
        <v>27</v>
      </c>
      <c r="E4388" s="34">
        <v>410.024</v>
      </c>
      <c r="F4388" s="36">
        <v>4.8000000000001798E-2</v>
      </c>
      <c r="G4388" s="34">
        <v>4.8000000000001798E-2</v>
      </c>
      <c r="H4388" s="35">
        <v>1231</v>
      </c>
      <c r="I4388" s="37">
        <f t="shared" si="68"/>
        <v>4.3767488329262347E-2</v>
      </c>
      <c r="J4388" s="33" t="s">
        <v>116</v>
      </c>
    </row>
    <row r="4389" spans="1:10">
      <c r="A4389" s="33" t="s">
        <v>173</v>
      </c>
      <c r="B4389" s="34">
        <v>410.072</v>
      </c>
      <c r="C4389" s="35">
        <v>28125.9</v>
      </c>
      <c r="D4389" s="33" t="s">
        <v>271</v>
      </c>
      <c r="E4389" s="34">
        <v>410.03399999999999</v>
      </c>
      <c r="F4389" s="36">
        <v>3.80000000000109E-2</v>
      </c>
      <c r="G4389" s="34">
        <v>3.80000000000109E-2</v>
      </c>
      <c r="H4389" s="35">
        <v>115</v>
      </c>
      <c r="I4389" s="37">
        <f t="shared" si="68"/>
        <v>4.0887580486313321E-3</v>
      </c>
      <c r="J4389" s="33"/>
    </row>
    <row r="4390" spans="1:10">
      <c r="A4390" s="33" t="s">
        <v>173</v>
      </c>
      <c r="B4390" s="34">
        <v>410.072</v>
      </c>
      <c r="C4390" s="35">
        <v>28125.9</v>
      </c>
      <c r="D4390" s="33" t="s">
        <v>268</v>
      </c>
      <c r="E4390" s="34">
        <v>410.036</v>
      </c>
      <c r="F4390" s="36">
        <v>3.6000000000001399E-2</v>
      </c>
      <c r="G4390" s="34">
        <v>3.6000000000001399E-2</v>
      </c>
      <c r="H4390" s="35">
        <v>8.9</v>
      </c>
      <c r="I4390" s="37">
        <f t="shared" si="68"/>
        <v>3.1643431854625094E-4</v>
      </c>
      <c r="J4390" s="33"/>
    </row>
    <row r="4391" spans="1:10">
      <c r="A4391" s="33" t="s">
        <v>173</v>
      </c>
      <c r="B4391" s="34">
        <v>410.072</v>
      </c>
      <c r="C4391" s="35">
        <v>28125.9</v>
      </c>
      <c r="D4391" s="33" t="s">
        <v>25</v>
      </c>
      <c r="E4391" s="34">
        <v>410.03699999999998</v>
      </c>
      <c r="F4391" s="36">
        <v>3.5000000000024997E-2</v>
      </c>
      <c r="G4391" s="34">
        <v>3.5000000000024997E-2</v>
      </c>
      <c r="H4391" s="35">
        <v>46.8</v>
      </c>
      <c r="I4391" s="37">
        <f t="shared" si="68"/>
        <v>1.6639467537038813E-3</v>
      </c>
      <c r="J4391" s="33" t="s">
        <v>116</v>
      </c>
    </row>
    <row r="4392" spans="1:10">
      <c r="A4392" s="33" t="s">
        <v>173</v>
      </c>
      <c r="B4392" s="34">
        <v>410.072</v>
      </c>
      <c r="C4392" s="35">
        <v>28125.9</v>
      </c>
      <c r="D4392" s="33" t="s">
        <v>273</v>
      </c>
      <c r="E4392" s="34">
        <v>410.03899999999999</v>
      </c>
      <c r="F4392" s="36">
        <v>3.3000000000015503E-2</v>
      </c>
      <c r="G4392" s="34">
        <v>3.3000000000015503E-2</v>
      </c>
      <c r="H4392" s="35">
        <v>128.6</v>
      </c>
      <c r="I4392" s="37">
        <f t="shared" si="68"/>
        <v>4.5722981309042551E-3</v>
      </c>
      <c r="J4392" s="33"/>
    </row>
    <row r="4393" spans="1:10">
      <c r="A4393" s="33" t="s">
        <v>173</v>
      </c>
      <c r="B4393" s="34">
        <v>410.072</v>
      </c>
      <c r="C4393" s="35">
        <v>28125.9</v>
      </c>
      <c r="D4393" s="33" t="s">
        <v>84</v>
      </c>
      <c r="E4393" s="34">
        <v>410.05599999999998</v>
      </c>
      <c r="F4393" s="36">
        <v>1.6E-2</v>
      </c>
      <c r="G4393" s="34">
        <v>1.6E-2</v>
      </c>
      <c r="H4393" s="35">
        <v>1962.3</v>
      </c>
      <c r="I4393" s="37">
        <f t="shared" si="68"/>
        <v>6.9768434076776201E-2</v>
      </c>
      <c r="J4393" s="33" t="s">
        <v>116</v>
      </c>
    </row>
    <row r="4394" spans="1:10">
      <c r="A4394" s="33" t="s">
        <v>173</v>
      </c>
      <c r="B4394" s="34">
        <v>410.072</v>
      </c>
      <c r="C4394" s="35">
        <v>28125.9</v>
      </c>
      <c r="D4394" s="33" t="s">
        <v>271</v>
      </c>
      <c r="E4394" s="34">
        <v>410.08199999999999</v>
      </c>
      <c r="F4394" s="36">
        <v>9.9999999999909103E-3</v>
      </c>
      <c r="G4394" s="34">
        <v>9.9999999999909103E-3</v>
      </c>
      <c r="H4394" s="35">
        <v>925.5</v>
      </c>
      <c r="I4394" s="37">
        <f t="shared" si="68"/>
        <v>3.2905613687028677E-2</v>
      </c>
      <c r="J4394" s="33"/>
    </row>
    <row r="4395" spans="1:10">
      <c r="A4395" s="33" t="s">
        <v>173</v>
      </c>
      <c r="B4395" s="34">
        <v>410.072</v>
      </c>
      <c r="C4395" s="35">
        <v>28125.9</v>
      </c>
      <c r="D4395" s="33" t="s">
        <v>273</v>
      </c>
      <c r="E4395" s="34">
        <v>410.09100000000001</v>
      </c>
      <c r="F4395" s="36">
        <v>1.9000000000005499E-2</v>
      </c>
      <c r="G4395" s="34">
        <v>1.9000000000005499E-2</v>
      </c>
      <c r="H4395" s="35">
        <v>2586.4</v>
      </c>
      <c r="I4395" s="37">
        <f t="shared" si="68"/>
        <v>9.1957946234609386E-2</v>
      </c>
      <c r="J4395" s="33"/>
    </row>
    <row r="4396" spans="1:10">
      <c r="A4396" s="33" t="s">
        <v>173</v>
      </c>
      <c r="B4396" s="34">
        <v>410.072</v>
      </c>
      <c r="C4396" s="35">
        <v>28125.9</v>
      </c>
      <c r="D4396" s="33" t="s">
        <v>278</v>
      </c>
      <c r="E4396" s="34">
        <v>410.09899999999999</v>
      </c>
      <c r="F4396" s="36">
        <v>2.6999999999986798E-2</v>
      </c>
      <c r="G4396" s="34">
        <v>2.6999999999986798E-2</v>
      </c>
      <c r="H4396" s="35">
        <v>21.9</v>
      </c>
      <c r="I4396" s="37">
        <f t="shared" si="68"/>
        <v>7.7864175013066239E-4</v>
      </c>
      <c r="J4396" s="33"/>
    </row>
    <row r="4397" spans="1:10">
      <c r="A4397" s="33" t="s">
        <v>173</v>
      </c>
      <c r="B4397" s="34">
        <v>410.072</v>
      </c>
      <c r="C4397" s="35">
        <v>28125.9</v>
      </c>
      <c r="D4397" s="33" t="s">
        <v>94</v>
      </c>
      <c r="E4397" s="34">
        <v>410.108</v>
      </c>
      <c r="F4397" s="36">
        <v>3.5999999999999997E-2</v>
      </c>
      <c r="G4397" s="34">
        <v>3.5999999999999997E-2</v>
      </c>
      <c r="H4397" s="35">
        <v>156.6</v>
      </c>
      <c r="I4397" s="37">
        <f t="shared" si="68"/>
        <v>5.5678218297014487E-3</v>
      </c>
      <c r="J4397" s="33" t="s">
        <v>116</v>
      </c>
    </row>
    <row r="4398" spans="1:10">
      <c r="A4398" s="33" t="s">
        <v>173</v>
      </c>
      <c r="B4398" s="34">
        <v>410.072</v>
      </c>
      <c r="C4398" s="35">
        <v>28125.9</v>
      </c>
      <c r="D4398" s="33" t="s">
        <v>268</v>
      </c>
      <c r="E4398" s="34">
        <v>410.17399999999998</v>
      </c>
      <c r="F4398" s="36">
        <v>0.101999999999975</v>
      </c>
      <c r="G4398" s="34">
        <v>0.101999999999975</v>
      </c>
      <c r="H4398" s="35">
        <v>61.9</v>
      </c>
      <c r="I4398" s="37">
        <f t="shared" si="68"/>
        <v>2.2008184626980823E-3</v>
      </c>
      <c r="J4398" s="33"/>
    </row>
    <row r="4399" spans="1:10">
      <c r="A4399" s="33" t="s">
        <v>173</v>
      </c>
      <c r="B4399" s="34">
        <v>410.072</v>
      </c>
      <c r="C4399" s="35">
        <v>28125.9</v>
      </c>
      <c r="D4399" s="33" t="s">
        <v>301</v>
      </c>
      <c r="E4399" s="34">
        <v>410.17599999999999</v>
      </c>
      <c r="F4399" s="36">
        <v>0.10399999999998499</v>
      </c>
      <c r="G4399" s="34">
        <v>0.10399999999998499</v>
      </c>
      <c r="H4399" s="35">
        <v>4138.1000000000004</v>
      </c>
      <c r="I4399" s="37">
        <f t="shared" si="68"/>
        <v>0.14712773635688103</v>
      </c>
      <c r="J4399" s="33"/>
    </row>
    <row r="4400" spans="1:10">
      <c r="A4400" s="33" t="s">
        <v>173</v>
      </c>
      <c r="B4400" s="34">
        <v>410.072</v>
      </c>
      <c r="C4400" s="35">
        <v>28125.9</v>
      </c>
      <c r="D4400" s="33" t="s">
        <v>33</v>
      </c>
      <c r="E4400" s="34">
        <v>410.19299999999998</v>
      </c>
      <c r="F4400" s="36">
        <v>0.120999999999981</v>
      </c>
      <c r="G4400" s="34">
        <v>0.120999999999981</v>
      </c>
      <c r="H4400" s="35">
        <v>250</v>
      </c>
      <c r="I4400" s="37">
        <f t="shared" si="68"/>
        <v>8.8886044535463754E-3</v>
      </c>
      <c r="J4400" s="33" t="s">
        <v>116</v>
      </c>
    </row>
    <row r="4401" spans="1:10">
      <c r="A4401" s="33" t="s">
        <v>173</v>
      </c>
      <c r="B4401" s="34">
        <v>410.072</v>
      </c>
      <c r="C4401" s="35">
        <v>28125.9</v>
      </c>
      <c r="D4401" s="33" t="s">
        <v>133</v>
      </c>
      <c r="E4401" s="34">
        <v>410.21300000000002</v>
      </c>
      <c r="F4401" s="36">
        <v>0.14100000000002</v>
      </c>
      <c r="G4401" s="34">
        <v>0.14100000000002</v>
      </c>
      <c r="H4401" s="35">
        <v>48</v>
      </c>
      <c r="I4401" s="37">
        <f t="shared" si="68"/>
        <v>1.706612055080904E-3</v>
      </c>
      <c r="J4401" s="33"/>
    </row>
    <row r="4402" spans="1:10">
      <c r="A4402" s="33" t="s">
        <v>173</v>
      </c>
      <c r="B4402" s="34">
        <v>410.072</v>
      </c>
      <c r="C4402" s="35">
        <v>28125.9</v>
      </c>
      <c r="D4402" s="33" t="s">
        <v>275</v>
      </c>
      <c r="E4402" s="34">
        <v>410.21499999999997</v>
      </c>
      <c r="F4402" s="36">
        <v>0.14299999999997201</v>
      </c>
      <c r="G4402" s="34">
        <v>0.14299999999997201</v>
      </c>
      <c r="H4402" s="35">
        <v>417</v>
      </c>
      <c r="I4402" s="37">
        <f t="shared" si="68"/>
        <v>1.4826192228515353E-2</v>
      </c>
      <c r="J4402" s="33"/>
    </row>
    <row r="4403" spans="1:10">
      <c r="A4403" s="33" t="s">
        <v>173</v>
      </c>
      <c r="B4403" s="34">
        <v>410.072</v>
      </c>
      <c r="C4403" s="35">
        <v>28125.9</v>
      </c>
      <c r="D4403" s="33" t="s">
        <v>278</v>
      </c>
      <c r="E4403" s="34">
        <v>410.21499999999997</v>
      </c>
      <c r="F4403" s="36">
        <v>0.14299999999997201</v>
      </c>
      <c r="G4403" s="34">
        <v>0.14299999999997201</v>
      </c>
      <c r="H4403" s="35">
        <v>286.60000000000002</v>
      </c>
      <c r="I4403" s="37">
        <f t="shared" si="68"/>
        <v>1.0189896145545566E-2</v>
      </c>
      <c r="J4403" s="33"/>
    </row>
    <row r="4404" spans="1:10">
      <c r="A4404" s="33" t="s">
        <v>173</v>
      </c>
      <c r="B4404" s="34">
        <v>410.072</v>
      </c>
      <c r="C4404" s="35">
        <v>28125.9</v>
      </c>
      <c r="D4404" s="33" t="s">
        <v>268</v>
      </c>
      <c r="E4404" s="34">
        <v>410.22800000000001</v>
      </c>
      <c r="F4404" s="36">
        <v>0.15600000000000599</v>
      </c>
      <c r="G4404" s="34">
        <v>0.15600000000000599</v>
      </c>
      <c r="H4404" s="35">
        <v>10.6</v>
      </c>
      <c r="I4404" s="37">
        <f t="shared" si="68"/>
        <v>3.7687682883036627E-4</v>
      </c>
      <c r="J4404" s="33"/>
    </row>
    <row r="4405" spans="1:10">
      <c r="A4405" s="33" t="s">
        <v>173</v>
      </c>
      <c r="B4405" s="34">
        <v>410.072</v>
      </c>
      <c r="C4405" s="35">
        <v>28125.9</v>
      </c>
      <c r="D4405" s="33" t="s">
        <v>116</v>
      </c>
      <c r="E4405" s="34">
        <v>410.23700000000002</v>
      </c>
      <c r="F4405" s="36">
        <v>0.16500000000000001</v>
      </c>
      <c r="G4405" s="34">
        <v>0.16500000000000001</v>
      </c>
      <c r="H4405" s="35">
        <v>620.79999999999995</v>
      </c>
      <c r="I4405" s="37">
        <f t="shared" si="68"/>
        <v>2.2072182579046355E-2</v>
      </c>
      <c r="J4405" s="33" t="s">
        <v>116</v>
      </c>
    </row>
    <row r="4406" spans="1:10">
      <c r="A4406" s="33" t="s">
        <v>173</v>
      </c>
      <c r="B4406" s="34">
        <v>410.072</v>
      </c>
      <c r="C4406" s="35">
        <v>28125.9</v>
      </c>
      <c r="D4406" s="33" t="s">
        <v>27</v>
      </c>
      <c r="E4406" s="34">
        <v>410.255</v>
      </c>
      <c r="F4406" s="36">
        <v>0.182999999999993</v>
      </c>
      <c r="G4406" s="34">
        <v>0.182999999999993</v>
      </c>
      <c r="H4406" s="35">
        <v>803.1</v>
      </c>
      <c r="I4406" s="37">
        <f t="shared" si="68"/>
        <v>2.8553752946572374E-2</v>
      </c>
      <c r="J4406" s="33" t="s">
        <v>116</v>
      </c>
    </row>
    <row r="4407" spans="1:10">
      <c r="A4407" s="33" t="s">
        <v>173</v>
      </c>
      <c r="B4407" s="34">
        <v>410.072</v>
      </c>
      <c r="C4407" s="35">
        <v>28125.9</v>
      </c>
      <c r="D4407" s="33" t="s">
        <v>274</v>
      </c>
      <c r="E4407" s="34">
        <v>410.27</v>
      </c>
      <c r="F4407" s="36">
        <v>0.197999999999979</v>
      </c>
      <c r="G4407" s="34">
        <v>0.197999999999979</v>
      </c>
      <c r="H4407" s="35">
        <v>210</v>
      </c>
      <c r="I4407" s="37">
        <f t="shared" si="68"/>
        <v>7.4664277409789547E-3</v>
      </c>
      <c r="J4407" s="33"/>
    </row>
    <row r="4408" spans="1:10">
      <c r="A4408" s="33" t="s">
        <v>173</v>
      </c>
      <c r="B4408" s="34">
        <v>410.072</v>
      </c>
      <c r="C4408" s="35">
        <v>28125.9</v>
      </c>
      <c r="D4408" s="33" t="s">
        <v>240</v>
      </c>
      <c r="E4408" s="34">
        <v>410.29500000000002</v>
      </c>
      <c r="F4408" s="36">
        <v>0.22300000000001299</v>
      </c>
      <c r="G4408" s="34">
        <v>0.22300000000001299</v>
      </c>
      <c r="H4408" s="35">
        <v>12.9</v>
      </c>
      <c r="I4408" s="37">
        <f t="shared" si="68"/>
        <v>4.5865198980299296E-4</v>
      </c>
      <c r="J4408" s="33"/>
    </row>
    <row r="4409" spans="1:10">
      <c r="A4409" s="33" t="s">
        <v>173</v>
      </c>
      <c r="B4409" s="34">
        <v>410.072</v>
      </c>
      <c r="C4409" s="35">
        <v>28125.9</v>
      </c>
      <c r="D4409" s="33" t="s">
        <v>33</v>
      </c>
      <c r="E4409" s="34">
        <v>410.33100000000002</v>
      </c>
      <c r="F4409" s="36">
        <v>0.259000000000015</v>
      </c>
      <c r="G4409" s="34">
        <v>0.259000000000015</v>
      </c>
      <c r="H4409" s="35">
        <v>12831.5</v>
      </c>
      <c r="I4409" s="37">
        <f t="shared" si="68"/>
        <v>0.45621651218272125</v>
      </c>
      <c r="J4409" s="33" t="s">
        <v>116</v>
      </c>
    </row>
    <row r="4410" spans="1:10">
      <c r="A4410" s="33" t="s">
        <v>173</v>
      </c>
      <c r="B4410" s="34">
        <v>410.072</v>
      </c>
      <c r="C4410" s="35">
        <v>28125.9</v>
      </c>
      <c r="D4410" s="33" t="s">
        <v>240</v>
      </c>
      <c r="E4410" s="34">
        <v>410.35399999999998</v>
      </c>
      <c r="F4410" s="36">
        <v>0.28199999999998199</v>
      </c>
      <c r="G4410" s="34">
        <v>0.28199999999998199</v>
      </c>
      <c r="H4410" s="35">
        <v>10.6</v>
      </c>
      <c r="I4410" s="37">
        <f t="shared" si="68"/>
        <v>3.7687682883036627E-4</v>
      </c>
      <c r="J4410" s="33"/>
    </row>
    <row r="4411" spans="1:10">
      <c r="A4411" s="33" t="s">
        <v>173</v>
      </c>
      <c r="B4411" s="34">
        <v>410.072</v>
      </c>
      <c r="C4411" s="35">
        <v>28125.9</v>
      </c>
      <c r="D4411" s="33" t="s">
        <v>94</v>
      </c>
      <c r="E4411" s="34">
        <v>410.38</v>
      </c>
      <c r="F4411" s="36">
        <v>0.308</v>
      </c>
      <c r="G4411" s="34">
        <v>0.308</v>
      </c>
      <c r="H4411" s="35">
        <v>3268</v>
      </c>
      <c r="I4411" s="37">
        <f t="shared" si="68"/>
        <v>0.11619183741675822</v>
      </c>
      <c r="J4411" s="33" t="s">
        <v>116</v>
      </c>
    </row>
    <row r="4412" spans="1:10">
      <c r="A4412" s="33" t="s">
        <v>173</v>
      </c>
      <c r="B4412" s="34">
        <v>411.846</v>
      </c>
      <c r="C4412" s="35">
        <v>15489.8</v>
      </c>
      <c r="D4412" s="33" t="s">
        <v>290</v>
      </c>
      <c r="E4412" s="34">
        <v>411.577</v>
      </c>
      <c r="F4412" s="36">
        <v>0.26900000000000601</v>
      </c>
      <c r="G4412" s="34">
        <v>0.26900000000000601</v>
      </c>
      <c r="H4412" s="35">
        <v>20.5</v>
      </c>
      <c r="I4412" s="37">
        <f t="shared" si="68"/>
        <v>1.3234515616728428E-3</v>
      </c>
      <c r="J4412" s="33"/>
    </row>
    <row r="4413" spans="1:10">
      <c r="A4413" s="33" t="s">
        <v>173</v>
      </c>
      <c r="B4413" s="34">
        <v>411.846</v>
      </c>
      <c r="C4413" s="35">
        <v>15489.8</v>
      </c>
      <c r="D4413" s="33" t="s">
        <v>269</v>
      </c>
      <c r="E4413" s="34">
        <v>411.58699999999999</v>
      </c>
      <c r="F4413" s="36">
        <v>0.259000000000015</v>
      </c>
      <c r="G4413" s="34">
        <v>0.259000000000015</v>
      </c>
      <c r="H4413" s="35">
        <v>8.6999999999999993</v>
      </c>
      <c r="I4413" s="37">
        <f t="shared" si="68"/>
        <v>5.616599310514015E-4</v>
      </c>
      <c r="J4413" s="33"/>
    </row>
    <row r="4414" spans="1:10">
      <c r="A4414" s="33" t="s">
        <v>173</v>
      </c>
      <c r="B4414" s="34">
        <v>411.846</v>
      </c>
      <c r="C4414" s="35">
        <v>15489.8</v>
      </c>
      <c r="D4414" s="33" t="s">
        <v>165</v>
      </c>
      <c r="E4414" s="34">
        <v>411.59699999999998</v>
      </c>
      <c r="F4414" s="36">
        <v>0.24900000000002401</v>
      </c>
      <c r="G4414" s="34">
        <v>0.24900000000002401</v>
      </c>
      <c r="H4414" s="35">
        <v>47</v>
      </c>
      <c r="I4414" s="37">
        <f t="shared" si="68"/>
        <v>3.0342547999328592E-3</v>
      </c>
      <c r="J4414" s="33"/>
    </row>
    <row r="4415" spans="1:10">
      <c r="A4415" s="33" t="s">
        <v>173</v>
      </c>
      <c r="B4415" s="34">
        <v>411.846</v>
      </c>
      <c r="C4415" s="35">
        <v>15489.8</v>
      </c>
      <c r="D4415" s="33" t="s">
        <v>277</v>
      </c>
      <c r="E4415" s="34">
        <v>411.61</v>
      </c>
      <c r="F4415" s="36">
        <v>0.23599999999999</v>
      </c>
      <c r="G4415" s="34">
        <v>0.23599999999999</v>
      </c>
      <c r="H4415" s="35">
        <v>1289.4000000000001</v>
      </c>
      <c r="I4415" s="37">
        <f t="shared" si="68"/>
        <v>8.3241875298583595E-2</v>
      </c>
      <c r="J4415" s="33"/>
    </row>
    <row r="4416" spans="1:10">
      <c r="A4416" s="33" t="s">
        <v>173</v>
      </c>
      <c r="B4416" s="34">
        <v>411.846</v>
      </c>
      <c r="C4416" s="35">
        <v>15489.8</v>
      </c>
      <c r="D4416" s="33" t="s">
        <v>27</v>
      </c>
      <c r="E4416" s="34">
        <v>411.63200000000001</v>
      </c>
      <c r="F4416" s="36">
        <v>0.213999999999999</v>
      </c>
      <c r="G4416" s="34">
        <v>0.213999999999999</v>
      </c>
      <c r="H4416" s="35">
        <v>603.70000000000005</v>
      </c>
      <c r="I4416" s="37">
        <f t="shared" si="68"/>
        <v>3.8974034525946111E-2</v>
      </c>
      <c r="J4416" s="33" t="s">
        <v>116</v>
      </c>
    </row>
    <row r="4417" spans="1:10">
      <c r="A4417" s="33" t="s">
        <v>173</v>
      </c>
      <c r="B4417" s="34">
        <v>411.846</v>
      </c>
      <c r="C4417" s="35">
        <v>15489.8</v>
      </c>
      <c r="D4417" s="33" t="s">
        <v>282</v>
      </c>
      <c r="E4417" s="34">
        <v>411.63299999999998</v>
      </c>
      <c r="F4417" s="36">
        <v>0.21300000000002201</v>
      </c>
      <c r="G4417" s="34">
        <v>0.21300000000002201</v>
      </c>
      <c r="H4417" s="35">
        <v>18.5</v>
      </c>
      <c r="I4417" s="37">
        <f t="shared" si="68"/>
        <v>1.1943343361437849E-3</v>
      </c>
      <c r="J4417" s="33"/>
    </row>
    <row r="4418" spans="1:10">
      <c r="A4418" s="33" t="s">
        <v>173</v>
      </c>
      <c r="B4418" s="34">
        <v>411.846</v>
      </c>
      <c r="C4418" s="35">
        <v>15489.8</v>
      </c>
      <c r="D4418" s="33" t="s">
        <v>270</v>
      </c>
      <c r="E4418" s="34">
        <v>411.64400000000001</v>
      </c>
      <c r="F4418" s="36">
        <v>0.20199999999999799</v>
      </c>
      <c r="G4418" s="34">
        <v>0.20199999999999799</v>
      </c>
      <c r="H4418" s="35">
        <v>1011.5</v>
      </c>
      <c r="I4418" s="37">
        <f t="shared" ref="I4418:I4481" si="69">H4418/C4418</f>
        <v>6.5301036811321003E-2</v>
      </c>
      <c r="J4418" s="33"/>
    </row>
    <row r="4419" spans="1:10">
      <c r="A4419" s="33" t="s">
        <v>173</v>
      </c>
      <c r="B4419" s="34">
        <v>411.846</v>
      </c>
      <c r="C4419" s="35">
        <v>15489.8</v>
      </c>
      <c r="D4419" s="33" t="s">
        <v>278</v>
      </c>
      <c r="E4419" s="34">
        <v>411.64699999999999</v>
      </c>
      <c r="F4419" s="36">
        <v>0.199000000000012</v>
      </c>
      <c r="G4419" s="34">
        <v>0.199000000000012</v>
      </c>
      <c r="H4419" s="35">
        <v>854.1</v>
      </c>
      <c r="I4419" s="37">
        <f t="shared" si="69"/>
        <v>5.513951116218415E-2</v>
      </c>
      <c r="J4419" s="33"/>
    </row>
    <row r="4420" spans="1:10">
      <c r="A4420" s="33" t="s">
        <v>173</v>
      </c>
      <c r="B4420" s="34">
        <v>411.846</v>
      </c>
      <c r="C4420" s="35">
        <v>15489.8</v>
      </c>
      <c r="D4420" s="33" t="s">
        <v>240</v>
      </c>
      <c r="E4420" s="34">
        <v>411.65</v>
      </c>
      <c r="F4420" s="36">
        <v>0.19600000000002599</v>
      </c>
      <c r="G4420" s="34">
        <v>0.19600000000002599</v>
      </c>
      <c r="H4420" s="35">
        <v>2</v>
      </c>
      <c r="I4420" s="37">
        <f t="shared" si="69"/>
        <v>1.2911722552905785E-4</v>
      </c>
      <c r="J4420" s="33"/>
    </row>
    <row r="4421" spans="1:10">
      <c r="A4421" s="33" t="s">
        <v>173</v>
      </c>
      <c r="B4421" s="34">
        <v>411.846</v>
      </c>
      <c r="C4421" s="35">
        <v>15489.8</v>
      </c>
      <c r="D4421" s="33" t="s">
        <v>271</v>
      </c>
      <c r="E4421" s="34">
        <v>411.67099999999999</v>
      </c>
      <c r="F4421" s="36">
        <v>0.17500000000001101</v>
      </c>
      <c r="G4421" s="34">
        <v>0.17500000000001101</v>
      </c>
      <c r="H4421" s="35">
        <v>7537.5</v>
      </c>
      <c r="I4421" s="37">
        <f t="shared" si="69"/>
        <v>0.48661054371263673</v>
      </c>
      <c r="J4421" s="33"/>
    </row>
    <row r="4422" spans="1:10">
      <c r="A4422" s="33" t="s">
        <v>173</v>
      </c>
      <c r="B4422" s="34">
        <v>411.846</v>
      </c>
      <c r="C4422" s="35">
        <v>15489.8</v>
      </c>
      <c r="D4422" s="33" t="s">
        <v>27</v>
      </c>
      <c r="E4422" s="34">
        <v>411.67700000000002</v>
      </c>
      <c r="F4422" s="36">
        <v>0.168999999999983</v>
      </c>
      <c r="G4422" s="34">
        <v>0.168999999999983</v>
      </c>
      <c r="H4422" s="35">
        <v>2393.1</v>
      </c>
      <c r="I4422" s="37">
        <f t="shared" si="69"/>
        <v>0.15449521620679416</v>
      </c>
      <c r="J4422" s="33" t="s">
        <v>116</v>
      </c>
    </row>
    <row r="4423" spans="1:10">
      <c r="A4423" s="33" t="s">
        <v>173</v>
      </c>
      <c r="B4423" s="34">
        <v>411.846</v>
      </c>
      <c r="C4423" s="35">
        <v>15489.8</v>
      </c>
      <c r="D4423" s="33" t="s">
        <v>277</v>
      </c>
      <c r="E4423" s="34">
        <v>411.68799999999999</v>
      </c>
      <c r="F4423" s="36">
        <v>0.15800000000001599</v>
      </c>
      <c r="G4423" s="34">
        <v>0.15800000000001599</v>
      </c>
      <c r="H4423" s="35">
        <v>111.8</v>
      </c>
      <c r="I4423" s="37">
        <f t="shared" si="69"/>
        <v>7.2176529070743329E-3</v>
      </c>
      <c r="J4423" s="33"/>
    </row>
    <row r="4424" spans="1:10">
      <c r="A4424" s="33" t="s">
        <v>173</v>
      </c>
      <c r="B4424" s="34">
        <v>411.846</v>
      </c>
      <c r="C4424" s="35">
        <v>15489.8</v>
      </c>
      <c r="D4424" s="33" t="s">
        <v>273</v>
      </c>
      <c r="E4424" s="34">
        <v>411.68900000000002</v>
      </c>
      <c r="F4424" s="36">
        <v>0.15699999999998199</v>
      </c>
      <c r="G4424" s="34">
        <v>0.15699999999998199</v>
      </c>
      <c r="H4424" s="35">
        <v>68.900000000000006</v>
      </c>
      <c r="I4424" s="37">
        <f t="shared" si="69"/>
        <v>4.4480884194760427E-3</v>
      </c>
      <c r="J4424" s="33"/>
    </row>
    <row r="4425" spans="1:10">
      <c r="A4425" s="33" t="s">
        <v>173</v>
      </c>
      <c r="B4425" s="34">
        <v>411.846</v>
      </c>
      <c r="C4425" s="35">
        <v>15489.8</v>
      </c>
      <c r="D4425" s="33" t="s">
        <v>25</v>
      </c>
      <c r="E4425" s="34">
        <v>411.70100000000002</v>
      </c>
      <c r="F4425" s="36">
        <v>0.144999999999982</v>
      </c>
      <c r="G4425" s="34">
        <v>0.144999999999982</v>
      </c>
      <c r="H4425" s="35">
        <v>2353.6999999999998</v>
      </c>
      <c r="I4425" s="37">
        <f t="shared" si="69"/>
        <v>0.15195160686387171</v>
      </c>
      <c r="J4425" s="33" t="s">
        <v>116</v>
      </c>
    </row>
    <row r="4426" spans="1:10">
      <c r="A4426" s="33" t="s">
        <v>173</v>
      </c>
      <c r="B4426" s="34">
        <v>411.846</v>
      </c>
      <c r="C4426" s="35">
        <v>15489.8</v>
      </c>
      <c r="D4426" s="33" t="s">
        <v>25</v>
      </c>
      <c r="E4426" s="34">
        <v>411.72899999999998</v>
      </c>
      <c r="F4426" s="36">
        <v>0.11700000000001901</v>
      </c>
      <c r="G4426" s="34">
        <v>0.11700000000001901</v>
      </c>
      <c r="H4426" s="35">
        <v>1330.6</v>
      </c>
      <c r="I4426" s="37">
        <f t="shared" si="69"/>
        <v>8.5901690144482179E-2</v>
      </c>
      <c r="J4426" s="33" t="s">
        <v>116</v>
      </c>
    </row>
    <row r="4427" spans="1:10">
      <c r="A4427" s="33" t="s">
        <v>173</v>
      </c>
      <c r="B4427" s="34">
        <v>411.846</v>
      </c>
      <c r="C4427" s="35">
        <v>15489.8</v>
      </c>
      <c r="D4427" s="33" t="s">
        <v>25</v>
      </c>
      <c r="E4427" s="34">
        <v>411.75900000000001</v>
      </c>
      <c r="F4427" s="36">
        <v>8.69999999999891E-2</v>
      </c>
      <c r="G4427" s="34">
        <v>8.69999999999891E-2</v>
      </c>
      <c r="H4427" s="35">
        <v>1214.9000000000001</v>
      </c>
      <c r="I4427" s="37">
        <f t="shared" si="69"/>
        <v>7.8432258647626193E-2</v>
      </c>
      <c r="J4427" s="33" t="s">
        <v>116</v>
      </c>
    </row>
    <row r="4428" spans="1:10">
      <c r="A4428" s="33" t="s">
        <v>173</v>
      </c>
      <c r="B4428" s="34">
        <v>411.846</v>
      </c>
      <c r="C4428" s="35">
        <v>15489.8</v>
      </c>
      <c r="D4428" s="33" t="s">
        <v>274</v>
      </c>
      <c r="E4428" s="34">
        <v>411.80500000000001</v>
      </c>
      <c r="F4428" s="36">
        <v>4.0999999999996803E-2</v>
      </c>
      <c r="G4428" s="34">
        <v>4.0999999999996803E-2</v>
      </c>
      <c r="H4428" s="35">
        <v>26.7</v>
      </c>
      <c r="I4428" s="37">
        <f t="shared" si="69"/>
        <v>1.7237149608129222E-3</v>
      </c>
      <c r="J4428" s="33"/>
    </row>
    <row r="4429" spans="1:10">
      <c r="A4429" s="33" t="s">
        <v>173</v>
      </c>
      <c r="B4429" s="34">
        <v>411.846</v>
      </c>
      <c r="C4429" s="35">
        <v>15489.8</v>
      </c>
      <c r="D4429" s="33" t="s">
        <v>25</v>
      </c>
      <c r="E4429" s="34">
        <v>411.81400000000002</v>
      </c>
      <c r="F4429" s="36">
        <v>3.19999999999823E-2</v>
      </c>
      <c r="G4429" s="34">
        <v>3.19999999999823E-2</v>
      </c>
      <c r="H4429" s="35">
        <v>5941.5</v>
      </c>
      <c r="I4429" s="37">
        <f t="shared" si="69"/>
        <v>0.38357499774044856</v>
      </c>
      <c r="J4429" s="33" t="s">
        <v>116</v>
      </c>
    </row>
    <row r="4430" spans="1:10">
      <c r="A4430" s="33" t="s">
        <v>173</v>
      </c>
      <c r="B4430" s="34">
        <v>411.846</v>
      </c>
      <c r="C4430" s="35">
        <v>15489.8</v>
      </c>
      <c r="D4430" s="33" t="s">
        <v>278</v>
      </c>
      <c r="E4430" s="34">
        <v>411.81799999999998</v>
      </c>
      <c r="F4430" s="36">
        <v>2.8000000000019998E-2</v>
      </c>
      <c r="G4430" s="34">
        <v>2.8000000000019998E-2</v>
      </c>
      <c r="H4430" s="35">
        <v>79.900000000000006</v>
      </c>
      <c r="I4430" s="37">
        <f t="shared" si="69"/>
        <v>5.1582331598858614E-3</v>
      </c>
      <c r="J4430" s="33"/>
    </row>
    <row r="4431" spans="1:10">
      <c r="A4431" s="33" t="s">
        <v>173</v>
      </c>
      <c r="B4431" s="34">
        <v>411.846</v>
      </c>
      <c r="C4431" s="35">
        <v>15489.8</v>
      </c>
      <c r="D4431" s="33" t="s">
        <v>277</v>
      </c>
      <c r="E4431" s="34">
        <v>411.839</v>
      </c>
      <c r="F4431" s="36">
        <v>7.0000000000049996E-3</v>
      </c>
      <c r="G4431" s="34">
        <v>7.0000000000049996E-3</v>
      </c>
      <c r="H4431" s="35">
        <v>193.9</v>
      </c>
      <c r="I4431" s="37">
        <f t="shared" si="69"/>
        <v>1.2517915015042158E-2</v>
      </c>
      <c r="J4431" s="33"/>
    </row>
    <row r="4432" spans="1:10">
      <c r="A4432" s="33" t="s">
        <v>173</v>
      </c>
      <c r="B4432" s="34">
        <v>411.846</v>
      </c>
      <c r="C4432" s="35">
        <v>15489.8</v>
      </c>
      <c r="D4432" s="33" t="s">
        <v>271</v>
      </c>
      <c r="E4432" s="34">
        <v>411.84899999999999</v>
      </c>
      <c r="F4432" s="36">
        <v>2.9999999999858998E-3</v>
      </c>
      <c r="G4432" s="34">
        <v>2.9999999999858998E-3</v>
      </c>
      <c r="H4432" s="35">
        <v>106.1</v>
      </c>
      <c r="I4432" s="37">
        <f t="shared" si="69"/>
        <v>6.8496688143165176E-3</v>
      </c>
      <c r="J4432" s="33"/>
    </row>
    <row r="4433" spans="1:10">
      <c r="A4433" s="33" t="s">
        <v>173</v>
      </c>
      <c r="B4433" s="34">
        <v>411.846</v>
      </c>
      <c r="C4433" s="35">
        <v>15489.8</v>
      </c>
      <c r="D4433" s="33" t="s">
        <v>268</v>
      </c>
      <c r="E4433" s="34">
        <v>411.85</v>
      </c>
      <c r="F4433" s="36">
        <v>4.0000000000191003E-3</v>
      </c>
      <c r="G4433" s="34">
        <v>4.0000000000191003E-3</v>
      </c>
      <c r="H4433" s="35">
        <v>7.2</v>
      </c>
      <c r="I4433" s="37">
        <f t="shared" si="69"/>
        <v>4.648220119046082E-4</v>
      </c>
      <c r="J4433" s="33"/>
    </row>
    <row r="4434" spans="1:10">
      <c r="A4434" s="33" t="s">
        <v>173</v>
      </c>
      <c r="B4434" s="34">
        <v>411.846</v>
      </c>
      <c r="C4434" s="35">
        <v>15489.8</v>
      </c>
      <c r="D4434" s="33" t="s">
        <v>97</v>
      </c>
      <c r="E4434" s="34">
        <v>411.85399999999998</v>
      </c>
      <c r="F4434" s="36">
        <v>7.9999999999813606E-3</v>
      </c>
      <c r="G4434" s="34">
        <v>7.9999999999813606E-3</v>
      </c>
      <c r="H4434" s="35">
        <v>56.9</v>
      </c>
      <c r="I4434" s="37">
        <f t="shared" si="69"/>
        <v>3.6733850663016954E-3</v>
      </c>
      <c r="J4434" s="33"/>
    </row>
    <row r="4435" spans="1:10">
      <c r="A4435" s="33" t="s">
        <v>173</v>
      </c>
      <c r="B4435" s="34">
        <v>411.846</v>
      </c>
      <c r="C4435" s="35">
        <v>15489.8</v>
      </c>
      <c r="D4435" s="33" t="s">
        <v>270</v>
      </c>
      <c r="E4435" s="34">
        <v>411.85500000000002</v>
      </c>
      <c r="F4435" s="36">
        <v>9.0000000000145502E-3</v>
      </c>
      <c r="G4435" s="34">
        <v>9.0000000000145502E-3</v>
      </c>
      <c r="H4435" s="35">
        <v>10422.6</v>
      </c>
      <c r="I4435" s="37">
        <f t="shared" si="69"/>
        <v>0.67286859739957916</v>
      </c>
      <c r="J4435" s="33"/>
    </row>
    <row r="4436" spans="1:10">
      <c r="A4436" s="33" t="s">
        <v>173</v>
      </c>
      <c r="B4436" s="34">
        <v>411.846</v>
      </c>
      <c r="C4436" s="35">
        <v>15489.8</v>
      </c>
      <c r="D4436" s="33" t="s">
        <v>269</v>
      </c>
      <c r="E4436" s="34">
        <v>411.858</v>
      </c>
      <c r="F4436" s="36">
        <v>1.20000000000005E-2</v>
      </c>
      <c r="G4436" s="34">
        <v>1.20000000000005E-2</v>
      </c>
      <c r="H4436" s="35">
        <v>16.399999999999999</v>
      </c>
      <c r="I4436" s="37">
        <f t="shared" si="69"/>
        <v>1.0587612493382743E-3</v>
      </c>
      <c r="J4436" s="33"/>
    </row>
    <row r="4437" spans="1:10">
      <c r="A4437" s="33" t="s">
        <v>173</v>
      </c>
      <c r="B4437" s="34">
        <v>411.846</v>
      </c>
      <c r="C4437" s="35">
        <v>15489.8</v>
      </c>
      <c r="D4437" s="33" t="s">
        <v>278</v>
      </c>
      <c r="E4437" s="34">
        <v>411.863</v>
      </c>
      <c r="F4437" s="36">
        <v>1.69999999999959E-2</v>
      </c>
      <c r="G4437" s="34">
        <v>1.69999999999959E-2</v>
      </c>
      <c r="H4437" s="35">
        <v>64.3</v>
      </c>
      <c r="I4437" s="37">
        <f t="shared" si="69"/>
        <v>4.1511188007592095E-3</v>
      </c>
      <c r="J4437" s="33"/>
    </row>
    <row r="4438" spans="1:10">
      <c r="A4438" s="33" t="s">
        <v>173</v>
      </c>
      <c r="B4438" s="34">
        <v>411.846</v>
      </c>
      <c r="C4438" s="35">
        <v>15489.8</v>
      </c>
      <c r="D4438" s="33" t="s">
        <v>294</v>
      </c>
      <c r="E4438" s="34">
        <v>411.86799999999999</v>
      </c>
      <c r="F4438" s="36">
        <v>2.1999999999991401E-2</v>
      </c>
      <c r="G4438" s="34">
        <v>2.1999999999991401E-2</v>
      </c>
      <c r="H4438" s="35">
        <v>60.1</v>
      </c>
      <c r="I4438" s="37">
        <f t="shared" si="69"/>
        <v>3.8799726271481882E-3</v>
      </c>
      <c r="J4438" s="33"/>
    </row>
    <row r="4439" spans="1:10">
      <c r="A4439" s="33" t="s">
        <v>173</v>
      </c>
      <c r="B4439" s="34">
        <v>411.846</v>
      </c>
      <c r="C4439" s="35">
        <v>15489.8</v>
      </c>
      <c r="D4439" s="33" t="s">
        <v>54</v>
      </c>
      <c r="E4439" s="34">
        <v>411.87700000000001</v>
      </c>
      <c r="F4439" s="36">
        <v>3.1000000000005901E-2</v>
      </c>
      <c r="G4439" s="34">
        <v>3.1000000000005901E-2</v>
      </c>
      <c r="H4439" s="35">
        <v>586.5</v>
      </c>
      <c r="I4439" s="37">
        <f t="shared" si="69"/>
        <v>3.7863626386396211E-2</v>
      </c>
      <c r="J4439" s="33"/>
    </row>
    <row r="4440" spans="1:10">
      <c r="A4440" s="33" t="s">
        <v>173</v>
      </c>
      <c r="B4440" s="34">
        <v>411.846</v>
      </c>
      <c r="C4440" s="35">
        <v>15489.8</v>
      </c>
      <c r="D4440" s="33" t="s">
        <v>269</v>
      </c>
      <c r="E4440" s="34">
        <v>411.88799999999998</v>
      </c>
      <c r="F4440" s="36">
        <v>4.1999999999973198E-2</v>
      </c>
      <c r="G4440" s="34">
        <v>4.1999999999973198E-2</v>
      </c>
      <c r="H4440" s="35">
        <v>8.3000000000000007</v>
      </c>
      <c r="I4440" s="37">
        <f t="shared" si="69"/>
        <v>5.3583648594559012E-4</v>
      </c>
      <c r="J4440" s="33"/>
    </row>
    <row r="4441" spans="1:10">
      <c r="A4441" s="33" t="s">
        <v>173</v>
      </c>
      <c r="B4441" s="34">
        <v>411.846</v>
      </c>
      <c r="C4441" s="35">
        <v>15489.8</v>
      </c>
      <c r="D4441" s="33" t="s">
        <v>25</v>
      </c>
      <c r="E4441" s="34">
        <v>411.90100000000001</v>
      </c>
      <c r="F4441" s="36">
        <v>5.50000000000068E-2</v>
      </c>
      <c r="G4441" s="34">
        <v>5.50000000000068E-2</v>
      </c>
      <c r="H4441" s="35">
        <v>1782.5</v>
      </c>
      <c r="I4441" s="37">
        <f t="shared" si="69"/>
        <v>0.11507572725277279</v>
      </c>
      <c r="J4441" s="33" t="s">
        <v>116</v>
      </c>
    </row>
    <row r="4442" spans="1:10">
      <c r="A4442" s="33" t="s">
        <v>173</v>
      </c>
      <c r="B4442" s="34">
        <v>411.846</v>
      </c>
      <c r="C4442" s="35">
        <v>15489.8</v>
      </c>
      <c r="D4442" s="33" t="s">
        <v>36</v>
      </c>
      <c r="E4442" s="34">
        <v>411.92099999999999</v>
      </c>
      <c r="F4442" s="36">
        <v>7.4999999999999997E-2</v>
      </c>
      <c r="G4442" s="34">
        <v>7.4999999999999997E-2</v>
      </c>
      <c r="H4442" s="35">
        <v>461.1</v>
      </c>
      <c r="I4442" s="37">
        <f t="shared" si="69"/>
        <v>2.9767976345724288E-2</v>
      </c>
      <c r="J4442" s="33" t="s">
        <v>116</v>
      </c>
    </row>
    <row r="4443" spans="1:10">
      <c r="A4443" s="33" t="s">
        <v>173</v>
      </c>
      <c r="B4443" s="34">
        <v>411.846</v>
      </c>
      <c r="C4443" s="35">
        <v>15489.8</v>
      </c>
      <c r="D4443" s="33" t="s">
        <v>273</v>
      </c>
      <c r="E4443" s="34">
        <v>411.92899999999997</v>
      </c>
      <c r="F4443" s="36">
        <v>8.2999999999970001E-2</v>
      </c>
      <c r="G4443" s="34">
        <v>8.2999999999970001E-2</v>
      </c>
      <c r="H4443" s="35">
        <v>735.3</v>
      </c>
      <c r="I4443" s="37">
        <f t="shared" si="69"/>
        <v>4.7469947965758111E-2</v>
      </c>
      <c r="J4443" s="33"/>
    </row>
    <row r="4444" spans="1:10">
      <c r="A4444" s="33" t="s">
        <v>173</v>
      </c>
      <c r="B4444" s="34">
        <v>411.846</v>
      </c>
      <c r="C4444" s="35">
        <v>15489.8</v>
      </c>
      <c r="D4444" s="33" t="s">
        <v>280</v>
      </c>
      <c r="E4444" s="34">
        <v>411.93</v>
      </c>
      <c r="F4444" s="36">
        <v>8.4000000000003197E-2</v>
      </c>
      <c r="G4444" s="34">
        <v>8.4000000000003197E-2</v>
      </c>
      <c r="H4444" s="35">
        <v>233.1</v>
      </c>
      <c r="I4444" s="37">
        <f t="shared" si="69"/>
        <v>1.5048612635411691E-2</v>
      </c>
      <c r="J4444" s="33"/>
    </row>
    <row r="4445" spans="1:10">
      <c r="A4445" s="33" t="s">
        <v>173</v>
      </c>
      <c r="B4445" s="34">
        <v>411.846</v>
      </c>
      <c r="C4445" s="35">
        <v>15489.8</v>
      </c>
      <c r="D4445" s="33" t="s">
        <v>33</v>
      </c>
      <c r="E4445" s="34">
        <v>411.93099999999998</v>
      </c>
      <c r="F4445" s="36">
        <v>8.4999999999979495E-2</v>
      </c>
      <c r="G4445" s="34">
        <v>8.4999999999979495E-2</v>
      </c>
      <c r="H4445" s="35">
        <v>650.9</v>
      </c>
      <c r="I4445" s="37">
        <f t="shared" si="69"/>
        <v>4.2021201048431871E-2</v>
      </c>
      <c r="J4445" s="33" t="s">
        <v>116</v>
      </c>
    </row>
    <row r="4446" spans="1:10">
      <c r="A4446" s="33" t="s">
        <v>173</v>
      </c>
      <c r="B4446" s="34">
        <v>411.846</v>
      </c>
      <c r="C4446" s="35">
        <v>15489.8</v>
      </c>
      <c r="D4446" s="33" t="s">
        <v>278</v>
      </c>
      <c r="E4446" s="34">
        <v>411.94400000000002</v>
      </c>
      <c r="F4446" s="36">
        <v>9.8000000000013202E-2</v>
      </c>
      <c r="G4446" s="34">
        <v>9.8000000000013202E-2</v>
      </c>
      <c r="H4446" s="35">
        <v>89.1</v>
      </c>
      <c r="I4446" s="37">
        <f t="shared" si="69"/>
        <v>5.7521723973195261E-3</v>
      </c>
      <c r="J4446" s="33"/>
    </row>
    <row r="4447" spans="1:10">
      <c r="A4447" s="33" t="s">
        <v>173</v>
      </c>
      <c r="B4447" s="34">
        <v>411.846</v>
      </c>
      <c r="C4447" s="35">
        <v>15489.8</v>
      </c>
      <c r="D4447" s="33" t="s">
        <v>270</v>
      </c>
      <c r="E4447" s="34">
        <v>411.95600000000002</v>
      </c>
      <c r="F4447" s="36">
        <v>0.110000000000014</v>
      </c>
      <c r="G4447" s="34">
        <v>0.110000000000014</v>
      </c>
      <c r="H4447" s="35">
        <v>894.7</v>
      </c>
      <c r="I4447" s="37">
        <f t="shared" si="69"/>
        <v>5.776059084042403E-2</v>
      </c>
      <c r="J4447" s="33"/>
    </row>
    <row r="4448" spans="1:10">
      <c r="A4448" s="33" t="s">
        <v>173</v>
      </c>
      <c r="B4448" s="34">
        <v>411.846</v>
      </c>
      <c r="C4448" s="35">
        <v>15489.8</v>
      </c>
      <c r="D4448" s="33" t="s">
        <v>275</v>
      </c>
      <c r="E4448" s="34">
        <v>411.96300000000002</v>
      </c>
      <c r="F4448" s="36">
        <v>0.11700000000001901</v>
      </c>
      <c r="G4448" s="34">
        <v>0.11700000000001901</v>
      </c>
      <c r="H4448" s="35">
        <v>120.6</v>
      </c>
      <c r="I4448" s="37">
        <f t="shared" si="69"/>
        <v>7.7857686994021874E-3</v>
      </c>
      <c r="J4448" s="33"/>
    </row>
    <row r="4449" spans="1:10">
      <c r="A4449" s="33" t="s">
        <v>173</v>
      </c>
      <c r="B4449" s="34">
        <v>411.846</v>
      </c>
      <c r="C4449" s="35">
        <v>15489.8</v>
      </c>
      <c r="D4449" s="33" t="s">
        <v>282</v>
      </c>
      <c r="E4449" s="34">
        <v>411.96800000000002</v>
      </c>
      <c r="F4449" s="36">
        <v>0.122000000000014</v>
      </c>
      <c r="G4449" s="34">
        <v>0.122000000000014</v>
      </c>
      <c r="H4449" s="35">
        <v>43.1</v>
      </c>
      <c r="I4449" s="37">
        <f t="shared" si="69"/>
        <v>2.7824762101511967E-3</v>
      </c>
      <c r="J4449" s="33"/>
    </row>
    <row r="4450" spans="1:10">
      <c r="A4450" s="33" t="s">
        <v>173</v>
      </c>
      <c r="B4450" s="34">
        <v>411.846</v>
      </c>
      <c r="C4450" s="35">
        <v>15489.8</v>
      </c>
      <c r="D4450" s="33" t="s">
        <v>25</v>
      </c>
      <c r="E4450" s="34">
        <v>411.97800000000001</v>
      </c>
      <c r="F4450" s="36">
        <v>0.132000000000005</v>
      </c>
      <c r="G4450" s="34">
        <v>0.132000000000005</v>
      </c>
      <c r="H4450" s="35">
        <v>5064.7</v>
      </c>
      <c r="I4450" s="37">
        <f t="shared" si="69"/>
        <v>0.32697000606850962</v>
      </c>
      <c r="J4450" s="33" t="s">
        <v>116</v>
      </c>
    </row>
    <row r="4451" spans="1:10">
      <c r="A4451" s="33" t="s">
        <v>173</v>
      </c>
      <c r="B4451" s="34">
        <v>411.846</v>
      </c>
      <c r="C4451" s="35">
        <v>15489.8</v>
      </c>
      <c r="D4451" s="33" t="s">
        <v>236</v>
      </c>
      <c r="E4451" s="34">
        <v>411.98200000000003</v>
      </c>
      <c r="F4451" s="36">
        <v>0.13600000000002399</v>
      </c>
      <c r="G4451" s="34">
        <v>0.13600000000002399</v>
      </c>
      <c r="H4451" s="35">
        <v>29.4</v>
      </c>
      <c r="I4451" s="37">
        <f t="shared" si="69"/>
        <v>1.89802321527715E-3</v>
      </c>
      <c r="J4451" s="33"/>
    </row>
    <row r="4452" spans="1:10">
      <c r="A4452" s="33" t="s">
        <v>173</v>
      </c>
      <c r="B4452" s="34">
        <v>417.93900000000002</v>
      </c>
      <c r="C4452" s="35">
        <v>15252.3</v>
      </c>
      <c r="D4452" s="33" t="s">
        <v>193</v>
      </c>
      <c r="E4452" s="34">
        <v>417.68599999999998</v>
      </c>
      <c r="F4452" s="36">
        <v>0.25300000000004302</v>
      </c>
      <c r="G4452" s="34">
        <v>0.25300000000004302</v>
      </c>
      <c r="H4452" s="35">
        <v>84.4</v>
      </c>
      <c r="I4452" s="37">
        <f t="shared" si="69"/>
        <v>5.5335916550290779E-3</v>
      </c>
      <c r="J4452" s="33"/>
    </row>
    <row r="4453" spans="1:10">
      <c r="A4453" s="33" t="s">
        <v>173</v>
      </c>
      <c r="B4453" s="34">
        <v>417.93900000000002</v>
      </c>
      <c r="C4453" s="35">
        <v>15252.3</v>
      </c>
      <c r="D4453" s="33" t="s">
        <v>275</v>
      </c>
      <c r="E4453" s="34">
        <v>417.72500000000002</v>
      </c>
      <c r="F4453" s="36">
        <v>0.213999999999999</v>
      </c>
      <c r="G4453" s="34">
        <v>0.213999999999999</v>
      </c>
      <c r="H4453" s="35">
        <v>8.6</v>
      </c>
      <c r="I4453" s="37">
        <f t="shared" si="69"/>
        <v>5.6384938664988231E-4</v>
      </c>
      <c r="J4453" s="33"/>
    </row>
    <row r="4454" spans="1:10">
      <c r="A4454" s="33" t="s">
        <v>173</v>
      </c>
      <c r="B4454" s="34">
        <v>417.93900000000002</v>
      </c>
      <c r="C4454" s="35">
        <v>15252.3</v>
      </c>
      <c r="D4454" s="33" t="s">
        <v>27</v>
      </c>
      <c r="E4454" s="34">
        <v>417.73200000000003</v>
      </c>
      <c r="F4454" s="36">
        <v>0.20699999999999399</v>
      </c>
      <c r="G4454" s="34">
        <v>0.20699999999999399</v>
      </c>
      <c r="H4454" s="35">
        <v>7833.8</v>
      </c>
      <c r="I4454" s="37">
        <f t="shared" si="69"/>
        <v>0.513614340132308</v>
      </c>
      <c r="J4454" s="33" t="s">
        <v>116</v>
      </c>
    </row>
    <row r="4455" spans="1:10">
      <c r="A4455" s="33" t="s">
        <v>173</v>
      </c>
      <c r="B4455" s="34">
        <v>417.93900000000002</v>
      </c>
      <c r="C4455" s="35">
        <v>15252.3</v>
      </c>
      <c r="D4455" s="33" t="s">
        <v>133</v>
      </c>
      <c r="E4455" s="34">
        <v>417.745</v>
      </c>
      <c r="F4455" s="36">
        <v>0.19400000000001699</v>
      </c>
      <c r="G4455" s="34">
        <v>0.19400000000001699</v>
      </c>
      <c r="H4455" s="35">
        <v>34.700000000000003</v>
      </c>
      <c r="I4455" s="37">
        <f t="shared" si="69"/>
        <v>2.2750667112501066E-3</v>
      </c>
      <c r="J4455" s="33"/>
    </row>
    <row r="4456" spans="1:10">
      <c r="A4456" s="33" t="s">
        <v>173</v>
      </c>
      <c r="B4456" s="34">
        <v>417.93900000000002</v>
      </c>
      <c r="C4456" s="35">
        <v>15252.3</v>
      </c>
      <c r="D4456" s="33" t="s">
        <v>269</v>
      </c>
      <c r="E4456" s="34">
        <v>417.75</v>
      </c>
      <c r="F4456" s="36">
        <v>0.18900000000002101</v>
      </c>
      <c r="G4456" s="34">
        <v>0.18900000000002101</v>
      </c>
      <c r="H4456" s="35">
        <v>4417</v>
      </c>
      <c r="I4456" s="37">
        <f t="shared" si="69"/>
        <v>0.28959566753866633</v>
      </c>
      <c r="J4456" s="33"/>
    </row>
    <row r="4457" spans="1:10">
      <c r="A4457" s="33" t="s">
        <v>173</v>
      </c>
      <c r="B4457" s="34">
        <v>417.93900000000002</v>
      </c>
      <c r="C4457" s="35">
        <v>15252.3</v>
      </c>
      <c r="D4457" s="33" t="s">
        <v>116</v>
      </c>
      <c r="E4457" s="34">
        <v>417.75299999999999</v>
      </c>
      <c r="F4457" s="36">
        <v>0.186</v>
      </c>
      <c r="G4457" s="34">
        <v>0.186</v>
      </c>
      <c r="H4457" s="35">
        <v>63440.9</v>
      </c>
      <c r="I4457" s="37">
        <f t="shared" si="69"/>
        <v>4.1594316922693633</v>
      </c>
      <c r="J4457" s="33" t="s">
        <v>116</v>
      </c>
    </row>
    <row r="4458" spans="1:10">
      <c r="A4458" s="33" t="s">
        <v>173</v>
      </c>
      <c r="B4458" s="34">
        <v>417.93900000000002</v>
      </c>
      <c r="C4458" s="35">
        <v>15252.3</v>
      </c>
      <c r="D4458" s="33" t="s">
        <v>97</v>
      </c>
      <c r="E4458" s="34">
        <v>417.75900000000001</v>
      </c>
      <c r="F4458" s="36">
        <v>0.18000000000000699</v>
      </c>
      <c r="G4458" s="34">
        <v>0.18000000000000699</v>
      </c>
      <c r="H4458" s="35">
        <v>23</v>
      </c>
      <c r="I4458" s="37">
        <f t="shared" si="69"/>
        <v>1.5079692898775923E-3</v>
      </c>
      <c r="J4458" s="33"/>
    </row>
    <row r="4459" spans="1:10">
      <c r="A4459" s="33" t="s">
        <v>173</v>
      </c>
      <c r="B4459" s="34">
        <v>417.93900000000002</v>
      </c>
      <c r="C4459" s="35">
        <v>15252.3</v>
      </c>
      <c r="D4459" s="33" t="s">
        <v>193</v>
      </c>
      <c r="E4459" s="34">
        <v>417.78800000000001</v>
      </c>
      <c r="F4459" s="36">
        <v>0.15100000000001099</v>
      </c>
      <c r="G4459" s="34">
        <v>0.15100000000001099</v>
      </c>
      <c r="H4459" s="35">
        <v>10.8</v>
      </c>
      <c r="I4459" s="37">
        <f t="shared" si="69"/>
        <v>7.0808992742078249E-4</v>
      </c>
      <c r="J4459" s="33"/>
    </row>
    <row r="4460" spans="1:10">
      <c r="A4460" s="33" t="s">
        <v>173</v>
      </c>
      <c r="B4460" s="34">
        <v>417.93900000000002</v>
      </c>
      <c r="C4460" s="35">
        <v>15252.3</v>
      </c>
      <c r="D4460" s="33" t="s">
        <v>270</v>
      </c>
      <c r="E4460" s="34">
        <v>417.8</v>
      </c>
      <c r="F4460" s="36">
        <v>0.13900000000001</v>
      </c>
      <c r="G4460" s="34">
        <v>0.13900000000001</v>
      </c>
      <c r="H4460" s="35">
        <v>1276.3</v>
      </c>
      <c r="I4460" s="37">
        <f t="shared" si="69"/>
        <v>8.3679182811772654E-2</v>
      </c>
      <c r="J4460" s="33"/>
    </row>
    <row r="4461" spans="1:10">
      <c r="A4461" s="33" t="s">
        <v>173</v>
      </c>
      <c r="B4461" s="34">
        <v>417.93900000000002</v>
      </c>
      <c r="C4461" s="35">
        <v>15252.3</v>
      </c>
      <c r="D4461" s="33" t="s">
        <v>271</v>
      </c>
      <c r="E4461" s="34">
        <v>417.80599999999998</v>
      </c>
      <c r="F4461" s="36">
        <v>0.133000000000038</v>
      </c>
      <c r="G4461" s="34">
        <v>0.133000000000038</v>
      </c>
      <c r="H4461" s="35">
        <v>2403</v>
      </c>
      <c r="I4461" s="37">
        <f t="shared" si="69"/>
        <v>0.15755000885112411</v>
      </c>
      <c r="J4461" s="33"/>
    </row>
    <row r="4462" spans="1:10">
      <c r="A4462" s="33" t="s">
        <v>173</v>
      </c>
      <c r="B4462" s="34">
        <v>417.93900000000002</v>
      </c>
      <c r="C4462" s="35">
        <v>15252.3</v>
      </c>
      <c r="D4462" s="33" t="s">
        <v>25</v>
      </c>
      <c r="E4462" s="34">
        <v>417.81400000000002</v>
      </c>
      <c r="F4462" s="36">
        <v>0.125</v>
      </c>
      <c r="G4462" s="34">
        <v>0.125</v>
      </c>
      <c r="H4462" s="35">
        <v>58.4</v>
      </c>
      <c r="I4462" s="37">
        <f t="shared" si="69"/>
        <v>3.8289307186457127E-3</v>
      </c>
      <c r="J4462" s="33" t="s">
        <v>116</v>
      </c>
    </row>
    <row r="4463" spans="1:10">
      <c r="A4463" s="33" t="s">
        <v>173</v>
      </c>
      <c r="B4463" s="34">
        <v>417.93900000000002</v>
      </c>
      <c r="C4463" s="35">
        <v>15252.3</v>
      </c>
      <c r="D4463" s="33" t="s">
        <v>278</v>
      </c>
      <c r="E4463" s="34">
        <v>417.84</v>
      </c>
      <c r="F4463" s="36">
        <v>9.9000000000046398E-2</v>
      </c>
      <c r="G4463" s="34">
        <v>9.9000000000046398E-2</v>
      </c>
      <c r="H4463" s="35">
        <v>92.9</v>
      </c>
      <c r="I4463" s="37">
        <f t="shared" si="69"/>
        <v>6.0908846534621017E-3</v>
      </c>
      <c r="J4463" s="33"/>
    </row>
    <row r="4464" spans="1:10">
      <c r="A4464" s="33" t="s">
        <v>173</v>
      </c>
      <c r="B4464" s="34">
        <v>417.93900000000002</v>
      </c>
      <c r="C4464" s="35">
        <v>15252.3</v>
      </c>
      <c r="D4464" s="33" t="s">
        <v>27</v>
      </c>
      <c r="E4464" s="34">
        <v>417.84399999999999</v>
      </c>
      <c r="F4464" s="36">
        <v>9.5000000000027299E-2</v>
      </c>
      <c r="G4464" s="34">
        <v>9.5000000000027299E-2</v>
      </c>
      <c r="H4464" s="35">
        <v>1159.4000000000001</v>
      </c>
      <c r="I4464" s="37">
        <f t="shared" si="69"/>
        <v>7.6014764986264374E-2</v>
      </c>
      <c r="J4464" s="33" t="s">
        <v>116</v>
      </c>
    </row>
    <row r="4465" spans="1:10">
      <c r="A4465" s="33" t="s">
        <v>173</v>
      </c>
      <c r="B4465" s="34">
        <v>417.93900000000002</v>
      </c>
      <c r="C4465" s="35">
        <v>15252.3</v>
      </c>
      <c r="D4465" s="33" t="s">
        <v>277</v>
      </c>
      <c r="E4465" s="34">
        <v>417.85199999999998</v>
      </c>
      <c r="F4465" s="36">
        <v>8.7000000000045902E-2</v>
      </c>
      <c r="G4465" s="34">
        <v>8.7000000000045902E-2</v>
      </c>
      <c r="H4465" s="35">
        <v>89.6</v>
      </c>
      <c r="I4465" s="37">
        <f t="shared" si="69"/>
        <v>5.8745238423057507E-3</v>
      </c>
      <c r="J4465" s="33"/>
    </row>
    <row r="4466" spans="1:10">
      <c r="A4466" s="33" t="s">
        <v>173</v>
      </c>
      <c r="B4466" s="34">
        <v>417.93900000000002</v>
      </c>
      <c r="C4466" s="35">
        <v>15252.3</v>
      </c>
      <c r="D4466" s="33" t="s">
        <v>173</v>
      </c>
      <c r="E4466" s="34">
        <v>417.863</v>
      </c>
      <c r="F4466" s="36">
        <v>7.60000000000218E-2</v>
      </c>
      <c r="G4466" s="34">
        <v>7.60000000000218E-2</v>
      </c>
      <c r="H4466" s="35">
        <v>948.2</v>
      </c>
      <c r="I4466" s="37">
        <f t="shared" si="69"/>
        <v>6.2167673072257963E-2</v>
      </c>
      <c r="J4466" s="33"/>
    </row>
    <row r="4467" spans="1:10">
      <c r="A4467" s="33" t="s">
        <v>173</v>
      </c>
      <c r="B4467" s="34">
        <v>417.93900000000002</v>
      </c>
      <c r="C4467" s="35">
        <v>15252.3</v>
      </c>
      <c r="D4467" s="33" t="s">
        <v>97</v>
      </c>
      <c r="E4467" s="34">
        <v>417.88600000000002</v>
      </c>
      <c r="F4467" s="36">
        <v>5.2999999999997299E-2</v>
      </c>
      <c r="G4467" s="34">
        <v>5.2999999999997299E-2</v>
      </c>
      <c r="H4467" s="35">
        <v>2.6</v>
      </c>
      <c r="I4467" s="37">
        <f t="shared" si="69"/>
        <v>1.7046609363833654E-4</v>
      </c>
      <c r="J4467" s="33"/>
    </row>
    <row r="4468" spans="1:10">
      <c r="A4468" s="33" t="s">
        <v>173</v>
      </c>
      <c r="B4468" s="34">
        <v>417.93900000000002</v>
      </c>
      <c r="C4468" s="35">
        <v>15252.3</v>
      </c>
      <c r="D4468" s="33" t="s">
        <v>277</v>
      </c>
      <c r="E4468" s="34">
        <v>417.899</v>
      </c>
      <c r="F4468" s="36">
        <v>4.0000000000020498E-2</v>
      </c>
      <c r="G4468" s="34">
        <v>4.0000000000020498E-2</v>
      </c>
      <c r="H4468" s="35">
        <v>146.9</v>
      </c>
      <c r="I4468" s="37">
        <f t="shared" si="69"/>
        <v>9.631334290566014E-3</v>
      </c>
      <c r="J4468" s="33"/>
    </row>
    <row r="4469" spans="1:10">
      <c r="A4469" s="33" t="s">
        <v>173</v>
      </c>
      <c r="B4469" s="34">
        <v>417.93900000000002</v>
      </c>
      <c r="C4469" s="35">
        <v>15252.3</v>
      </c>
      <c r="D4469" s="33" t="s">
        <v>54</v>
      </c>
      <c r="E4469" s="34">
        <v>417.92099999999999</v>
      </c>
      <c r="F4469" s="36">
        <v>1.80000000000291E-2</v>
      </c>
      <c r="G4469" s="34">
        <v>1.80000000000291E-2</v>
      </c>
      <c r="H4469" s="35">
        <v>2.4</v>
      </c>
      <c r="I4469" s="37">
        <f t="shared" si="69"/>
        <v>1.5735331720461834E-4</v>
      </c>
      <c r="J4469" s="33"/>
    </row>
    <row r="4470" spans="1:10">
      <c r="A4470" s="33" t="s">
        <v>173</v>
      </c>
      <c r="B4470" s="34">
        <v>417.93900000000002</v>
      </c>
      <c r="C4470" s="35">
        <v>15252.3</v>
      </c>
      <c r="D4470" s="33" t="s">
        <v>239</v>
      </c>
      <c r="E4470" s="34">
        <v>417.92700000000002</v>
      </c>
      <c r="F4470" s="36">
        <v>1.20000000000005E-2</v>
      </c>
      <c r="G4470" s="34">
        <v>1.20000000000005E-2</v>
      </c>
      <c r="H4470" s="35">
        <v>38.9</v>
      </c>
      <c r="I4470" s="37">
        <f t="shared" si="69"/>
        <v>2.5504350163581884E-3</v>
      </c>
      <c r="J4470" s="33"/>
    </row>
    <row r="4471" spans="1:10">
      <c r="A4471" s="33" t="s">
        <v>173</v>
      </c>
      <c r="B4471" s="34">
        <v>417.93900000000002</v>
      </c>
      <c r="C4471" s="35">
        <v>15252.3</v>
      </c>
      <c r="D4471" s="33" t="s">
        <v>25</v>
      </c>
      <c r="E4471" s="34">
        <v>417.92899999999997</v>
      </c>
      <c r="F4471" s="36">
        <v>1.0000000000047801E-2</v>
      </c>
      <c r="G4471" s="34">
        <v>1.0000000000047801E-2</v>
      </c>
      <c r="H4471" s="35">
        <v>358</v>
      </c>
      <c r="I4471" s="37">
        <f t="shared" si="69"/>
        <v>2.3471869816355566E-2</v>
      </c>
      <c r="J4471" s="33" t="s">
        <v>116</v>
      </c>
    </row>
    <row r="4472" spans="1:10">
      <c r="A4472" s="33" t="s">
        <v>173</v>
      </c>
      <c r="B4472" s="34">
        <v>417.93900000000002</v>
      </c>
      <c r="C4472" s="35">
        <v>15252.3</v>
      </c>
      <c r="D4472" s="33" t="s">
        <v>270</v>
      </c>
      <c r="E4472" s="34">
        <v>417.94</v>
      </c>
      <c r="F4472" s="36">
        <v>9.9999999997635292E-4</v>
      </c>
      <c r="G4472" s="34">
        <v>9.9999999997635292E-4</v>
      </c>
      <c r="H4472" s="35">
        <v>45.1</v>
      </c>
      <c r="I4472" s="37">
        <f t="shared" si="69"/>
        <v>2.9569310858034528E-3</v>
      </c>
      <c r="J4472" s="33"/>
    </row>
    <row r="4473" spans="1:10">
      <c r="A4473" s="33" t="s">
        <v>173</v>
      </c>
      <c r="B4473" s="34">
        <v>417.93900000000002</v>
      </c>
      <c r="C4473" s="35">
        <v>15252.3</v>
      </c>
      <c r="D4473" s="33" t="s">
        <v>278</v>
      </c>
      <c r="E4473" s="34">
        <v>417.94</v>
      </c>
      <c r="F4473" s="36">
        <v>9.9999999997635292E-4</v>
      </c>
      <c r="G4473" s="34">
        <v>9.9999999997635292E-4</v>
      </c>
      <c r="H4473" s="35">
        <v>58.2</v>
      </c>
      <c r="I4473" s="37">
        <f t="shared" si="69"/>
        <v>3.8158179422119946E-3</v>
      </c>
      <c r="J4473" s="33"/>
    </row>
    <row r="4474" spans="1:10">
      <c r="A4474" s="33" t="s">
        <v>173</v>
      </c>
      <c r="B4474" s="34">
        <v>417.93900000000002</v>
      </c>
      <c r="C4474" s="35">
        <v>15252.3</v>
      </c>
      <c r="D4474" s="33" t="s">
        <v>97</v>
      </c>
      <c r="E4474" s="34">
        <v>417.95600000000002</v>
      </c>
      <c r="F4474" s="36">
        <v>1.69999999999959E-2</v>
      </c>
      <c r="G4474" s="34">
        <v>1.69999999999959E-2</v>
      </c>
      <c r="H4474" s="35">
        <v>1.8</v>
      </c>
      <c r="I4474" s="37">
        <f t="shared" si="69"/>
        <v>1.1801498790346374E-4</v>
      </c>
      <c r="J4474" s="33"/>
    </row>
    <row r="4475" spans="1:10">
      <c r="A4475" s="33" t="s">
        <v>173</v>
      </c>
      <c r="B4475" s="34">
        <v>417.93900000000002</v>
      </c>
      <c r="C4475" s="35">
        <v>15252.3</v>
      </c>
      <c r="D4475" s="33" t="s">
        <v>27</v>
      </c>
      <c r="E4475" s="34">
        <v>417.95800000000003</v>
      </c>
      <c r="F4475" s="36">
        <v>1.9000000000005499E-2</v>
      </c>
      <c r="G4475" s="34">
        <v>1.9000000000005499E-2</v>
      </c>
      <c r="H4475" s="35">
        <v>1911.6</v>
      </c>
      <c r="I4475" s="37">
        <f t="shared" si="69"/>
        <v>0.12533191715347849</v>
      </c>
      <c r="J4475" s="33" t="s">
        <v>116</v>
      </c>
    </row>
    <row r="4476" spans="1:10">
      <c r="A4476" s="33" t="s">
        <v>173</v>
      </c>
      <c r="B4476" s="34">
        <v>417.93900000000002</v>
      </c>
      <c r="C4476" s="35">
        <v>15252.3</v>
      </c>
      <c r="D4476" s="33" t="s">
        <v>271</v>
      </c>
      <c r="E4476" s="34">
        <v>417.971</v>
      </c>
      <c r="F4476" s="36">
        <v>3.19999999999823E-2</v>
      </c>
      <c r="G4476" s="34">
        <v>3.19999999999823E-2</v>
      </c>
      <c r="H4476" s="35">
        <v>933.8</v>
      </c>
      <c r="I4476" s="37">
        <f t="shared" si="69"/>
        <v>6.1223553169030241E-2</v>
      </c>
      <c r="J4476" s="33"/>
    </row>
    <row r="4477" spans="1:10">
      <c r="A4477" s="33" t="s">
        <v>173</v>
      </c>
      <c r="B4477" s="34">
        <v>417.93900000000002</v>
      </c>
      <c r="C4477" s="35">
        <v>15252.3</v>
      </c>
      <c r="D4477" s="33" t="s">
        <v>236</v>
      </c>
      <c r="E4477" s="34">
        <v>417.98099999999999</v>
      </c>
      <c r="F4477" s="36">
        <v>4.1999999999973198E-2</v>
      </c>
      <c r="G4477" s="34">
        <v>4.1999999999973198E-2</v>
      </c>
      <c r="H4477" s="35">
        <v>1128.0999999999999</v>
      </c>
      <c r="I4477" s="37">
        <f t="shared" si="69"/>
        <v>7.3962615474387469E-2</v>
      </c>
      <c r="J4477" s="33"/>
    </row>
    <row r="4478" spans="1:10">
      <c r="A4478" s="33" t="s">
        <v>173</v>
      </c>
      <c r="B4478" s="34">
        <v>417.93900000000002</v>
      </c>
      <c r="C4478" s="35">
        <v>15252.3</v>
      </c>
      <c r="D4478" s="33" t="s">
        <v>271</v>
      </c>
      <c r="E4478" s="34">
        <v>417.99599999999998</v>
      </c>
      <c r="F4478" s="36">
        <v>5.69999999999595E-2</v>
      </c>
      <c r="G4478" s="34">
        <v>5.69999999999595E-2</v>
      </c>
      <c r="H4478" s="35">
        <v>921.8</v>
      </c>
      <c r="I4478" s="37">
        <f t="shared" si="69"/>
        <v>6.0436786583007156E-2</v>
      </c>
      <c r="J4478" s="33"/>
    </row>
    <row r="4479" spans="1:10">
      <c r="A4479" s="33" t="s">
        <v>173</v>
      </c>
      <c r="B4479" s="34">
        <v>417.93900000000002</v>
      </c>
      <c r="C4479" s="35">
        <v>15252.3</v>
      </c>
      <c r="D4479" s="33" t="s">
        <v>274</v>
      </c>
      <c r="E4479" s="34">
        <v>418.024</v>
      </c>
      <c r="F4479" s="36">
        <v>8.4999999999979495E-2</v>
      </c>
      <c r="G4479" s="34">
        <v>8.4999999999979495E-2</v>
      </c>
      <c r="H4479" s="35">
        <v>5.3</v>
      </c>
      <c r="I4479" s="37">
        <f t="shared" si="69"/>
        <v>3.4748857549353213E-4</v>
      </c>
      <c r="J4479" s="33"/>
    </row>
    <row r="4480" spans="1:10">
      <c r="A4480" s="33" t="s">
        <v>173</v>
      </c>
      <c r="B4480" s="34">
        <v>417.93900000000002</v>
      </c>
      <c r="C4480" s="35">
        <v>15252.3</v>
      </c>
      <c r="D4480" s="33" t="s">
        <v>27</v>
      </c>
      <c r="E4480" s="34">
        <v>418.05700000000002</v>
      </c>
      <c r="F4480" s="36">
        <v>0.117999999999995</v>
      </c>
      <c r="G4480" s="34">
        <v>0.117999999999995</v>
      </c>
      <c r="H4480" s="35">
        <v>85.9</v>
      </c>
      <c r="I4480" s="37">
        <f t="shared" si="69"/>
        <v>5.6319374782819644E-3</v>
      </c>
      <c r="J4480" s="33" t="s">
        <v>116</v>
      </c>
    </row>
    <row r="4481" spans="1:10">
      <c r="A4481" s="33" t="s">
        <v>173</v>
      </c>
      <c r="B4481" s="34">
        <v>417.93900000000002</v>
      </c>
      <c r="C4481" s="35">
        <v>15252.3</v>
      </c>
      <c r="D4481" s="33" t="s">
        <v>173</v>
      </c>
      <c r="E4481" s="34">
        <v>418.065</v>
      </c>
      <c r="F4481" s="36">
        <v>0.12599999999997599</v>
      </c>
      <c r="G4481" s="34">
        <v>0.12599999999997599</v>
      </c>
      <c r="H4481" s="35">
        <v>322.3</v>
      </c>
      <c r="I4481" s="37">
        <f t="shared" si="69"/>
        <v>2.113123922293687E-2</v>
      </c>
      <c r="J4481" s="33"/>
    </row>
    <row r="4482" spans="1:10">
      <c r="A4482" s="33" t="s">
        <v>173</v>
      </c>
      <c r="B4482" s="34">
        <v>417.93900000000002</v>
      </c>
      <c r="C4482" s="35">
        <v>15252.3</v>
      </c>
      <c r="D4482" s="33" t="s">
        <v>201</v>
      </c>
      <c r="E4482" s="34">
        <v>418.08100000000002</v>
      </c>
      <c r="F4482" s="36">
        <v>0.14199999999999599</v>
      </c>
      <c r="G4482" s="34">
        <v>0.14199999999999599</v>
      </c>
      <c r="H4482" s="35">
        <v>1424.2</v>
      </c>
      <c r="I4482" s="37">
        <f t="shared" ref="I4482:I4545" si="70">H4482/C4482</f>
        <v>9.3376080984507268E-2</v>
      </c>
      <c r="J4482" s="33"/>
    </row>
    <row r="4483" spans="1:10">
      <c r="A4483" s="33" t="s">
        <v>173</v>
      </c>
      <c r="B4483" s="34">
        <v>417.93900000000002</v>
      </c>
      <c r="C4483" s="35">
        <v>15252.3</v>
      </c>
      <c r="D4483" s="33" t="s">
        <v>275</v>
      </c>
      <c r="E4483" s="34">
        <v>418.09399999999999</v>
      </c>
      <c r="F4483" s="36">
        <v>0.15499999999997299</v>
      </c>
      <c r="G4483" s="34">
        <v>0.15499999999997299</v>
      </c>
      <c r="H4483" s="35">
        <v>6.9</v>
      </c>
      <c r="I4483" s="37">
        <f t="shared" si="70"/>
        <v>4.5239078696327769E-4</v>
      </c>
      <c r="J4483" s="33"/>
    </row>
    <row r="4484" spans="1:10">
      <c r="A4484" s="33" t="s">
        <v>173</v>
      </c>
      <c r="B4484" s="34">
        <v>417.93900000000002</v>
      </c>
      <c r="C4484" s="35">
        <v>15252.3</v>
      </c>
      <c r="D4484" s="33" t="s">
        <v>25</v>
      </c>
      <c r="E4484" s="34">
        <v>418.108</v>
      </c>
      <c r="F4484" s="36">
        <v>0.168999999999983</v>
      </c>
      <c r="G4484" s="34">
        <v>0.168999999999983</v>
      </c>
      <c r="H4484" s="35">
        <v>1407.5</v>
      </c>
      <c r="I4484" s="37">
        <f t="shared" si="70"/>
        <v>9.2281164152291789E-2</v>
      </c>
      <c r="J4484" s="33" t="s">
        <v>116</v>
      </c>
    </row>
    <row r="4485" spans="1:10">
      <c r="A4485" s="33" t="s">
        <v>173</v>
      </c>
      <c r="B4485" s="34">
        <v>417.93900000000002</v>
      </c>
      <c r="C4485" s="35">
        <v>15252.3</v>
      </c>
      <c r="D4485" s="33" t="s">
        <v>276</v>
      </c>
      <c r="E4485" s="34">
        <v>418.11</v>
      </c>
      <c r="F4485" s="36">
        <v>0.17099999999999199</v>
      </c>
      <c r="G4485" s="34">
        <v>0.17099999999999199</v>
      </c>
      <c r="H4485" s="35">
        <v>0.2</v>
      </c>
      <c r="I4485" s="37">
        <f t="shared" si="70"/>
        <v>1.3112776433718195E-5</v>
      </c>
      <c r="J4485" s="33"/>
    </row>
    <row r="4486" spans="1:10">
      <c r="A4486" s="33" t="s">
        <v>173</v>
      </c>
      <c r="B4486" s="34">
        <v>417.93900000000002</v>
      </c>
      <c r="C4486" s="35">
        <v>15252.3</v>
      </c>
      <c r="D4486" s="33" t="s">
        <v>270</v>
      </c>
      <c r="E4486" s="34">
        <v>418.11</v>
      </c>
      <c r="F4486" s="36">
        <v>0.17099999999999199</v>
      </c>
      <c r="G4486" s="34">
        <v>0.17099999999999199</v>
      </c>
      <c r="H4486" s="35">
        <v>1948.4</v>
      </c>
      <c r="I4486" s="37">
        <f t="shared" si="70"/>
        <v>0.12774466801728265</v>
      </c>
      <c r="J4486" s="33"/>
    </row>
    <row r="4487" spans="1:10">
      <c r="A4487" s="33" t="s">
        <v>173</v>
      </c>
      <c r="B4487" s="34">
        <v>417.93900000000002</v>
      </c>
      <c r="C4487" s="35">
        <v>15252.3</v>
      </c>
      <c r="D4487" s="33" t="s">
        <v>193</v>
      </c>
      <c r="E4487" s="34">
        <v>418.11500000000001</v>
      </c>
      <c r="F4487" s="36">
        <v>0.175999999999988</v>
      </c>
      <c r="G4487" s="34">
        <v>0.175999999999988</v>
      </c>
      <c r="H4487" s="35">
        <v>16.399999999999999</v>
      </c>
      <c r="I4487" s="37">
        <f t="shared" si="70"/>
        <v>1.0752476675648919E-3</v>
      </c>
      <c r="J4487" s="33"/>
    </row>
    <row r="4488" spans="1:10">
      <c r="A4488" s="33" t="s">
        <v>173</v>
      </c>
      <c r="B4488" s="34">
        <v>417.93900000000002</v>
      </c>
      <c r="C4488" s="35">
        <v>15252.3</v>
      </c>
      <c r="D4488" s="33" t="s">
        <v>273</v>
      </c>
      <c r="E4488" s="34">
        <v>418.13400000000001</v>
      </c>
      <c r="F4488" s="36">
        <v>0.19499999999999301</v>
      </c>
      <c r="G4488" s="34">
        <v>0.19499999999999301</v>
      </c>
      <c r="H4488" s="35">
        <v>24.2</v>
      </c>
      <c r="I4488" s="37">
        <f t="shared" si="70"/>
        <v>1.5866459484799014E-3</v>
      </c>
      <c r="J4488" s="33"/>
    </row>
    <row r="4489" spans="1:10">
      <c r="A4489" s="33" t="s">
        <v>173</v>
      </c>
      <c r="B4489" s="34">
        <v>417.93900000000002</v>
      </c>
      <c r="C4489" s="35">
        <v>15252.3</v>
      </c>
      <c r="D4489" s="33" t="s">
        <v>97</v>
      </c>
      <c r="E4489" s="34">
        <v>418.17500000000001</v>
      </c>
      <c r="F4489" s="36">
        <v>0.23599999999999</v>
      </c>
      <c r="G4489" s="34">
        <v>0.23599999999999</v>
      </c>
      <c r="H4489" s="35">
        <v>39.4</v>
      </c>
      <c r="I4489" s="37">
        <f t="shared" si="70"/>
        <v>2.583216957442484E-3</v>
      </c>
      <c r="J4489" s="33"/>
    </row>
    <row r="4490" spans="1:10">
      <c r="A4490" s="33" t="s">
        <v>173</v>
      </c>
      <c r="B4490" s="34">
        <v>417.93900000000002</v>
      </c>
      <c r="C4490" s="35">
        <v>15252.3</v>
      </c>
      <c r="D4490" s="33" t="s">
        <v>287</v>
      </c>
      <c r="E4490" s="34">
        <v>418.18799999999999</v>
      </c>
      <c r="F4490" s="36">
        <v>0.248999999999967</v>
      </c>
      <c r="G4490" s="34">
        <v>0.248999999999967</v>
      </c>
      <c r="H4490" s="35">
        <v>48427</v>
      </c>
      <c r="I4490" s="37">
        <f t="shared" si="70"/>
        <v>3.175062121778355</v>
      </c>
      <c r="J4490" s="33"/>
    </row>
    <row r="4491" spans="1:10">
      <c r="A4491" s="33" t="s">
        <v>173</v>
      </c>
      <c r="B4491" s="34">
        <v>417.93900000000002</v>
      </c>
      <c r="C4491" s="35">
        <v>15252.3</v>
      </c>
      <c r="D4491" s="33" t="s">
        <v>271</v>
      </c>
      <c r="E4491" s="34">
        <v>418.21600000000001</v>
      </c>
      <c r="F4491" s="36">
        <v>0.27699999999998698</v>
      </c>
      <c r="G4491" s="34">
        <v>0.27699999999998698</v>
      </c>
      <c r="H4491" s="35">
        <v>426.4</v>
      </c>
      <c r="I4491" s="37">
        <f t="shared" si="70"/>
        <v>2.7956439356687186E-2</v>
      </c>
      <c r="J4491" s="33"/>
    </row>
    <row r="4492" spans="1:10">
      <c r="A4492" s="33" t="s">
        <v>173</v>
      </c>
      <c r="B4492" s="34">
        <v>418.94799999999998</v>
      </c>
      <c r="C4492" s="35">
        <v>12385.2</v>
      </c>
      <c r="D4492" s="33" t="s">
        <v>33</v>
      </c>
      <c r="E4492" s="34">
        <v>418.68200000000002</v>
      </c>
      <c r="F4492" s="36">
        <v>0.26599999999996299</v>
      </c>
      <c r="G4492" s="34">
        <v>0.26599999999996299</v>
      </c>
      <c r="H4492" s="35">
        <v>1403.3</v>
      </c>
      <c r="I4492" s="37">
        <f t="shared" si="70"/>
        <v>0.11330458934857732</v>
      </c>
      <c r="J4492" s="33" t="s">
        <v>116</v>
      </c>
    </row>
    <row r="4493" spans="1:10">
      <c r="A4493" s="33" t="s">
        <v>173</v>
      </c>
      <c r="B4493" s="34">
        <v>418.94799999999998</v>
      </c>
      <c r="C4493" s="35">
        <v>12385.2</v>
      </c>
      <c r="D4493" s="33" t="s">
        <v>97</v>
      </c>
      <c r="E4493" s="34">
        <v>418.70400000000001</v>
      </c>
      <c r="F4493" s="36">
        <v>0.24399999999997099</v>
      </c>
      <c r="G4493" s="34">
        <v>0.24399999999997099</v>
      </c>
      <c r="H4493" s="35">
        <v>45.7</v>
      </c>
      <c r="I4493" s="37">
        <f t="shared" si="70"/>
        <v>3.6898879307560636E-3</v>
      </c>
      <c r="J4493" s="33"/>
    </row>
    <row r="4494" spans="1:10">
      <c r="A4494" s="33" t="s">
        <v>173</v>
      </c>
      <c r="B4494" s="34">
        <v>418.94799999999998</v>
      </c>
      <c r="C4494" s="35">
        <v>12385.2</v>
      </c>
      <c r="D4494" s="33" t="s">
        <v>133</v>
      </c>
      <c r="E4494" s="34">
        <v>418.73</v>
      </c>
      <c r="F4494" s="36">
        <v>0.217999999999961</v>
      </c>
      <c r="G4494" s="34">
        <v>0.217999999999961</v>
      </c>
      <c r="H4494" s="35">
        <v>221.9</v>
      </c>
      <c r="I4494" s="37">
        <f t="shared" si="70"/>
        <v>1.7916545554371346E-2</v>
      </c>
      <c r="J4494" s="33"/>
    </row>
    <row r="4495" spans="1:10">
      <c r="A4495" s="33" t="s">
        <v>173</v>
      </c>
      <c r="B4495" s="34">
        <v>418.94799999999998</v>
      </c>
      <c r="C4495" s="35">
        <v>12385.2</v>
      </c>
      <c r="D4495" s="33" t="s">
        <v>25</v>
      </c>
      <c r="E4495" s="34">
        <v>418.73200000000003</v>
      </c>
      <c r="F4495" s="36">
        <v>0.21599999999995101</v>
      </c>
      <c r="G4495" s="34">
        <v>0.21599999999995101</v>
      </c>
      <c r="H4495" s="35">
        <v>2246</v>
      </c>
      <c r="I4495" s="37">
        <f t="shared" si="70"/>
        <v>0.18134547685947744</v>
      </c>
      <c r="J4495" s="33" t="s">
        <v>116</v>
      </c>
    </row>
    <row r="4496" spans="1:10">
      <c r="A4496" s="33" t="s">
        <v>173</v>
      </c>
      <c r="B4496" s="34">
        <v>418.94799999999998</v>
      </c>
      <c r="C4496" s="35">
        <v>12385.2</v>
      </c>
      <c r="D4496" s="33" t="s">
        <v>236</v>
      </c>
      <c r="E4496" s="34">
        <v>418.75099999999998</v>
      </c>
      <c r="F4496" s="36">
        <v>0.19700000000000301</v>
      </c>
      <c r="G4496" s="34">
        <v>0.19700000000000301</v>
      </c>
      <c r="H4496" s="35">
        <v>227</v>
      </c>
      <c r="I4496" s="37">
        <f t="shared" si="70"/>
        <v>1.8328327358460097E-2</v>
      </c>
      <c r="J4496" s="33"/>
    </row>
    <row r="4497" spans="1:10">
      <c r="A4497" s="33" t="s">
        <v>173</v>
      </c>
      <c r="B4497" s="34">
        <v>418.94799999999998</v>
      </c>
      <c r="C4497" s="35">
        <v>12385.2</v>
      </c>
      <c r="D4497" s="33" t="s">
        <v>184</v>
      </c>
      <c r="E4497" s="34">
        <v>418.76100000000002</v>
      </c>
      <c r="F4497" s="36">
        <v>0.18699999999995501</v>
      </c>
      <c r="G4497" s="34">
        <v>0.18699999999995501</v>
      </c>
      <c r="H4497" s="35">
        <v>26.1</v>
      </c>
      <c r="I4497" s="37">
        <f t="shared" si="70"/>
        <v>2.1073539385718437E-3</v>
      </c>
      <c r="J4497" s="33"/>
    </row>
    <row r="4498" spans="1:10">
      <c r="A4498" s="33" t="s">
        <v>173</v>
      </c>
      <c r="B4498" s="34">
        <v>418.94799999999998</v>
      </c>
      <c r="C4498" s="35">
        <v>12385.2</v>
      </c>
      <c r="D4498" s="33" t="s">
        <v>269</v>
      </c>
      <c r="E4498" s="34">
        <v>418.767</v>
      </c>
      <c r="F4498" s="36">
        <v>0.18099999999998301</v>
      </c>
      <c r="G4498" s="34">
        <v>0.18099999999998301</v>
      </c>
      <c r="H4498" s="35">
        <v>123.6</v>
      </c>
      <c r="I4498" s="37">
        <f t="shared" si="70"/>
        <v>9.9796531343862016E-3</v>
      </c>
      <c r="J4498" s="33"/>
    </row>
    <row r="4499" spans="1:10">
      <c r="A4499" s="33" t="s">
        <v>173</v>
      </c>
      <c r="B4499" s="34">
        <v>418.94799999999998</v>
      </c>
      <c r="C4499" s="35">
        <v>12385.2</v>
      </c>
      <c r="D4499" s="33" t="s">
        <v>283</v>
      </c>
      <c r="E4499" s="34">
        <v>418.77300000000002</v>
      </c>
      <c r="F4499" s="36">
        <v>0.174999999999955</v>
      </c>
      <c r="G4499" s="34">
        <v>0.174999999999955</v>
      </c>
      <c r="H4499" s="35">
        <v>5.6</v>
      </c>
      <c r="I4499" s="37">
        <f t="shared" si="70"/>
        <v>4.5215256919549135E-4</v>
      </c>
      <c r="J4499" s="33"/>
    </row>
    <row r="4500" spans="1:10">
      <c r="A4500" s="33" t="s">
        <v>173</v>
      </c>
      <c r="B4500" s="34">
        <v>418.94799999999998</v>
      </c>
      <c r="C4500" s="35">
        <v>12385.2</v>
      </c>
      <c r="D4500" s="33" t="s">
        <v>97</v>
      </c>
      <c r="E4500" s="34">
        <v>418.779</v>
      </c>
      <c r="F4500" s="36">
        <v>0.168999999999983</v>
      </c>
      <c r="G4500" s="34">
        <v>0.168999999999983</v>
      </c>
      <c r="H4500" s="35">
        <v>47.6</v>
      </c>
      <c r="I4500" s="37">
        <f t="shared" si="70"/>
        <v>3.8432968381616767E-3</v>
      </c>
      <c r="J4500" s="33"/>
    </row>
    <row r="4501" spans="1:10">
      <c r="A4501" s="33" t="s">
        <v>173</v>
      </c>
      <c r="B4501" s="34">
        <v>418.94799999999998</v>
      </c>
      <c r="C4501" s="35">
        <v>12385.2</v>
      </c>
      <c r="D4501" s="33" t="s">
        <v>165</v>
      </c>
      <c r="E4501" s="34">
        <v>418.78500000000003</v>
      </c>
      <c r="F4501" s="36">
        <v>0.16299999999995399</v>
      </c>
      <c r="G4501" s="34">
        <v>0.16299999999995399</v>
      </c>
      <c r="H4501" s="35">
        <v>1.2</v>
      </c>
      <c r="I4501" s="37">
        <f t="shared" si="70"/>
        <v>9.688983625617672E-5</v>
      </c>
      <c r="J4501" s="33"/>
    </row>
    <row r="4502" spans="1:10">
      <c r="A4502" s="33" t="s">
        <v>173</v>
      </c>
      <c r="B4502" s="34">
        <v>418.94799999999998</v>
      </c>
      <c r="C4502" s="35">
        <v>12385.2</v>
      </c>
      <c r="D4502" s="33" t="s">
        <v>277</v>
      </c>
      <c r="E4502" s="34">
        <v>418.80599999999998</v>
      </c>
      <c r="F4502" s="36">
        <v>0.14199999999999599</v>
      </c>
      <c r="G4502" s="34">
        <v>0.14199999999999599</v>
      </c>
      <c r="H4502" s="35">
        <v>282</v>
      </c>
      <c r="I4502" s="37">
        <f t="shared" si="70"/>
        <v>2.2769111520201529E-2</v>
      </c>
      <c r="J4502" s="33"/>
    </row>
    <row r="4503" spans="1:10">
      <c r="A4503" s="33" t="s">
        <v>173</v>
      </c>
      <c r="B4503" s="34">
        <v>418.94799999999998</v>
      </c>
      <c r="C4503" s="35">
        <v>12385.2</v>
      </c>
      <c r="D4503" s="33" t="s">
        <v>270</v>
      </c>
      <c r="E4503" s="34">
        <v>418.81299999999999</v>
      </c>
      <c r="F4503" s="36">
        <v>0.13499999999999099</v>
      </c>
      <c r="G4503" s="34">
        <v>0.13499999999999099</v>
      </c>
      <c r="H4503" s="35">
        <v>4863.7</v>
      </c>
      <c r="I4503" s="37">
        <f t="shared" si="70"/>
        <v>0.39270258049930556</v>
      </c>
      <c r="J4503" s="33"/>
    </row>
    <row r="4504" spans="1:10">
      <c r="A4504" s="33" t="s">
        <v>173</v>
      </c>
      <c r="B4504" s="34">
        <v>418.94799999999998</v>
      </c>
      <c r="C4504" s="35">
        <v>12385.2</v>
      </c>
      <c r="D4504" s="33" t="s">
        <v>27</v>
      </c>
      <c r="E4504" s="34">
        <v>418.82299999999998</v>
      </c>
      <c r="F4504" s="36">
        <v>0.125</v>
      </c>
      <c r="G4504" s="34">
        <v>0.125</v>
      </c>
      <c r="H4504" s="35">
        <v>505.2</v>
      </c>
      <c r="I4504" s="37">
        <f t="shared" si="70"/>
        <v>4.0790621063850396E-2</v>
      </c>
      <c r="J4504" s="33" t="s">
        <v>116</v>
      </c>
    </row>
    <row r="4505" spans="1:10">
      <c r="A4505" s="33" t="s">
        <v>173</v>
      </c>
      <c r="B4505" s="34">
        <v>418.94799999999998</v>
      </c>
      <c r="C4505" s="35">
        <v>12385.2</v>
      </c>
      <c r="D4505" s="33" t="s">
        <v>275</v>
      </c>
      <c r="E4505" s="34">
        <v>418.83199999999999</v>
      </c>
      <c r="F4505" s="36">
        <v>0.115999999999985</v>
      </c>
      <c r="G4505" s="34">
        <v>0.115999999999985</v>
      </c>
      <c r="H4505" s="35">
        <v>341.4</v>
      </c>
      <c r="I4505" s="37">
        <f t="shared" si="70"/>
        <v>2.7565158414882274E-2</v>
      </c>
      <c r="J4505" s="33"/>
    </row>
    <row r="4506" spans="1:10">
      <c r="A4506" s="33" t="s">
        <v>173</v>
      </c>
      <c r="B4506" s="34">
        <v>418.94799999999998</v>
      </c>
      <c r="C4506" s="35">
        <v>12385.2</v>
      </c>
      <c r="D4506" s="33" t="s">
        <v>25</v>
      </c>
      <c r="E4506" s="34">
        <v>418.86599999999999</v>
      </c>
      <c r="F4506" s="36">
        <v>8.1999999999993606E-2</v>
      </c>
      <c r="G4506" s="34">
        <v>8.1999999999993606E-2</v>
      </c>
      <c r="H4506" s="35">
        <v>53.6</v>
      </c>
      <c r="I4506" s="37">
        <f t="shared" si="70"/>
        <v>4.3277460194425599E-3</v>
      </c>
      <c r="J4506" s="33" t="s">
        <v>116</v>
      </c>
    </row>
    <row r="4507" spans="1:10">
      <c r="A4507" s="33" t="s">
        <v>173</v>
      </c>
      <c r="B4507" s="34">
        <v>418.94799999999998</v>
      </c>
      <c r="C4507" s="35">
        <v>12385.2</v>
      </c>
      <c r="D4507" s="33" t="s">
        <v>97</v>
      </c>
      <c r="E4507" s="34">
        <v>418.88600000000002</v>
      </c>
      <c r="F4507" s="36">
        <v>6.1999999999955001E-2</v>
      </c>
      <c r="G4507" s="34">
        <v>6.1999999999955001E-2</v>
      </c>
      <c r="H4507" s="35">
        <v>2.6</v>
      </c>
      <c r="I4507" s="37">
        <f t="shared" si="70"/>
        <v>2.0992797855504957E-4</v>
      </c>
      <c r="J4507" s="33"/>
    </row>
    <row r="4508" spans="1:10">
      <c r="A4508" s="33" t="s">
        <v>173</v>
      </c>
      <c r="B4508" s="34">
        <v>418.94799999999998</v>
      </c>
      <c r="C4508" s="35">
        <v>12385.2</v>
      </c>
      <c r="D4508" s="33" t="s">
        <v>25</v>
      </c>
      <c r="E4508" s="34">
        <v>418.91800000000001</v>
      </c>
      <c r="F4508" s="36">
        <v>2.9999999999972701E-2</v>
      </c>
      <c r="G4508" s="34">
        <v>2.9999999999972701E-2</v>
      </c>
      <c r="H4508" s="35">
        <v>265.7</v>
      </c>
      <c r="I4508" s="37">
        <f t="shared" si="70"/>
        <v>2.1453024577721795E-2</v>
      </c>
      <c r="J4508" s="33" t="s">
        <v>116</v>
      </c>
    </row>
    <row r="4509" spans="1:10">
      <c r="A4509" s="33" t="s">
        <v>173</v>
      </c>
      <c r="B4509" s="34">
        <v>418.94799999999998</v>
      </c>
      <c r="C4509" s="35">
        <v>12385.2</v>
      </c>
      <c r="D4509" s="33" t="s">
        <v>277</v>
      </c>
      <c r="E4509" s="34">
        <v>418.92700000000002</v>
      </c>
      <c r="F4509" s="36">
        <v>2.0999999999958201E-2</v>
      </c>
      <c r="G4509" s="34">
        <v>2.0999999999958201E-2</v>
      </c>
      <c r="H4509" s="35">
        <v>440.7</v>
      </c>
      <c r="I4509" s="37">
        <f t="shared" si="70"/>
        <v>3.5582792365080898E-2</v>
      </c>
      <c r="J4509" s="33"/>
    </row>
    <row r="4510" spans="1:10">
      <c r="A4510" s="33" t="s">
        <v>173</v>
      </c>
      <c r="B4510" s="34">
        <v>418.94799999999998</v>
      </c>
      <c r="C4510" s="35">
        <v>12385.2</v>
      </c>
      <c r="D4510" s="33" t="s">
        <v>25</v>
      </c>
      <c r="E4510" s="34">
        <v>418.964</v>
      </c>
      <c r="F4510" s="36">
        <v>1.6000000000019599E-2</v>
      </c>
      <c r="G4510" s="34">
        <v>1.6000000000019599E-2</v>
      </c>
      <c r="H4510" s="35">
        <v>362.1</v>
      </c>
      <c r="I4510" s="37">
        <f t="shared" si="70"/>
        <v>2.9236508090301327E-2</v>
      </c>
      <c r="J4510" s="33" t="s">
        <v>116</v>
      </c>
    </row>
    <row r="4511" spans="1:10">
      <c r="A4511" s="33" t="s">
        <v>173</v>
      </c>
      <c r="B4511" s="34">
        <v>418.94799999999998</v>
      </c>
      <c r="C4511" s="35">
        <v>12385.2</v>
      </c>
      <c r="D4511" s="33" t="s">
        <v>278</v>
      </c>
      <c r="E4511" s="34">
        <v>418.98399999999998</v>
      </c>
      <c r="F4511" s="36">
        <v>3.6000000000001399E-2</v>
      </c>
      <c r="G4511" s="34">
        <v>3.6000000000001399E-2</v>
      </c>
      <c r="H4511" s="35">
        <v>62.8</v>
      </c>
      <c r="I4511" s="37">
        <f t="shared" si="70"/>
        <v>5.0705680974065812E-3</v>
      </c>
      <c r="J4511" s="33"/>
    </row>
    <row r="4512" spans="1:10">
      <c r="A4512" s="33" t="s">
        <v>173</v>
      </c>
      <c r="B4512" s="34">
        <v>418.94799999999998</v>
      </c>
      <c r="C4512" s="35">
        <v>12385.2</v>
      </c>
      <c r="D4512" s="33" t="s">
        <v>284</v>
      </c>
      <c r="E4512" s="34">
        <v>418.99099999999999</v>
      </c>
      <c r="F4512" s="36">
        <v>4.3000000000006401E-2</v>
      </c>
      <c r="G4512" s="34">
        <v>4.3000000000006401E-2</v>
      </c>
      <c r="H4512" s="35">
        <v>2</v>
      </c>
      <c r="I4512" s="37">
        <f t="shared" si="70"/>
        <v>1.614830604269612E-4</v>
      </c>
      <c r="J4512" s="33"/>
    </row>
    <row r="4513" spans="1:10">
      <c r="A4513" s="33" t="s">
        <v>173</v>
      </c>
      <c r="B4513" s="34">
        <v>418.94799999999998</v>
      </c>
      <c r="C4513" s="35">
        <v>12385.2</v>
      </c>
      <c r="D4513" s="33" t="s">
        <v>240</v>
      </c>
      <c r="E4513" s="34">
        <v>418.99799999999999</v>
      </c>
      <c r="F4513" s="36">
        <v>5.0000000000011403E-2</v>
      </c>
      <c r="G4513" s="34">
        <v>5.0000000000011403E-2</v>
      </c>
      <c r="H4513" s="35">
        <v>25.2</v>
      </c>
      <c r="I4513" s="37">
        <f t="shared" si="70"/>
        <v>2.0346865613797109E-3</v>
      </c>
      <c r="J4513" s="33"/>
    </row>
    <row r="4514" spans="1:10">
      <c r="A4514" s="33" t="s">
        <v>173</v>
      </c>
      <c r="B4514" s="34">
        <v>418.94799999999998</v>
      </c>
      <c r="C4514" s="35">
        <v>12385.2</v>
      </c>
      <c r="D4514" s="33" t="s">
        <v>239</v>
      </c>
      <c r="E4514" s="34">
        <v>419.01299999999998</v>
      </c>
      <c r="F4514" s="36">
        <v>6.4999999999997699E-2</v>
      </c>
      <c r="G4514" s="34">
        <v>6.4999999999997699E-2</v>
      </c>
      <c r="H4514" s="35">
        <v>12.9</v>
      </c>
      <c r="I4514" s="37">
        <f t="shared" si="70"/>
        <v>1.0415657397538998E-3</v>
      </c>
      <c r="J4514" s="33"/>
    </row>
    <row r="4515" spans="1:10">
      <c r="A4515" s="33" t="s">
        <v>173</v>
      </c>
      <c r="B4515" s="34">
        <v>418.94799999999998</v>
      </c>
      <c r="C4515" s="35">
        <v>12385.2</v>
      </c>
      <c r="D4515" s="33" t="s">
        <v>173</v>
      </c>
      <c r="E4515" s="34">
        <v>419.05900000000003</v>
      </c>
      <c r="F4515" s="36">
        <v>0.11100000000004701</v>
      </c>
      <c r="G4515" s="34">
        <v>0.11100000000004701</v>
      </c>
      <c r="H4515" s="35">
        <v>283</v>
      </c>
      <c r="I4515" s="37">
        <f t="shared" si="70"/>
        <v>2.2849853050415009E-2</v>
      </c>
      <c r="J4515" s="33"/>
    </row>
    <row r="4516" spans="1:10">
      <c r="A4516" s="33" t="s">
        <v>173</v>
      </c>
      <c r="B4516" s="34">
        <v>418.94799999999998</v>
      </c>
      <c r="C4516" s="35">
        <v>12385.2</v>
      </c>
      <c r="D4516" s="33" t="s">
        <v>25</v>
      </c>
      <c r="E4516" s="34">
        <v>419.06200000000001</v>
      </c>
      <c r="F4516" s="36">
        <v>0.11400000000003301</v>
      </c>
      <c r="G4516" s="34">
        <v>0.11400000000003301</v>
      </c>
      <c r="H4516" s="35">
        <v>526.4</v>
      </c>
      <c r="I4516" s="37">
        <f t="shared" si="70"/>
        <v>4.2502341504376186E-2</v>
      </c>
      <c r="J4516" s="33" t="s">
        <v>116</v>
      </c>
    </row>
    <row r="4517" spans="1:10">
      <c r="A4517" s="33" t="s">
        <v>173</v>
      </c>
      <c r="B4517" s="34">
        <v>418.94799999999998</v>
      </c>
      <c r="C4517" s="35">
        <v>12385.2</v>
      </c>
      <c r="D4517" s="33" t="s">
        <v>184</v>
      </c>
      <c r="E4517" s="34">
        <v>419.06400000000002</v>
      </c>
      <c r="F4517" s="36">
        <v>0.116000000000042</v>
      </c>
      <c r="G4517" s="34">
        <v>0.116000000000042</v>
      </c>
      <c r="H4517" s="35">
        <v>40.200000000000003</v>
      </c>
      <c r="I4517" s="37">
        <f t="shared" si="70"/>
        <v>3.2458095145819206E-3</v>
      </c>
      <c r="J4517" s="33"/>
    </row>
    <row r="4518" spans="1:10">
      <c r="A4518" s="33" t="s">
        <v>173</v>
      </c>
      <c r="B4518" s="34">
        <v>418.94799999999998</v>
      </c>
      <c r="C4518" s="35">
        <v>12385.2</v>
      </c>
      <c r="D4518" s="33" t="s">
        <v>273</v>
      </c>
      <c r="E4518" s="34">
        <v>419.08800000000002</v>
      </c>
      <c r="F4518" s="36">
        <v>0.14000000000004301</v>
      </c>
      <c r="G4518" s="34">
        <v>0.14000000000004301</v>
      </c>
      <c r="H4518" s="35">
        <v>287.8</v>
      </c>
      <c r="I4518" s="37">
        <f t="shared" si="70"/>
        <v>2.3237412395439718E-2</v>
      </c>
      <c r="J4518" s="33"/>
    </row>
    <row r="4519" spans="1:10">
      <c r="A4519" s="33" t="s">
        <v>173</v>
      </c>
      <c r="B4519" s="34">
        <v>418.94799999999998</v>
      </c>
      <c r="C4519" s="35">
        <v>12385.2</v>
      </c>
      <c r="D4519" s="33" t="s">
        <v>269</v>
      </c>
      <c r="E4519" s="34">
        <v>419.09399999999999</v>
      </c>
      <c r="F4519" s="36">
        <v>0.14600000000001501</v>
      </c>
      <c r="G4519" s="34">
        <v>0.14600000000001501</v>
      </c>
      <c r="H4519" s="35">
        <v>13.1</v>
      </c>
      <c r="I4519" s="37">
        <f t="shared" si="70"/>
        <v>1.0577140457965959E-3</v>
      </c>
      <c r="J4519" s="33"/>
    </row>
    <row r="4520" spans="1:10">
      <c r="A4520" s="33" t="s">
        <v>173</v>
      </c>
      <c r="B4520" s="34">
        <v>418.94799999999998</v>
      </c>
      <c r="C4520" s="35">
        <v>12385.2</v>
      </c>
      <c r="D4520" s="33" t="s">
        <v>287</v>
      </c>
      <c r="E4520" s="34">
        <v>419.10300000000001</v>
      </c>
      <c r="F4520" s="36">
        <v>0.15500000000003</v>
      </c>
      <c r="G4520" s="34">
        <v>0.15500000000003</v>
      </c>
      <c r="H4520" s="35">
        <v>49290</v>
      </c>
      <c r="I4520" s="37">
        <f t="shared" si="70"/>
        <v>3.9797500242224588</v>
      </c>
      <c r="J4520" s="33"/>
    </row>
    <row r="4521" spans="1:10">
      <c r="A4521" s="33" t="s">
        <v>173</v>
      </c>
      <c r="B4521" s="34">
        <v>418.94799999999998</v>
      </c>
      <c r="C4521" s="35">
        <v>12385.2</v>
      </c>
      <c r="D4521" s="33" t="s">
        <v>36</v>
      </c>
      <c r="E4521" s="34">
        <v>419.108</v>
      </c>
      <c r="F4521" s="36">
        <v>0.16</v>
      </c>
      <c r="G4521" s="34">
        <v>0.16</v>
      </c>
      <c r="H4521" s="35">
        <v>963.2</v>
      </c>
      <c r="I4521" s="37">
        <f t="shared" si="70"/>
        <v>7.7770241901624515E-2</v>
      </c>
      <c r="J4521" s="33" t="s">
        <v>116</v>
      </c>
    </row>
    <row r="4522" spans="1:10">
      <c r="A4522" s="33" t="s">
        <v>173</v>
      </c>
      <c r="B4522" s="34">
        <v>418.94799999999998</v>
      </c>
      <c r="C4522" s="35">
        <v>12385.2</v>
      </c>
      <c r="D4522" s="33" t="s">
        <v>97</v>
      </c>
      <c r="E4522" s="34">
        <v>419.14299999999997</v>
      </c>
      <c r="F4522" s="36">
        <v>0.19499999999999301</v>
      </c>
      <c r="G4522" s="34">
        <v>0.19499999999999301</v>
      </c>
      <c r="H4522" s="35">
        <v>35.200000000000003</v>
      </c>
      <c r="I4522" s="37">
        <f t="shared" si="70"/>
        <v>2.8421018635145174E-3</v>
      </c>
      <c r="J4522" s="33"/>
    </row>
    <row r="4523" spans="1:10">
      <c r="A4523" s="33" t="s">
        <v>173</v>
      </c>
      <c r="B4523" s="34">
        <v>418.94799999999998</v>
      </c>
      <c r="C4523" s="35">
        <v>12385.2</v>
      </c>
      <c r="D4523" s="33" t="s">
        <v>236</v>
      </c>
      <c r="E4523" s="34">
        <v>419.15100000000001</v>
      </c>
      <c r="F4523" s="36">
        <v>0.20300000000003099</v>
      </c>
      <c r="G4523" s="34">
        <v>0.20300000000003099</v>
      </c>
      <c r="H4523" s="35">
        <v>461</v>
      </c>
      <c r="I4523" s="37">
        <f t="shared" si="70"/>
        <v>3.7221845428414557E-2</v>
      </c>
      <c r="J4523" s="33"/>
    </row>
    <row r="4524" spans="1:10">
      <c r="A4524" s="33" t="s">
        <v>173</v>
      </c>
      <c r="B4524" s="34">
        <v>418.94799999999998</v>
      </c>
      <c r="C4524" s="35">
        <v>12385.2</v>
      </c>
      <c r="D4524" s="33" t="s">
        <v>278</v>
      </c>
      <c r="E4524" s="34">
        <v>419.15600000000001</v>
      </c>
      <c r="F4524" s="36">
        <v>0.208000000000027</v>
      </c>
      <c r="G4524" s="34">
        <v>0.208000000000027</v>
      </c>
      <c r="H4524" s="35">
        <v>52.7</v>
      </c>
      <c r="I4524" s="37">
        <f t="shared" si="70"/>
        <v>4.255078642250428E-3</v>
      </c>
      <c r="J4524" s="33"/>
    </row>
    <row r="4525" spans="1:10">
      <c r="A4525" s="33" t="s">
        <v>173</v>
      </c>
      <c r="B4525" s="34">
        <v>418.94799999999998</v>
      </c>
      <c r="C4525" s="35">
        <v>12385.2</v>
      </c>
      <c r="D4525" s="33" t="s">
        <v>173</v>
      </c>
      <c r="E4525" s="34">
        <v>419.16</v>
      </c>
      <c r="F4525" s="36">
        <v>0.21200000000004601</v>
      </c>
      <c r="G4525" s="34">
        <v>0.21200000000004601</v>
      </c>
      <c r="H4525" s="35">
        <v>2824</v>
      </c>
      <c r="I4525" s="37">
        <f t="shared" si="70"/>
        <v>0.22801408132286921</v>
      </c>
      <c r="J4525" s="33"/>
    </row>
    <row r="4526" spans="1:10">
      <c r="A4526" s="33" t="s">
        <v>173</v>
      </c>
      <c r="B4526" s="34">
        <v>418.94799999999998</v>
      </c>
      <c r="C4526" s="35">
        <v>12385.2</v>
      </c>
      <c r="D4526" s="33" t="s">
        <v>33</v>
      </c>
      <c r="E4526" s="34">
        <v>419.16399999999999</v>
      </c>
      <c r="F4526" s="36">
        <v>0.21600000000000799</v>
      </c>
      <c r="G4526" s="34">
        <v>0.21600000000000799</v>
      </c>
      <c r="H4526" s="35">
        <v>288.2</v>
      </c>
      <c r="I4526" s="37">
        <f t="shared" si="70"/>
        <v>2.3269709007525109E-2</v>
      </c>
      <c r="J4526" s="33" t="s">
        <v>116</v>
      </c>
    </row>
    <row r="4527" spans="1:10">
      <c r="A4527" s="33" t="s">
        <v>173</v>
      </c>
      <c r="B4527" s="34">
        <v>418.94799999999998</v>
      </c>
      <c r="C4527" s="35">
        <v>12385.2</v>
      </c>
      <c r="D4527" s="33" t="s">
        <v>36</v>
      </c>
      <c r="E4527" s="34">
        <v>419.91</v>
      </c>
      <c r="F4527" s="36">
        <v>0.96199999999999997</v>
      </c>
      <c r="G4527" s="34">
        <v>0.96199999999999997</v>
      </c>
      <c r="H4527" s="35">
        <v>302.60000000000002</v>
      </c>
      <c r="I4527" s="37">
        <f t="shared" si="70"/>
        <v>2.4432387042599233E-2</v>
      </c>
      <c r="J4527" s="33" t="s">
        <v>116</v>
      </c>
    </row>
    <row r="4528" spans="1:10">
      <c r="A4528" s="33" t="s">
        <v>173</v>
      </c>
      <c r="B4528" s="34">
        <v>420.67200000000003</v>
      </c>
      <c r="C4528" s="35">
        <v>13022.2</v>
      </c>
      <c r="D4528" s="33" t="s">
        <v>36</v>
      </c>
      <c r="E4528" s="34">
        <v>420.30799999999999</v>
      </c>
      <c r="F4528" s="36">
        <v>0.36399999999999999</v>
      </c>
      <c r="G4528" s="34">
        <v>0.36399999999999999</v>
      </c>
      <c r="H4528" s="35">
        <v>35.5</v>
      </c>
      <c r="I4528" s="37">
        <f t="shared" si="70"/>
        <v>2.7261138670885104E-3</v>
      </c>
      <c r="J4528" s="33" t="s">
        <v>116</v>
      </c>
    </row>
    <row r="4529" spans="1:10">
      <c r="A4529" s="33" t="s">
        <v>173</v>
      </c>
      <c r="B4529" s="34">
        <v>420.67200000000003</v>
      </c>
      <c r="C4529" s="35">
        <v>13022.2</v>
      </c>
      <c r="D4529" s="33" t="s">
        <v>280</v>
      </c>
      <c r="E4529" s="34">
        <v>420.50400000000002</v>
      </c>
      <c r="F4529" s="36">
        <v>0.16800000000000601</v>
      </c>
      <c r="G4529" s="34">
        <v>0.16800000000000601</v>
      </c>
      <c r="H4529" s="35">
        <v>2419028</v>
      </c>
      <c r="I4529" s="37">
        <f t="shared" si="70"/>
        <v>185.76185283592633</v>
      </c>
      <c r="J4529" s="33"/>
    </row>
    <row r="4530" spans="1:10">
      <c r="A4530" s="33" t="s">
        <v>173</v>
      </c>
      <c r="B4530" s="34">
        <v>420.67200000000003</v>
      </c>
      <c r="C4530" s="35">
        <v>13022.2</v>
      </c>
      <c r="D4530" s="33" t="s">
        <v>278</v>
      </c>
      <c r="E4530" s="34">
        <v>420.50900000000001</v>
      </c>
      <c r="F4530" s="36">
        <v>0.163000000000011</v>
      </c>
      <c r="G4530" s="34">
        <v>0.163000000000011</v>
      </c>
      <c r="H4530" s="35">
        <v>516.20000000000005</v>
      </c>
      <c r="I4530" s="37">
        <f t="shared" si="70"/>
        <v>3.9639999385664482E-2</v>
      </c>
      <c r="J4530" s="33"/>
    </row>
    <row r="4531" spans="1:10">
      <c r="A4531" s="33" t="s">
        <v>173</v>
      </c>
      <c r="B4531" s="34">
        <v>420.67200000000003</v>
      </c>
      <c r="C4531" s="35">
        <v>13022.2</v>
      </c>
      <c r="D4531" s="33" t="s">
        <v>184</v>
      </c>
      <c r="E4531" s="34">
        <v>420.52</v>
      </c>
      <c r="F4531" s="36">
        <v>0.15200000000004399</v>
      </c>
      <c r="G4531" s="34">
        <v>0.15200000000004399</v>
      </c>
      <c r="H4531" s="35">
        <v>43</v>
      </c>
      <c r="I4531" s="37">
        <f t="shared" si="70"/>
        <v>3.3020534164734066E-3</v>
      </c>
      <c r="J4531" s="33"/>
    </row>
    <row r="4532" spans="1:10">
      <c r="A4532" s="33" t="s">
        <v>173</v>
      </c>
      <c r="B4532" s="34">
        <v>420.67200000000003</v>
      </c>
      <c r="C4532" s="35">
        <v>13022.2</v>
      </c>
      <c r="D4532" s="33" t="s">
        <v>27</v>
      </c>
      <c r="E4532" s="34">
        <v>420.52499999999998</v>
      </c>
      <c r="F4532" s="36">
        <v>0.14700000000004801</v>
      </c>
      <c r="G4532" s="34">
        <v>0.14700000000004801</v>
      </c>
      <c r="H4532" s="35">
        <v>988.1</v>
      </c>
      <c r="I4532" s="37">
        <f t="shared" si="70"/>
        <v>7.5878115832962167E-2</v>
      </c>
      <c r="J4532" s="33" t="s">
        <v>116</v>
      </c>
    </row>
    <row r="4533" spans="1:10">
      <c r="A4533" s="33" t="s">
        <v>173</v>
      </c>
      <c r="B4533" s="34">
        <v>420.67200000000003</v>
      </c>
      <c r="C4533" s="35">
        <v>13022.2</v>
      </c>
      <c r="D4533" s="33" t="s">
        <v>273</v>
      </c>
      <c r="E4533" s="34">
        <v>420.53</v>
      </c>
      <c r="F4533" s="36">
        <v>0.142000000000053</v>
      </c>
      <c r="G4533" s="34">
        <v>0.142000000000053</v>
      </c>
      <c r="H4533" s="35">
        <v>283.3</v>
      </c>
      <c r="I4533" s="37">
        <f t="shared" si="70"/>
        <v>2.1755156578765492E-2</v>
      </c>
      <c r="J4533" s="33"/>
    </row>
    <row r="4534" spans="1:10">
      <c r="A4534" s="33" t="s">
        <v>173</v>
      </c>
      <c r="B4534" s="34">
        <v>420.67200000000003</v>
      </c>
      <c r="C4534" s="35">
        <v>13022.2</v>
      </c>
      <c r="D4534" s="33" t="s">
        <v>27</v>
      </c>
      <c r="E4534" s="34">
        <v>420.55799999999999</v>
      </c>
      <c r="F4534" s="36">
        <v>0.11400000000003301</v>
      </c>
      <c r="G4534" s="34">
        <v>0.11400000000003301</v>
      </c>
      <c r="H4534" s="35">
        <v>2944.4</v>
      </c>
      <c r="I4534" s="37">
        <f t="shared" si="70"/>
        <v>0.22610618789451858</v>
      </c>
      <c r="J4534" s="33" t="s">
        <v>116</v>
      </c>
    </row>
    <row r="4535" spans="1:10">
      <c r="A4535" s="33" t="s">
        <v>173</v>
      </c>
      <c r="B4535" s="34">
        <v>420.67200000000003</v>
      </c>
      <c r="C4535" s="35">
        <v>13022.2</v>
      </c>
      <c r="D4535" s="33" t="s">
        <v>193</v>
      </c>
      <c r="E4535" s="34">
        <v>420.58800000000002</v>
      </c>
      <c r="F4535" s="36">
        <v>8.4000000000003197E-2</v>
      </c>
      <c r="G4535" s="34">
        <v>8.4000000000003197E-2</v>
      </c>
      <c r="H4535" s="35">
        <v>56.4</v>
      </c>
      <c r="I4535" s="37">
        <f t="shared" si="70"/>
        <v>4.3310654113744218E-3</v>
      </c>
      <c r="J4535" s="33"/>
    </row>
    <row r="4536" spans="1:10">
      <c r="A4536" s="33" t="s">
        <v>173</v>
      </c>
      <c r="B4536" s="34">
        <v>420.67200000000003</v>
      </c>
      <c r="C4536" s="35">
        <v>13022.2</v>
      </c>
      <c r="D4536" s="33" t="s">
        <v>25</v>
      </c>
      <c r="E4536" s="34">
        <v>420.589</v>
      </c>
      <c r="F4536" s="36">
        <v>8.3000000000026802E-2</v>
      </c>
      <c r="G4536" s="34">
        <v>8.3000000000026802E-2</v>
      </c>
      <c r="H4536" s="35">
        <v>429</v>
      </c>
      <c r="I4536" s="37">
        <f t="shared" si="70"/>
        <v>3.294374222481608E-2</v>
      </c>
      <c r="J4536" s="33" t="s">
        <v>116</v>
      </c>
    </row>
    <row r="4537" spans="1:10">
      <c r="A4537" s="33" t="s">
        <v>173</v>
      </c>
      <c r="B4537" s="34">
        <v>420.67200000000003</v>
      </c>
      <c r="C4537" s="35">
        <v>13022.2</v>
      </c>
      <c r="D4537" s="33" t="s">
        <v>236</v>
      </c>
      <c r="E4537" s="34">
        <v>420.59399999999999</v>
      </c>
      <c r="F4537" s="36">
        <v>7.8000000000031405E-2</v>
      </c>
      <c r="G4537" s="34">
        <v>7.8000000000031405E-2</v>
      </c>
      <c r="H4537" s="35">
        <v>110.4</v>
      </c>
      <c r="I4537" s="37">
        <f t="shared" si="70"/>
        <v>8.4778301669456782E-3</v>
      </c>
      <c r="J4537" s="33"/>
    </row>
    <row r="4538" spans="1:10">
      <c r="A4538" s="33" t="s">
        <v>173</v>
      </c>
      <c r="B4538" s="34">
        <v>420.67200000000003</v>
      </c>
      <c r="C4538" s="35">
        <v>13022.2</v>
      </c>
      <c r="D4538" s="33" t="s">
        <v>268</v>
      </c>
      <c r="E4538" s="34">
        <v>420.601</v>
      </c>
      <c r="F4538" s="36">
        <v>7.1000000000026403E-2</v>
      </c>
      <c r="G4538" s="34">
        <v>7.1000000000026403E-2</v>
      </c>
      <c r="H4538" s="35">
        <v>284.39999999999998</v>
      </c>
      <c r="I4538" s="37">
        <f t="shared" si="70"/>
        <v>2.1839627712675273E-2</v>
      </c>
      <c r="J4538" s="33"/>
    </row>
    <row r="4539" spans="1:10">
      <c r="A4539" s="33" t="s">
        <v>173</v>
      </c>
      <c r="B4539" s="34">
        <v>420.67200000000003</v>
      </c>
      <c r="C4539" s="35">
        <v>13022.2</v>
      </c>
      <c r="D4539" s="33" t="s">
        <v>273</v>
      </c>
      <c r="E4539" s="34">
        <v>420.61099999999999</v>
      </c>
      <c r="F4539" s="36">
        <v>6.1000000000035498E-2</v>
      </c>
      <c r="G4539" s="34">
        <v>6.1000000000035498E-2</v>
      </c>
      <c r="H4539" s="35">
        <v>20.6</v>
      </c>
      <c r="I4539" s="37">
        <f t="shared" si="70"/>
        <v>1.5819139623105159E-3</v>
      </c>
      <c r="J4539" s="33"/>
    </row>
    <row r="4540" spans="1:10">
      <c r="A4540" s="33" t="s">
        <v>173</v>
      </c>
      <c r="B4540" s="34">
        <v>420.67200000000003</v>
      </c>
      <c r="C4540" s="35">
        <v>13022.2</v>
      </c>
      <c r="D4540" s="33" t="s">
        <v>270</v>
      </c>
      <c r="E4540" s="34">
        <v>420.61200000000002</v>
      </c>
      <c r="F4540" s="36">
        <v>6.0000000000002301E-2</v>
      </c>
      <c r="G4540" s="34">
        <v>6.0000000000002301E-2</v>
      </c>
      <c r="H4540" s="35">
        <v>4702.8999999999996</v>
      </c>
      <c r="I4540" s="37">
        <f t="shared" si="70"/>
        <v>0.36114481424029726</v>
      </c>
      <c r="J4540" s="33"/>
    </row>
    <row r="4541" spans="1:10">
      <c r="A4541" s="33" t="s">
        <v>173</v>
      </c>
      <c r="B4541" s="34">
        <v>420.67200000000003</v>
      </c>
      <c r="C4541" s="35">
        <v>13022.2</v>
      </c>
      <c r="D4541" s="33" t="s">
        <v>277</v>
      </c>
      <c r="E4541" s="34">
        <v>420.63</v>
      </c>
      <c r="F4541" s="36">
        <v>4.2000000000029999E-2</v>
      </c>
      <c r="G4541" s="34">
        <v>4.2000000000029999E-2</v>
      </c>
      <c r="H4541" s="35">
        <v>195.1</v>
      </c>
      <c r="I4541" s="37">
        <f t="shared" si="70"/>
        <v>1.4982107477999109E-2</v>
      </c>
      <c r="J4541" s="33"/>
    </row>
    <row r="4542" spans="1:10">
      <c r="A4542" s="33" t="s">
        <v>173</v>
      </c>
      <c r="B4542" s="34">
        <v>420.67200000000003</v>
      </c>
      <c r="C4542" s="35">
        <v>13022.2</v>
      </c>
      <c r="D4542" s="33" t="s">
        <v>193</v>
      </c>
      <c r="E4542" s="34">
        <v>420.64</v>
      </c>
      <c r="F4542" s="36">
        <v>3.2000000000039101E-2</v>
      </c>
      <c r="G4542" s="34">
        <v>3.2000000000039101E-2</v>
      </c>
      <c r="H4542" s="35">
        <v>33.299999999999997</v>
      </c>
      <c r="I4542" s="37">
        <f t="shared" si="70"/>
        <v>2.5571715992689405E-3</v>
      </c>
      <c r="J4542" s="33"/>
    </row>
    <row r="4543" spans="1:10">
      <c r="A4543" s="33" t="s">
        <v>173</v>
      </c>
      <c r="B4543" s="34">
        <v>420.67200000000003</v>
      </c>
      <c r="C4543" s="35">
        <v>13022.2</v>
      </c>
      <c r="D4543" s="33" t="s">
        <v>33</v>
      </c>
      <c r="E4543" s="34">
        <v>420.654</v>
      </c>
      <c r="F4543" s="36">
        <v>1.80000000000291E-2</v>
      </c>
      <c r="G4543" s="34">
        <v>1.80000000000291E-2</v>
      </c>
      <c r="H4543" s="35">
        <v>1575</v>
      </c>
      <c r="I4543" s="37">
        <f t="shared" si="70"/>
        <v>0.12094730537082828</v>
      </c>
      <c r="J4543" s="33" t="s">
        <v>116</v>
      </c>
    </row>
    <row r="4544" spans="1:10">
      <c r="A4544" s="33" t="s">
        <v>173</v>
      </c>
      <c r="B4544" s="34">
        <v>420.67200000000003</v>
      </c>
      <c r="C4544" s="35">
        <v>13022.2</v>
      </c>
      <c r="D4544" s="33" t="s">
        <v>269</v>
      </c>
      <c r="E4544" s="34">
        <v>420.65699999999998</v>
      </c>
      <c r="F4544" s="36">
        <v>1.5000000000043199E-2</v>
      </c>
      <c r="G4544" s="34">
        <v>1.5000000000043199E-2</v>
      </c>
      <c r="H4544" s="35">
        <v>885.6</v>
      </c>
      <c r="I4544" s="37">
        <f t="shared" si="70"/>
        <v>6.8006941991368586E-2</v>
      </c>
      <c r="J4544" s="33"/>
    </row>
    <row r="4545" spans="1:10">
      <c r="A4545" s="33" t="s">
        <v>173</v>
      </c>
      <c r="B4545" s="34">
        <v>420.67200000000003</v>
      </c>
      <c r="C4545" s="35">
        <v>13022.2</v>
      </c>
      <c r="D4545" s="33" t="s">
        <v>282</v>
      </c>
      <c r="E4545" s="34">
        <v>420.661</v>
      </c>
      <c r="F4545" s="36">
        <v>1.10000000000241E-2</v>
      </c>
      <c r="G4545" s="34">
        <v>1.10000000000241E-2</v>
      </c>
      <c r="H4545" s="35">
        <v>12</v>
      </c>
      <c r="I4545" s="37">
        <f t="shared" si="70"/>
        <v>9.2150327901583447E-4</v>
      </c>
      <c r="J4545" s="33"/>
    </row>
    <row r="4546" spans="1:10">
      <c r="A4546" s="33" t="s">
        <v>173</v>
      </c>
      <c r="B4546" s="34">
        <v>420.67200000000003</v>
      </c>
      <c r="C4546" s="35">
        <v>13022.2</v>
      </c>
      <c r="D4546" s="33" t="s">
        <v>270</v>
      </c>
      <c r="E4546" s="34">
        <v>420.66199999999998</v>
      </c>
      <c r="F4546" s="36">
        <v>1.0000000000047801E-2</v>
      </c>
      <c r="G4546" s="34">
        <v>1.0000000000047801E-2</v>
      </c>
      <c r="H4546" s="35">
        <v>2914.2</v>
      </c>
      <c r="I4546" s="37">
        <f t="shared" ref="I4546:I4609" si="71">H4546/C4546</f>
        <v>0.22378707130899539</v>
      </c>
      <c r="J4546" s="33"/>
    </row>
    <row r="4547" spans="1:10">
      <c r="A4547" s="33" t="s">
        <v>173</v>
      </c>
      <c r="B4547" s="34">
        <v>420.67200000000003</v>
      </c>
      <c r="C4547" s="35">
        <v>13022.2</v>
      </c>
      <c r="D4547" s="33" t="s">
        <v>271</v>
      </c>
      <c r="E4547" s="34">
        <v>420.666</v>
      </c>
      <c r="F4547" s="36">
        <v>6.00000000002865E-3</v>
      </c>
      <c r="G4547" s="34">
        <v>6.00000000002865E-3</v>
      </c>
      <c r="H4547" s="35">
        <v>226.6</v>
      </c>
      <c r="I4547" s="37">
        <f t="shared" si="71"/>
        <v>1.7401053585415674E-2</v>
      </c>
      <c r="J4547" s="33"/>
    </row>
    <row r="4548" spans="1:10">
      <c r="A4548" s="33" t="s">
        <v>173</v>
      </c>
      <c r="B4548" s="34">
        <v>420.67200000000003</v>
      </c>
      <c r="C4548" s="35">
        <v>13022.2</v>
      </c>
      <c r="D4548" s="33" t="s">
        <v>25</v>
      </c>
      <c r="E4548" s="34">
        <v>420.68200000000002</v>
      </c>
      <c r="F4548" s="36">
        <v>9.9999999999909103E-3</v>
      </c>
      <c r="G4548" s="34">
        <v>9.9999999999909103E-3</v>
      </c>
      <c r="H4548" s="35">
        <v>232.3</v>
      </c>
      <c r="I4548" s="37">
        <f t="shared" si="71"/>
        <v>1.7838767642948197E-2</v>
      </c>
      <c r="J4548" s="33" t="s">
        <v>116</v>
      </c>
    </row>
    <row r="4549" spans="1:10">
      <c r="A4549" s="33" t="s">
        <v>173</v>
      </c>
      <c r="B4549" s="34">
        <v>420.67200000000003</v>
      </c>
      <c r="C4549" s="35">
        <v>13022.2</v>
      </c>
      <c r="D4549" s="33" t="s">
        <v>239</v>
      </c>
      <c r="E4549" s="34">
        <v>420.68799999999999</v>
      </c>
      <c r="F4549" s="36">
        <v>1.59999999999627E-2</v>
      </c>
      <c r="G4549" s="34">
        <v>1.59999999999627E-2</v>
      </c>
      <c r="H4549" s="35">
        <v>14.2</v>
      </c>
      <c r="I4549" s="37">
        <f t="shared" si="71"/>
        <v>1.090445546835404E-3</v>
      </c>
      <c r="J4549" s="33"/>
    </row>
    <row r="4550" spans="1:10">
      <c r="A4550" s="33" t="s">
        <v>173</v>
      </c>
      <c r="B4550" s="34">
        <v>420.67200000000003</v>
      </c>
      <c r="C4550" s="35">
        <v>13022.2</v>
      </c>
      <c r="D4550" s="33" t="s">
        <v>274</v>
      </c>
      <c r="E4550" s="34">
        <v>420.70400000000001</v>
      </c>
      <c r="F4550" s="36">
        <v>3.19999999999823E-2</v>
      </c>
      <c r="G4550" s="34">
        <v>3.19999999999823E-2</v>
      </c>
      <c r="H4550" s="35">
        <v>33.6</v>
      </c>
      <c r="I4550" s="37">
        <f t="shared" si="71"/>
        <v>2.5802091812443364E-3</v>
      </c>
      <c r="J4550" s="33"/>
    </row>
    <row r="4551" spans="1:10">
      <c r="A4551" s="33" t="s">
        <v>173</v>
      </c>
      <c r="B4551" s="34">
        <v>420.67200000000003</v>
      </c>
      <c r="C4551" s="35">
        <v>13022.2</v>
      </c>
      <c r="D4551" s="33" t="s">
        <v>54</v>
      </c>
      <c r="E4551" s="34">
        <v>420.76</v>
      </c>
      <c r="F4551" s="36">
        <v>8.7999999999965398E-2</v>
      </c>
      <c r="G4551" s="34">
        <v>8.7999999999965398E-2</v>
      </c>
      <c r="H4551" s="35">
        <v>1.5</v>
      </c>
      <c r="I4551" s="37">
        <f t="shared" si="71"/>
        <v>1.1518790987697931E-4</v>
      </c>
      <c r="J4551" s="33"/>
    </row>
    <row r="4552" spans="1:10">
      <c r="A4552" s="33" t="s">
        <v>173</v>
      </c>
      <c r="B4552" s="34">
        <v>420.67200000000003</v>
      </c>
      <c r="C4552" s="35">
        <v>13022.2</v>
      </c>
      <c r="D4552" s="33" t="s">
        <v>268</v>
      </c>
      <c r="E4552" s="34">
        <v>420.76299999999998</v>
      </c>
      <c r="F4552" s="36">
        <v>9.09999999999513E-2</v>
      </c>
      <c r="G4552" s="34">
        <v>9.09999999999513E-2</v>
      </c>
      <c r="H4552" s="35">
        <v>47.1</v>
      </c>
      <c r="I4552" s="37">
        <f t="shared" si="71"/>
        <v>3.6169003701371502E-3</v>
      </c>
      <c r="J4552" s="33"/>
    </row>
    <row r="4553" spans="1:10">
      <c r="A4553" s="33" t="s">
        <v>173</v>
      </c>
      <c r="B4553" s="34">
        <v>420.67200000000003</v>
      </c>
      <c r="C4553" s="35">
        <v>13022.2</v>
      </c>
      <c r="D4553" s="33" t="s">
        <v>273</v>
      </c>
      <c r="E4553" s="34">
        <v>420.815</v>
      </c>
      <c r="F4553" s="36">
        <v>0.14299999999997201</v>
      </c>
      <c r="G4553" s="34">
        <v>0.14299999999997201</v>
      </c>
      <c r="H4553" s="35">
        <v>50.8</v>
      </c>
      <c r="I4553" s="37">
        <f t="shared" si="71"/>
        <v>3.9010305478336988E-3</v>
      </c>
      <c r="J4553" s="33"/>
    </row>
    <row r="4554" spans="1:10">
      <c r="A4554" s="33" t="s">
        <v>173</v>
      </c>
      <c r="B4554" s="34">
        <v>420.67200000000003</v>
      </c>
      <c r="C4554" s="35">
        <v>13022.2</v>
      </c>
      <c r="D4554" s="33" t="s">
        <v>173</v>
      </c>
      <c r="E4554" s="34">
        <v>420.83100000000002</v>
      </c>
      <c r="F4554" s="36">
        <v>0.15899999999999201</v>
      </c>
      <c r="G4554" s="34">
        <v>0.15899999999999201</v>
      </c>
      <c r="H4554" s="35">
        <v>2633.8</v>
      </c>
      <c r="I4554" s="37">
        <f t="shared" si="71"/>
        <v>0.20225461135599207</v>
      </c>
      <c r="J4554" s="33"/>
    </row>
    <row r="4555" spans="1:10">
      <c r="A4555" s="33" t="s">
        <v>173</v>
      </c>
      <c r="B4555" s="34">
        <v>420.67200000000003</v>
      </c>
      <c r="C4555" s="35">
        <v>13022.2</v>
      </c>
      <c r="D4555" s="33" t="s">
        <v>239</v>
      </c>
      <c r="E4555" s="34">
        <v>420.83499999999998</v>
      </c>
      <c r="F4555" s="36">
        <v>0.16299999999995399</v>
      </c>
      <c r="G4555" s="34">
        <v>0.16299999999995399</v>
      </c>
      <c r="H4555" s="35">
        <v>15.1</v>
      </c>
      <c r="I4555" s="37">
        <f t="shared" si="71"/>
        <v>1.1595582927615916E-3</v>
      </c>
      <c r="J4555" s="33"/>
    </row>
    <row r="4556" spans="1:10">
      <c r="A4556" s="33" t="s">
        <v>173</v>
      </c>
      <c r="B4556" s="34">
        <v>420.67200000000003</v>
      </c>
      <c r="C4556" s="35">
        <v>13022.2</v>
      </c>
      <c r="D4556" s="33" t="s">
        <v>25</v>
      </c>
      <c r="E4556" s="34">
        <v>420.84300000000002</v>
      </c>
      <c r="F4556" s="36">
        <v>0.17099999999999199</v>
      </c>
      <c r="G4556" s="34">
        <v>0.17099999999999199</v>
      </c>
      <c r="H4556" s="35">
        <v>380.4</v>
      </c>
      <c r="I4556" s="37">
        <f t="shared" si="71"/>
        <v>2.9211653944801949E-2</v>
      </c>
      <c r="J4556" s="33" t="s">
        <v>116</v>
      </c>
    </row>
    <row r="4557" spans="1:10">
      <c r="A4557" s="33" t="s">
        <v>173</v>
      </c>
      <c r="B4557" s="34">
        <v>420.67200000000003</v>
      </c>
      <c r="C4557" s="35">
        <v>13022.2</v>
      </c>
      <c r="D4557" s="33" t="s">
        <v>54</v>
      </c>
      <c r="E4557" s="34">
        <v>420.87400000000002</v>
      </c>
      <c r="F4557" s="36">
        <v>0.20199999999999799</v>
      </c>
      <c r="G4557" s="34">
        <v>0.20199999999999799</v>
      </c>
      <c r="H4557" s="35">
        <v>17</v>
      </c>
      <c r="I4557" s="37">
        <f t="shared" si="71"/>
        <v>1.3054629786057655E-3</v>
      </c>
      <c r="J4557" s="33"/>
    </row>
    <row r="4558" spans="1:10">
      <c r="A4558" s="33" t="s">
        <v>173</v>
      </c>
      <c r="B4558" s="34">
        <v>420.67200000000003</v>
      </c>
      <c r="C4558" s="35">
        <v>13022.2</v>
      </c>
      <c r="D4558" s="33" t="s">
        <v>271</v>
      </c>
      <c r="E4558" s="34">
        <v>420.88900000000001</v>
      </c>
      <c r="F4558" s="36">
        <v>0.21699999999998501</v>
      </c>
      <c r="G4558" s="34">
        <v>0.21699999999998501</v>
      </c>
      <c r="H4558" s="35">
        <v>6950</v>
      </c>
      <c r="I4558" s="37">
        <f t="shared" si="71"/>
        <v>0.53370398243000416</v>
      </c>
      <c r="J4558" s="33"/>
    </row>
    <row r="4559" spans="1:10">
      <c r="A4559" s="33" t="s">
        <v>173</v>
      </c>
      <c r="B4559" s="34">
        <v>420.67200000000003</v>
      </c>
      <c r="C4559" s="35">
        <v>13022.2</v>
      </c>
      <c r="D4559" s="33" t="s">
        <v>275</v>
      </c>
      <c r="E4559" s="34">
        <v>420.964</v>
      </c>
      <c r="F4559" s="36">
        <v>0.291999999999973</v>
      </c>
      <c r="G4559" s="34">
        <v>0.291999999999973</v>
      </c>
      <c r="H4559" s="35">
        <v>111.9</v>
      </c>
      <c r="I4559" s="37">
        <f t="shared" si="71"/>
        <v>8.5930180768226568E-3</v>
      </c>
      <c r="J4559" s="33"/>
    </row>
    <row r="4560" spans="1:10">
      <c r="A4560" s="33" t="s">
        <v>173</v>
      </c>
      <c r="B4560" s="34">
        <v>420.67200000000003</v>
      </c>
      <c r="C4560" s="35">
        <v>13022.2</v>
      </c>
      <c r="D4560" s="33" t="s">
        <v>240</v>
      </c>
      <c r="E4560" s="34">
        <v>420.96699999999998</v>
      </c>
      <c r="F4560" s="36">
        <v>0.29499999999995902</v>
      </c>
      <c r="G4560" s="34">
        <v>0.29499999999995902</v>
      </c>
      <c r="H4560" s="35">
        <v>0.9</v>
      </c>
      <c r="I4560" s="37">
        <f t="shared" si="71"/>
        <v>6.9112745926187583E-5</v>
      </c>
      <c r="J4560" s="33"/>
    </row>
    <row r="4561" spans="1:10">
      <c r="A4561" s="33" t="s">
        <v>173</v>
      </c>
      <c r="B4561" s="34">
        <v>420.67200000000003</v>
      </c>
      <c r="C4561" s="35">
        <v>13022.2</v>
      </c>
      <c r="D4561" s="33" t="s">
        <v>269</v>
      </c>
      <c r="E4561" s="34">
        <v>420.97500000000002</v>
      </c>
      <c r="F4561" s="36">
        <v>0.30299999999999699</v>
      </c>
      <c r="G4561" s="34">
        <v>0.30299999999999699</v>
      </c>
      <c r="H4561" s="35">
        <v>41.6</v>
      </c>
      <c r="I4561" s="37">
        <f t="shared" si="71"/>
        <v>3.194544700588226E-3</v>
      </c>
      <c r="J4561" s="33"/>
    </row>
    <row r="4562" spans="1:10">
      <c r="A4562" s="33" t="s">
        <v>173</v>
      </c>
      <c r="B4562" s="34">
        <v>420.67200000000003</v>
      </c>
      <c r="C4562" s="35">
        <v>13022.2</v>
      </c>
      <c r="D4562" s="33" t="s">
        <v>287</v>
      </c>
      <c r="E4562" s="34">
        <v>420.97699999999998</v>
      </c>
      <c r="F4562" s="36">
        <v>0.30499999999994998</v>
      </c>
      <c r="G4562" s="34">
        <v>0.30499999999994998</v>
      </c>
      <c r="H4562" s="35">
        <v>1283</v>
      </c>
      <c r="I4562" s="37">
        <f t="shared" si="71"/>
        <v>9.8524058914776294E-2</v>
      </c>
      <c r="J4562" s="33"/>
    </row>
    <row r="4563" spans="1:10">
      <c r="A4563" s="33" t="s">
        <v>173</v>
      </c>
      <c r="B4563" s="34">
        <v>420.67200000000003</v>
      </c>
      <c r="C4563" s="35">
        <v>13022.2</v>
      </c>
      <c r="D4563" s="33" t="s">
        <v>239</v>
      </c>
      <c r="E4563" s="34">
        <v>420.98099999999999</v>
      </c>
      <c r="F4563" s="36">
        <v>0.30899999999996902</v>
      </c>
      <c r="G4563" s="34">
        <v>0.30899999999996902</v>
      </c>
      <c r="H4563" s="35">
        <v>15.2</v>
      </c>
      <c r="I4563" s="37">
        <f t="shared" si="71"/>
        <v>1.1672374867533902E-3</v>
      </c>
      <c r="J4563" s="33"/>
    </row>
    <row r="4564" spans="1:10">
      <c r="A4564" s="33" t="s">
        <v>173</v>
      </c>
      <c r="B4564" s="34">
        <v>420.67200000000003</v>
      </c>
      <c r="C4564" s="35">
        <v>13022.2</v>
      </c>
      <c r="D4564" s="33" t="s">
        <v>278</v>
      </c>
      <c r="E4564" s="34">
        <v>420.98500000000001</v>
      </c>
      <c r="F4564" s="36">
        <v>0.31299999999998801</v>
      </c>
      <c r="G4564" s="34">
        <v>0.31299999999998801</v>
      </c>
      <c r="H4564" s="35">
        <v>203.6</v>
      </c>
      <c r="I4564" s="37">
        <f t="shared" si="71"/>
        <v>1.563483896730199E-2</v>
      </c>
      <c r="J4564" s="33"/>
    </row>
    <row r="4565" spans="1:10">
      <c r="A4565" s="33" t="s">
        <v>173</v>
      </c>
      <c r="B4565" s="34">
        <v>420.67200000000003</v>
      </c>
      <c r="C4565" s="35">
        <v>13022.2</v>
      </c>
      <c r="D4565" s="33" t="s">
        <v>25</v>
      </c>
      <c r="E4565" s="34">
        <v>420.99900000000002</v>
      </c>
      <c r="F4565" s="36">
        <v>0.32699999999999801</v>
      </c>
      <c r="G4565" s="34">
        <v>0.32699999999999801</v>
      </c>
      <c r="H4565" s="35">
        <v>444.8</v>
      </c>
      <c r="I4565" s="37">
        <f t="shared" si="71"/>
        <v>3.4157054875520267E-2</v>
      </c>
      <c r="J4565" s="33" t="s">
        <v>116</v>
      </c>
    </row>
    <row r="4566" spans="1:10">
      <c r="A4566" s="33" t="s">
        <v>173</v>
      </c>
      <c r="B4566" s="34">
        <v>420.67200000000003</v>
      </c>
      <c r="C4566" s="35">
        <v>13022.2</v>
      </c>
      <c r="D4566" s="33" t="s">
        <v>54</v>
      </c>
      <c r="E4566" s="34">
        <v>421.00799999999998</v>
      </c>
      <c r="F4566" s="36">
        <v>0.335999999999956</v>
      </c>
      <c r="G4566" s="34">
        <v>0.335999999999956</v>
      </c>
      <c r="H4566" s="35">
        <v>1.4</v>
      </c>
      <c r="I4566" s="37">
        <f t="shared" si="71"/>
        <v>1.0750871588518067E-4</v>
      </c>
      <c r="J4566" s="33"/>
    </row>
    <row r="4567" spans="1:10">
      <c r="A4567" s="33" t="s">
        <v>173</v>
      </c>
      <c r="B4567" s="34">
        <v>422.29300000000001</v>
      </c>
      <c r="C4567" s="35">
        <v>23602.799999999999</v>
      </c>
      <c r="D4567" s="33" t="s">
        <v>36</v>
      </c>
      <c r="E4567" s="34">
        <v>422</v>
      </c>
      <c r="F4567" s="36">
        <v>0.29299999999999998</v>
      </c>
      <c r="G4567" s="34">
        <v>0.29299999999999998</v>
      </c>
      <c r="H4567" s="35">
        <v>304.2</v>
      </c>
      <c r="I4567" s="37">
        <f t="shared" si="71"/>
        <v>1.2888301387970919E-2</v>
      </c>
      <c r="J4567" s="33" t="s">
        <v>116</v>
      </c>
    </row>
    <row r="4568" spans="1:10">
      <c r="A4568" s="33" t="s">
        <v>173</v>
      </c>
      <c r="B4568" s="34">
        <v>422.29300000000001</v>
      </c>
      <c r="C4568" s="35">
        <v>23602.799999999999</v>
      </c>
      <c r="D4568" s="33" t="s">
        <v>36</v>
      </c>
      <c r="E4568" s="34">
        <v>422</v>
      </c>
      <c r="F4568" s="36">
        <v>0.29299999999999998</v>
      </c>
      <c r="G4568" s="34">
        <v>0.29299999999999998</v>
      </c>
      <c r="H4568" s="35">
        <v>1505.1</v>
      </c>
      <c r="I4568" s="37">
        <f t="shared" si="71"/>
        <v>6.3767858050739742E-2</v>
      </c>
      <c r="J4568" s="33" t="s">
        <v>116</v>
      </c>
    </row>
    <row r="4569" spans="1:10">
      <c r="A4569" s="33" t="s">
        <v>173</v>
      </c>
      <c r="B4569" s="34">
        <v>422.29300000000001</v>
      </c>
      <c r="C4569" s="35">
        <v>23602.799999999999</v>
      </c>
      <c r="D4569" s="33" t="s">
        <v>270</v>
      </c>
      <c r="E4569" s="34">
        <v>422.06599999999997</v>
      </c>
      <c r="F4569" s="36">
        <v>0.22700000000003201</v>
      </c>
      <c r="G4569" s="34">
        <v>0.22700000000003201</v>
      </c>
      <c r="H4569" s="35">
        <v>7995.8</v>
      </c>
      <c r="I4569" s="37">
        <f t="shared" si="71"/>
        <v>0.33876489230091344</v>
      </c>
      <c r="J4569" s="33"/>
    </row>
    <row r="4570" spans="1:10">
      <c r="A4570" s="33" t="s">
        <v>173</v>
      </c>
      <c r="B4570" s="34">
        <v>422.29300000000001</v>
      </c>
      <c r="C4570" s="35">
        <v>23602.799999999999</v>
      </c>
      <c r="D4570" s="33" t="s">
        <v>268</v>
      </c>
      <c r="E4570" s="34">
        <v>422.06799999999998</v>
      </c>
      <c r="F4570" s="36">
        <v>0.22500000000002299</v>
      </c>
      <c r="G4570" s="34">
        <v>0.22500000000002299</v>
      </c>
      <c r="H4570" s="35">
        <v>76.3</v>
      </c>
      <c r="I4570" s="37">
        <f t="shared" si="71"/>
        <v>3.2326673106580577E-3</v>
      </c>
      <c r="J4570" s="33"/>
    </row>
    <row r="4571" spans="1:10">
      <c r="A4571" s="33" t="s">
        <v>173</v>
      </c>
      <c r="B4571" s="34">
        <v>422.29300000000001</v>
      </c>
      <c r="C4571" s="35">
        <v>23602.799999999999</v>
      </c>
      <c r="D4571" s="33" t="s">
        <v>25</v>
      </c>
      <c r="E4571" s="34">
        <v>422.077</v>
      </c>
      <c r="F4571" s="36">
        <v>0.21600000000000799</v>
      </c>
      <c r="G4571" s="34">
        <v>0.21600000000000799</v>
      </c>
      <c r="H4571" s="35">
        <v>312.3</v>
      </c>
      <c r="I4571" s="37">
        <f t="shared" si="71"/>
        <v>1.3231481010727542E-2</v>
      </c>
      <c r="J4571" s="33" t="s">
        <v>116</v>
      </c>
    </row>
    <row r="4572" spans="1:10">
      <c r="A4572" s="33" t="s">
        <v>173</v>
      </c>
      <c r="B4572" s="34">
        <v>422.29300000000001</v>
      </c>
      <c r="C4572" s="35">
        <v>23602.799999999999</v>
      </c>
      <c r="D4572" s="33" t="s">
        <v>290</v>
      </c>
      <c r="E4572" s="34">
        <v>422.08</v>
      </c>
      <c r="F4572" s="36">
        <v>0.21300000000002201</v>
      </c>
      <c r="G4572" s="34">
        <v>0.21300000000002201</v>
      </c>
      <c r="H4572" s="35">
        <v>28</v>
      </c>
      <c r="I4572" s="37">
        <f t="shared" si="71"/>
        <v>1.1862999305167184E-3</v>
      </c>
      <c r="J4572" s="33"/>
    </row>
    <row r="4573" spans="1:10">
      <c r="A4573" s="33" t="s">
        <v>173</v>
      </c>
      <c r="B4573" s="34">
        <v>422.29300000000001</v>
      </c>
      <c r="C4573" s="35">
        <v>23602.799999999999</v>
      </c>
      <c r="D4573" s="33" t="s">
        <v>279</v>
      </c>
      <c r="E4573" s="34">
        <v>422.10700000000003</v>
      </c>
      <c r="F4573" s="36">
        <v>0.18599999999997899</v>
      </c>
      <c r="G4573" s="34">
        <v>0.18599999999997899</v>
      </c>
      <c r="H4573" s="35">
        <v>36.799999999999997</v>
      </c>
      <c r="I4573" s="37">
        <f t="shared" si="71"/>
        <v>1.5591370515362583E-3</v>
      </c>
      <c r="J4573" s="33"/>
    </row>
    <row r="4574" spans="1:10">
      <c r="A4574" s="33" t="s">
        <v>173</v>
      </c>
      <c r="B4574" s="34">
        <v>422.29300000000001</v>
      </c>
      <c r="C4574" s="35">
        <v>23602.799999999999</v>
      </c>
      <c r="D4574" s="33" t="s">
        <v>280</v>
      </c>
      <c r="E4574" s="34">
        <v>422.108</v>
      </c>
      <c r="F4574" s="36">
        <v>0.185000000000002</v>
      </c>
      <c r="G4574" s="34">
        <v>0.185000000000002</v>
      </c>
      <c r="H4574" s="35">
        <v>142.69999999999999</v>
      </c>
      <c r="I4574" s="37">
        <f t="shared" si="71"/>
        <v>6.0458928601691319E-3</v>
      </c>
      <c r="J4574" s="33"/>
    </row>
    <row r="4575" spans="1:10">
      <c r="A4575" s="33" t="s">
        <v>173</v>
      </c>
      <c r="B4575" s="34">
        <v>422.29300000000001</v>
      </c>
      <c r="C4575" s="35">
        <v>23602.799999999999</v>
      </c>
      <c r="D4575" s="33" t="s">
        <v>33</v>
      </c>
      <c r="E4575" s="34">
        <v>422.11099999999999</v>
      </c>
      <c r="F4575" s="36">
        <v>0.18200000000001601</v>
      </c>
      <c r="G4575" s="34">
        <v>0.18200000000001601</v>
      </c>
      <c r="H4575" s="35">
        <v>863.8</v>
      </c>
      <c r="I4575" s="37">
        <f t="shared" si="71"/>
        <v>3.6597352856440758E-2</v>
      </c>
      <c r="J4575" s="33" t="s">
        <v>116</v>
      </c>
    </row>
    <row r="4576" spans="1:10">
      <c r="A4576" s="33" t="s">
        <v>173</v>
      </c>
      <c r="B4576" s="34">
        <v>422.29300000000001</v>
      </c>
      <c r="C4576" s="35">
        <v>23602.799999999999</v>
      </c>
      <c r="D4576" s="33" t="s">
        <v>27</v>
      </c>
      <c r="E4576" s="34">
        <v>422.113</v>
      </c>
      <c r="F4576" s="36">
        <v>0.18000000000000699</v>
      </c>
      <c r="G4576" s="34">
        <v>0.18000000000000699</v>
      </c>
      <c r="H4576" s="35">
        <v>995.3</v>
      </c>
      <c r="I4576" s="37">
        <f t="shared" si="71"/>
        <v>4.2168725744403203E-2</v>
      </c>
      <c r="J4576" s="33" t="s">
        <v>116</v>
      </c>
    </row>
    <row r="4577" spans="1:10">
      <c r="A4577" s="33" t="s">
        <v>173</v>
      </c>
      <c r="B4577" s="34">
        <v>422.29300000000001</v>
      </c>
      <c r="C4577" s="35">
        <v>23602.799999999999</v>
      </c>
      <c r="D4577" s="33" t="s">
        <v>25</v>
      </c>
      <c r="E4577" s="34">
        <v>422.11700000000002</v>
      </c>
      <c r="F4577" s="36">
        <v>0.175999999999988</v>
      </c>
      <c r="G4577" s="34">
        <v>0.175999999999988</v>
      </c>
      <c r="H4577" s="35">
        <v>482.9</v>
      </c>
      <c r="I4577" s="37">
        <f t="shared" si="71"/>
        <v>2.0459437015947261E-2</v>
      </c>
      <c r="J4577" s="33" t="s">
        <v>116</v>
      </c>
    </row>
    <row r="4578" spans="1:10">
      <c r="A4578" s="33" t="s">
        <v>173</v>
      </c>
      <c r="B4578" s="34">
        <v>422.29300000000001</v>
      </c>
      <c r="C4578" s="35">
        <v>23602.799999999999</v>
      </c>
      <c r="D4578" s="33" t="s">
        <v>239</v>
      </c>
      <c r="E4578" s="34">
        <v>422.15699999999998</v>
      </c>
      <c r="F4578" s="36">
        <v>0.13600000000002399</v>
      </c>
      <c r="G4578" s="34">
        <v>0.13600000000002399</v>
      </c>
      <c r="H4578" s="35">
        <v>21.1</v>
      </c>
      <c r="I4578" s="37">
        <f t="shared" si="71"/>
        <v>8.9396173335366997E-4</v>
      </c>
      <c r="J4578" s="33"/>
    </row>
    <row r="4579" spans="1:10">
      <c r="A4579" s="33" t="s">
        <v>173</v>
      </c>
      <c r="B4579" s="34">
        <v>422.29300000000001</v>
      </c>
      <c r="C4579" s="35">
        <v>23602.799999999999</v>
      </c>
      <c r="D4579" s="33" t="s">
        <v>277</v>
      </c>
      <c r="E4579" s="34">
        <v>422.18</v>
      </c>
      <c r="F4579" s="36">
        <v>0.113</v>
      </c>
      <c r="G4579" s="34">
        <v>0.113</v>
      </c>
      <c r="H4579" s="35">
        <v>153.5</v>
      </c>
      <c r="I4579" s="37">
        <f t="shared" si="71"/>
        <v>6.5034656905112957E-3</v>
      </c>
      <c r="J4579" s="33"/>
    </row>
    <row r="4580" spans="1:10">
      <c r="A4580" s="33" t="s">
        <v>173</v>
      </c>
      <c r="B4580" s="34">
        <v>422.29300000000001</v>
      </c>
      <c r="C4580" s="35">
        <v>23602.799999999999</v>
      </c>
      <c r="D4580" s="33" t="s">
        <v>184</v>
      </c>
      <c r="E4580" s="34">
        <v>422.185</v>
      </c>
      <c r="F4580" s="36">
        <v>0.108000000000004</v>
      </c>
      <c r="G4580" s="34">
        <v>0.108000000000004</v>
      </c>
      <c r="H4580" s="35">
        <v>22.9</v>
      </c>
      <c r="I4580" s="37">
        <f t="shared" si="71"/>
        <v>9.7022387174403035E-4</v>
      </c>
      <c r="J4580" s="33"/>
    </row>
    <row r="4581" spans="1:10">
      <c r="A4581" s="33" t="s">
        <v>173</v>
      </c>
      <c r="B4581" s="34">
        <v>422.29300000000001</v>
      </c>
      <c r="C4581" s="35">
        <v>23602.799999999999</v>
      </c>
      <c r="D4581" s="33" t="s">
        <v>270</v>
      </c>
      <c r="E4581" s="34">
        <v>422.18599999999998</v>
      </c>
      <c r="F4581" s="36">
        <v>0.107000000000028</v>
      </c>
      <c r="G4581" s="34">
        <v>0.107000000000028</v>
      </c>
      <c r="H4581" s="35">
        <v>263.39999999999998</v>
      </c>
      <c r="I4581" s="37">
        <f t="shared" si="71"/>
        <v>1.1159692917789414E-2</v>
      </c>
      <c r="J4581" s="33"/>
    </row>
    <row r="4582" spans="1:10">
      <c r="A4582" s="33" t="s">
        <v>173</v>
      </c>
      <c r="B4582" s="34">
        <v>422.29300000000001</v>
      </c>
      <c r="C4582" s="35">
        <v>23602.799999999999</v>
      </c>
      <c r="D4582" s="33" t="s">
        <v>274</v>
      </c>
      <c r="E4582" s="34">
        <v>422.20499999999998</v>
      </c>
      <c r="F4582" s="36">
        <v>8.8000000000022296E-2</v>
      </c>
      <c r="G4582" s="34">
        <v>8.8000000000022296E-2</v>
      </c>
      <c r="H4582" s="35">
        <v>12.5</v>
      </c>
      <c r="I4582" s="37">
        <f t="shared" si="71"/>
        <v>5.2959818326639213E-4</v>
      </c>
      <c r="J4582" s="33"/>
    </row>
    <row r="4583" spans="1:10">
      <c r="A4583" s="33" t="s">
        <v>173</v>
      </c>
      <c r="B4583" s="34">
        <v>422.29300000000001</v>
      </c>
      <c r="C4583" s="35">
        <v>23602.799999999999</v>
      </c>
      <c r="D4583" s="33" t="s">
        <v>33</v>
      </c>
      <c r="E4583" s="34">
        <v>422.221</v>
      </c>
      <c r="F4583" s="36">
        <v>7.2000000000002701E-2</v>
      </c>
      <c r="G4583" s="34">
        <v>7.2000000000002701E-2</v>
      </c>
      <c r="H4583" s="35">
        <v>180.2</v>
      </c>
      <c r="I4583" s="37">
        <f t="shared" si="71"/>
        <v>7.6346874099683087E-3</v>
      </c>
      <c r="J4583" s="33" t="s">
        <v>116</v>
      </c>
    </row>
    <row r="4584" spans="1:10">
      <c r="A4584" s="33" t="s">
        <v>173</v>
      </c>
      <c r="B4584" s="34">
        <v>422.29300000000001</v>
      </c>
      <c r="C4584" s="35">
        <v>23602.799999999999</v>
      </c>
      <c r="D4584" s="33" t="s">
        <v>97</v>
      </c>
      <c r="E4584" s="34">
        <v>422.221</v>
      </c>
      <c r="F4584" s="36">
        <v>7.2000000000002701E-2</v>
      </c>
      <c r="G4584" s="34">
        <v>7.2000000000002701E-2</v>
      </c>
      <c r="H4584" s="35">
        <v>28.5</v>
      </c>
      <c r="I4584" s="37">
        <f t="shared" si="71"/>
        <v>1.2074838578473742E-3</v>
      </c>
      <c r="J4584" s="33"/>
    </row>
    <row r="4585" spans="1:10">
      <c r="A4585" s="33" t="s">
        <v>173</v>
      </c>
      <c r="B4585" s="34">
        <v>422.29300000000001</v>
      </c>
      <c r="C4585" s="35">
        <v>23602.799999999999</v>
      </c>
      <c r="D4585" s="33" t="s">
        <v>236</v>
      </c>
      <c r="E4585" s="34">
        <v>422.238</v>
      </c>
      <c r="F4585" s="36">
        <v>5.50000000000068E-2</v>
      </c>
      <c r="G4585" s="34">
        <v>5.50000000000068E-2</v>
      </c>
      <c r="H4585" s="35">
        <v>285.2</v>
      </c>
      <c r="I4585" s="37">
        <f t="shared" si="71"/>
        <v>1.2083312149406002E-2</v>
      </c>
      <c r="J4585" s="33"/>
    </row>
    <row r="4586" spans="1:10">
      <c r="A4586" s="33" t="s">
        <v>173</v>
      </c>
      <c r="B4586" s="34">
        <v>422.29300000000001</v>
      </c>
      <c r="C4586" s="35">
        <v>23602.799999999999</v>
      </c>
      <c r="D4586" s="33" t="s">
        <v>25</v>
      </c>
      <c r="E4586" s="34">
        <v>422.26</v>
      </c>
      <c r="F4586" s="36">
        <v>3.3000000000015503E-2</v>
      </c>
      <c r="G4586" s="34">
        <v>3.3000000000015503E-2</v>
      </c>
      <c r="H4586" s="35">
        <v>115893</v>
      </c>
      <c r="I4586" s="37">
        <f t="shared" si="71"/>
        <v>4.9101377802633586</v>
      </c>
      <c r="J4586" s="33" t="s">
        <v>116</v>
      </c>
    </row>
    <row r="4587" spans="1:10">
      <c r="A4587" s="33" t="s">
        <v>173</v>
      </c>
      <c r="B4587" s="34">
        <v>422.29300000000001</v>
      </c>
      <c r="C4587" s="35">
        <v>23602.799999999999</v>
      </c>
      <c r="D4587" s="33" t="s">
        <v>239</v>
      </c>
      <c r="E4587" s="34">
        <v>422.274</v>
      </c>
      <c r="F4587" s="36">
        <v>1.9000000000005499E-2</v>
      </c>
      <c r="G4587" s="34">
        <v>1.9000000000005499E-2</v>
      </c>
      <c r="H4587" s="35">
        <v>14.9</v>
      </c>
      <c r="I4587" s="37">
        <f t="shared" si="71"/>
        <v>6.3128103445353944E-4</v>
      </c>
      <c r="J4587" s="33"/>
    </row>
    <row r="4588" spans="1:10">
      <c r="A4588" s="33" t="s">
        <v>173</v>
      </c>
      <c r="B4588" s="34">
        <v>422.29300000000001</v>
      </c>
      <c r="C4588" s="35">
        <v>23602.799999999999</v>
      </c>
      <c r="D4588" s="33" t="s">
        <v>27</v>
      </c>
      <c r="E4588" s="34">
        <v>422.32</v>
      </c>
      <c r="F4588" s="36">
        <v>2.6999999999986798E-2</v>
      </c>
      <c r="G4588" s="34">
        <v>2.6999999999986798E-2</v>
      </c>
      <c r="H4588" s="35">
        <v>763.3</v>
      </c>
      <c r="I4588" s="37">
        <f t="shared" si="71"/>
        <v>3.2339383462978967E-2</v>
      </c>
      <c r="J4588" s="33" t="s">
        <v>116</v>
      </c>
    </row>
    <row r="4589" spans="1:10">
      <c r="A4589" s="33" t="s">
        <v>173</v>
      </c>
      <c r="B4589" s="34">
        <v>422.29300000000001</v>
      </c>
      <c r="C4589" s="35">
        <v>23602.799999999999</v>
      </c>
      <c r="D4589" s="33" t="s">
        <v>270</v>
      </c>
      <c r="E4589" s="34">
        <v>422.37099999999998</v>
      </c>
      <c r="F4589" s="36">
        <v>7.7999999999974506E-2</v>
      </c>
      <c r="G4589" s="34">
        <v>7.7999999999974506E-2</v>
      </c>
      <c r="H4589" s="35">
        <v>1586.3</v>
      </c>
      <c r="I4589" s="37">
        <f t="shared" si="71"/>
        <v>6.7208127849238228E-2</v>
      </c>
      <c r="J4589" s="33"/>
    </row>
    <row r="4590" spans="1:10">
      <c r="A4590" s="33" t="s">
        <v>173</v>
      </c>
      <c r="B4590" s="34">
        <v>422.29300000000001</v>
      </c>
      <c r="C4590" s="35">
        <v>23602.799999999999</v>
      </c>
      <c r="D4590" s="33" t="s">
        <v>25</v>
      </c>
      <c r="E4590" s="34">
        <v>422.38799999999998</v>
      </c>
      <c r="F4590" s="36">
        <v>9.49999999999704E-2</v>
      </c>
      <c r="G4590" s="34">
        <v>9.49999999999704E-2</v>
      </c>
      <c r="H4590" s="35">
        <v>968</v>
      </c>
      <c r="I4590" s="37">
        <f t="shared" si="71"/>
        <v>4.1012083312149408E-2</v>
      </c>
      <c r="J4590" s="33" t="s">
        <v>116</v>
      </c>
    </row>
    <row r="4591" spans="1:10">
      <c r="A4591" s="33" t="s">
        <v>173</v>
      </c>
      <c r="B4591" s="34">
        <v>422.29300000000001</v>
      </c>
      <c r="C4591" s="35">
        <v>23602.799999999999</v>
      </c>
      <c r="D4591" s="33" t="s">
        <v>280</v>
      </c>
      <c r="E4591" s="34">
        <v>422.38799999999998</v>
      </c>
      <c r="F4591" s="36">
        <v>9.49999999999704E-2</v>
      </c>
      <c r="G4591" s="34">
        <v>9.49999999999704E-2</v>
      </c>
      <c r="H4591" s="35">
        <v>164.2</v>
      </c>
      <c r="I4591" s="37">
        <f t="shared" si="71"/>
        <v>6.9568017353873269E-3</v>
      </c>
      <c r="J4591" s="33"/>
    </row>
    <row r="4592" spans="1:10">
      <c r="A4592" s="33" t="s">
        <v>173</v>
      </c>
      <c r="B4592" s="34">
        <v>422.29300000000001</v>
      </c>
      <c r="C4592" s="35">
        <v>23602.799999999999</v>
      </c>
      <c r="D4592" s="33" t="s">
        <v>274</v>
      </c>
      <c r="E4592" s="34">
        <v>422.399</v>
      </c>
      <c r="F4592" s="36">
        <v>0.105999999999995</v>
      </c>
      <c r="G4592" s="34">
        <v>0.105999999999995</v>
      </c>
      <c r="H4592" s="35">
        <v>22</v>
      </c>
      <c r="I4592" s="37">
        <f t="shared" si="71"/>
        <v>9.3209280254885022E-4</v>
      </c>
      <c r="J4592" s="33"/>
    </row>
    <row r="4593" spans="1:10">
      <c r="A4593" s="33" t="s">
        <v>173</v>
      </c>
      <c r="B4593" s="34">
        <v>422.29300000000001</v>
      </c>
      <c r="C4593" s="35">
        <v>23602.799999999999</v>
      </c>
      <c r="D4593" s="33" t="s">
        <v>133</v>
      </c>
      <c r="E4593" s="34">
        <v>422.40800000000002</v>
      </c>
      <c r="F4593" s="36">
        <v>0.115000000000009</v>
      </c>
      <c r="G4593" s="34">
        <v>0.115000000000009</v>
      </c>
      <c r="H4593" s="35">
        <v>10</v>
      </c>
      <c r="I4593" s="37">
        <f t="shared" si="71"/>
        <v>4.2367854661311369E-4</v>
      </c>
      <c r="J4593" s="33"/>
    </row>
    <row r="4594" spans="1:10">
      <c r="A4594" s="33" t="s">
        <v>173</v>
      </c>
      <c r="B4594" s="34">
        <v>422.29300000000001</v>
      </c>
      <c r="C4594" s="35">
        <v>23602.799999999999</v>
      </c>
      <c r="D4594" s="33" t="s">
        <v>278</v>
      </c>
      <c r="E4594" s="34">
        <v>422.41300000000001</v>
      </c>
      <c r="F4594" s="36">
        <v>0.12000000000000501</v>
      </c>
      <c r="G4594" s="34">
        <v>0.12000000000000501</v>
      </c>
      <c r="H4594" s="35">
        <v>32.9</v>
      </c>
      <c r="I4594" s="37">
        <f t="shared" si="71"/>
        <v>1.3939024183571441E-3</v>
      </c>
      <c r="J4594" s="33"/>
    </row>
    <row r="4595" spans="1:10">
      <c r="A4595" s="33" t="s">
        <v>173</v>
      </c>
      <c r="B4595" s="34">
        <v>422.29300000000001</v>
      </c>
      <c r="C4595" s="35">
        <v>23602.799999999999</v>
      </c>
      <c r="D4595" s="33" t="s">
        <v>97</v>
      </c>
      <c r="E4595" s="34">
        <v>422.41699999999997</v>
      </c>
      <c r="F4595" s="36">
        <v>0.123999999999967</v>
      </c>
      <c r="G4595" s="34">
        <v>0.123999999999967</v>
      </c>
      <c r="H4595" s="35">
        <v>20.5</v>
      </c>
      <c r="I4595" s="37">
        <f t="shared" si="71"/>
        <v>8.6854102055688315E-4</v>
      </c>
      <c r="J4595" s="33"/>
    </row>
    <row r="4596" spans="1:10">
      <c r="A4596" s="33" t="s">
        <v>173</v>
      </c>
      <c r="B4596" s="34">
        <v>422.29300000000001</v>
      </c>
      <c r="C4596" s="35">
        <v>23602.799999999999</v>
      </c>
      <c r="D4596" s="33" t="s">
        <v>116</v>
      </c>
      <c r="E4596" s="34">
        <v>422.42500000000001</v>
      </c>
      <c r="F4596" s="36">
        <v>0.13200000000000001</v>
      </c>
      <c r="G4596" s="34">
        <v>0.13200000000000001</v>
      </c>
      <c r="H4596" s="35">
        <v>31.9</v>
      </c>
      <c r="I4596" s="37">
        <f t="shared" si="71"/>
        <v>1.3515345636958326E-3</v>
      </c>
      <c r="J4596" s="33" t="s">
        <v>116</v>
      </c>
    </row>
    <row r="4597" spans="1:10">
      <c r="A4597" s="33" t="s">
        <v>173</v>
      </c>
      <c r="B4597" s="34">
        <v>422.29300000000001</v>
      </c>
      <c r="C4597" s="35">
        <v>23602.799999999999</v>
      </c>
      <c r="D4597" s="33" t="s">
        <v>236</v>
      </c>
      <c r="E4597" s="34">
        <v>422.43</v>
      </c>
      <c r="F4597" s="36">
        <v>0.13700000000000101</v>
      </c>
      <c r="G4597" s="34">
        <v>0.13700000000000101</v>
      </c>
      <c r="H4597" s="35">
        <v>459.5</v>
      </c>
      <c r="I4597" s="37">
        <f t="shared" si="71"/>
        <v>1.9468029216872577E-2</v>
      </c>
      <c r="J4597" s="33"/>
    </row>
    <row r="4598" spans="1:10">
      <c r="A4598" s="33" t="s">
        <v>173</v>
      </c>
      <c r="B4598" s="34">
        <v>422.29300000000001</v>
      </c>
      <c r="C4598" s="35">
        <v>23602.799999999999</v>
      </c>
      <c r="D4598" s="33" t="s">
        <v>240</v>
      </c>
      <c r="E4598" s="34">
        <v>422.43200000000002</v>
      </c>
      <c r="F4598" s="36">
        <v>0.13900000000001</v>
      </c>
      <c r="G4598" s="34">
        <v>0.13900000000001</v>
      </c>
      <c r="H4598" s="35">
        <v>1</v>
      </c>
      <c r="I4598" s="37">
        <f t="shared" si="71"/>
        <v>4.236785466131137E-5</v>
      </c>
      <c r="J4598" s="33"/>
    </row>
    <row r="4599" spans="1:10">
      <c r="A4599" s="33" t="s">
        <v>173</v>
      </c>
      <c r="B4599" s="34">
        <v>422.29300000000001</v>
      </c>
      <c r="C4599" s="35">
        <v>23602.799999999999</v>
      </c>
      <c r="D4599" s="33" t="s">
        <v>239</v>
      </c>
      <c r="E4599" s="34">
        <v>422.45299999999997</v>
      </c>
      <c r="F4599" s="36">
        <v>0.159999999999968</v>
      </c>
      <c r="G4599" s="34">
        <v>0.159999999999968</v>
      </c>
      <c r="H4599" s="35">
        <v>12.9</v>
      </c>
      <c r="I4599" s="37">
        <f t="shared" si="71"/>
        <v>5.4654532513091672E-4</v>
      </c>
      <c r="J4599" s="33"/>
    </row>
    <row r="4600" spans="1:10">
      <c r="A4600" s="33" t="s">
        <v>173</v>
      </c>
      <c r="B4600" s="34">
        <v>422.29300000000001</v>
      </c>
      <c r="C4600" s="35">
        <v>23602.799999999999</v>
      </c>
      <c r="D4600" s="33" t="s">
        <v>25</v>
      </c>
      <c r="E4600" s="34">
        <v>422.45600000000002</v>
      </c>
      <c r="F4600" s="36">
        <v>0.163000000000011</v>
      </c>
      <c r="G4600" s="34">
        <v>0.163000000000011</v>
      </c>
      <c r="H4600" s="35">
        <v>425.4</v>
      </c>
      <c r="I4600" s="37">
        <f t="shared" si="71"/>
        <v>1.8023285372921857E-2</v>
      </c>
      <c r="J4600" s="33" t="s">
        <v>116</v>
      </c>
    </row>
    <row r="4601" spans="1:10">
      <c r="A4601" s="33" t="s">
        <v>173</v>
      </c>
      <c r="B4601" s="34">
        <v>422.29300000000001</v>
      </c>
      <c r="C4601" s="35">
        <v>23602.799999999999</v>
      </c>
      <c r="D4601" s="33" t="s">
        <v>278</v>
      </c>
      <c r="E4601" s="34">
        <v>422.459</v>
      </c>
      <c r="F4601" s="36">
        <v>0.16599999999999701</v>
      </c>
      <c r="G4601" s="34">
        <v>0.16599999999999701</v>
      </c>
      <c r="H4601" s="35">
        <v>45.6</v>
      </c>
      <c r="I4601" s="37">
        <f t="shared" si="71"/>
        <v>1.9319741725557986E-3</v>
      </c>
      <c r="J4601" s="33"/>
    </row>
    <row r="4602" spans="1:10">
      <c r="A4602" s="33" t="s">
        <v>173</v>
      </c>
      <c r="B4602" s="34">
        <v>422.29300000000001</v>
      </c>
      <c r="C4602" s="35">
        <v>23602.799999999999</v>
      </c>
      <c r="D4602" s="33" t="s">
        <v>27</v>
      </c>
      <c r="E4602" s="34">
        <v>422.48399999999998</v>
      </c>
      <c r="F4602" s="36">
        <v>0.190999999999974</v>
      </c>
      <c r="G4602" s="34">
        <v>0.190999999999974</v>
      </c>
      <c r="H4602" s="35">
        <v>963</v>
      </c>
      <c r="I4602" s="37">
        <f t="shared" si="71"/>
        <v>4.0800244038842852E-2</v>
      </c>
      <c r="J4602" s="33" t="s">
        <v>116</v>
      </c>
    </row>
    <row r="4603" spans="1:10">
      <c r="A4603" s="33" t="s">
        <v>173</v>
      </c>
      <c r="B4603" s="34">
        <v>422.29300000000001</v>
      </c>
      <c r="C4603" s="35">
        <v>23602.799999999999</v>
      </c>
      <c r="D4603" s="33" t="s">
        <v>239</v>
      </c>
      <c r="E4603" s="34">
        <v>422.48599999999999</v>
      </c>
      <c r="F4603" s="36">
        <v>0.19299999999998399</v>
      </c>
      <c r="G4603" s="34">
        <v>0.19299999999998399</v>
      </c>
      <c r="H4603" s="35">
        <v>17.7</v>
      </c>
      <c r="I4603" s="37">
        <f t="shared" si="71"/>
        <v>7.4991102750521124E-4</v>
      </c>
      <c r="J4603" s="33"/>
    </row>
    <row r="4604" spans="1:10">
      <c r="A4604" s="33" t="s">
        <v>173</v>
      </c>
      <c r="B4604" s="34">
        <v>422.53199999999998</v>
      </c>
      <c r="C4604" s="35">
        <v>27726.400000000001</v>
      </c>
      <c r="D4604" s="33" t="s">
        <v>36</v>
      </c>
      <c r="E4604" s="34">
        <v>422</v>
      </c>
      <c r="F4604" s="36">
        <v>0.53200000000000003</v>
      </c>
      <c r="G4604" s="34">
        <v>0.53200000000000003</v>
      </c>
      <c r="H4604" s="35">
        <v>902</v>
      </c>
      <c r="I4604" s="37">
        <f t="shared" si="71"/>
        <v>3.2532171504414564E-2</v>
      </c>
      <c r="J4604" s="33" t="s">
        <v>116</v>
      </c>
    </row>
    <row r="4605" spans="1:10">
      <c r="A4605" s="33" t="s">
        <v>173</v>
      </c>
      <c r="B4605" s="34">
        <v>422.53199999999998</v>
      </c>
      <c r="C4605" s="35">
        <v>27726.400000000001</v>
      </c>
      <c r="D4605" s="33" t="s">
        <v>25</v>
      </c>
      <c r="E4605" s="34">
        <v>422.38799999999998</v>
      </c>
      <c r="F4605" s="36">
        <v>0.14400000000000601</v>
      </c>
      <c r="G4605" s="34">
        <v>0.14400000000000601</v>
      </c>
      <c r="H4605" s="35">
        <v>968</v>
      </c>
      <c r="I4605" s="37">
        <f t="shared" si="71"/>
        <v>3.4912574297420507E-2</v>
      </c>
      <c r="J4605" s="33" t="s">
        <v>116</v>
      </c>
    </row>
    <row r="4606" spans="1:10">
      <c r="A4606" s="33" t="s">
        <v>173</v>
      </c>
      <c r="B4606" s="34">
        <v>422.53199999999998</v>
      </c>
      <c r="C4606" s="35">
        <v>27726.400000000001</v>
      </c>
      <c r="D4606" s="33" t="s">
        <v>280</v>
      </c>
      <c r="E4606" s="34">
        <v>422.38799999999998</v>
      </c>
      <c r="F4606" s="36">
        <v>0.14400000000000601</v>
      </c>
      <c r="G4606" s="34">
        <v>0.14400000000000601</v>
      </c>
      <c r="H4606" s="35">
        <v>164.2</v>
      </c>
      <c r="I4606" s="37">
        <f t="shared" si="71"/>
        <v>5.9221536153269078E-3</v>
      </c>
      <c r="J4606" s="33"/>
    </row>
    <row r="4607" spans="1:10">
      <c r="A4607" s="33" t="s">
        <v>173</v>
      </c>
      <c r="B4607" s="34">
        <v>422.53199999999998</v>
      </c>
      <c r="C4607" s="35">
        <v>27726.400000000001</v>
      </c>
      <c r="D4607" s="33" t="s">
        <v>274</v>
      </c>
      <c r="E4607" s="34">
        <v>422.399</v>
      </c>
      <c r="F4607" s="36">
        <v>0.13299999999998099</v>
      </c>
      <c r="G4607" s="34">
        <v>0.13299999999998099</v>
      </c>
      <c r="H4607" s="35">
        <v>22</v>
      </c>
      <c r="I4607" s="37">
        <f t="shared" si="71"/>
        <v>7.9346759766864793E-4</v>
      </c>
      <c r="J4607" s="33"/>
    </row>
    <row r="4608" spans="1:10">
      <c r="A4608" s="33" t="s">
        <v>173</v>
      </c>
      <c r="B4608" s="34">
        <v>422.53199999999998</v>
      </c>
      <c r="C4608" s="35">
        <v>27726.400000000001</v>
      </c>
      <c r="D4608" s="33" t="s">
        <v>133</v>
      </c>
      <c r="E4608" s="34">
        <v>422.40800000000002</v>
      </c>
      <c r="F4608" s="36">
        <v>0.123999999999967</v>
      </c>
      <c r="G4608" s="34">
        <v>0.123999999999967</v>
      </c>
      <c r="H4608" s="35">
        <v>10</v>
      </c>
      <c r="I4608" s="37">
        <f t="shared" si="71"/>
        <v>3.6066708984938543E-4</v>
      </c>
      <c r="J4608" s="33"/>
    </row>
    <row r="4609" spans="1:10">
      <c r="A4609" s="33" t="s">
        <v>173</v>
      </c>
      <c r="B4609" s="34">
        <v>422.53199999999998</v>
      </c>
      <c r="C4609" s="35">
        <v>27726.400000000001</v>
      </c>
      <c r="D4609" s="33" t="s">
        <v>278</v>
      </c>
      <c r="E4609" s="34">
        <v>422.41300000000001</v>
      </c>
      <c r="F4609" s="36">
        <v>0.118999999999971</v>
      </c>
      <c r="G4609" s="34">
        <v>0.118999999999971</v>
      </c>
      <c r="H4609" s="35">
        <v>32.9</v>
      </c>
      <c r="I4609" s="37">
        <f t="shared" si="71"/>
        <v>1.186594725604478E-3</v>
      </c>
      <c r="J4609" s="33"/>
    </row>
    <row r="4610" spans="1:10">
      <c r="A4610" s="33" t="s">
        <v>173</v>
      </c>
      <c r="B4610" s="34">
        <v>422.53199999999998</v>
      </c>
      <c r="C4610" s="35">
        <v>27726.400000000001</v>
      </c>
      <c r="D4610" s="33" t="s">
        <v>97</v>
      </c>
      <c r="E4610" s="34">
        <v>422.41699999999997</v>
      </c>
      <c r="F4610" s="36">
        <v>0.115000000000009</v>
      </c>
      <c r="G4610" s="34">
        <v>0.115000000000009</v>
      </c>
      <c r="H4610" s="35">
        <v>20.5</v>
      </c>
      <c r="I4610" s="37">
        <f t="shared" ref="I4610:I4673" si="72">H4610/C4610</f>
        <v>7.3936753419124007E-4</v>
      </c>
      <c r="J4610" s="33"/>
    </row>
    <row r="4611" spans="1:10">
      <c r="A4611" s="33" t="s">
        <v>173</v>
      </c>
      <c r="B4611" s="34">
        <v>422.53199999999998</v>
      </c>
      <c r="C4611" s="35">
        <v>27726.400000000001</v>
      </c>
      <c r="D4611" s="33" t="s">
        <v>116</v>
      </c>
      <c r="E4611" s="34">
        <v>422.42500000000001</v>
      </c>
      <c r="F4611" s="36">
        <v>0.107</v>
      </c>
      <c r="G4611" s="34">
        <v>0.107</v>
      </c>
      <c r="H4611" s="35">
        <v>31.9</v>
      </c>
      <c r="I4611" s="37">
        <f t="shared" si="72"/>
        <v>1.1505280166195393E-3</v>
      </c>
      <c r="J4611" s="33" t="s">
        <v>116</v>
      </c>
    </row>
    <row r="4612" spans="1:10">
      <c r="A4612" s="33" t="s">
        <v>173</v>
      </c>
      <c r="B4612" s="34">
        <v>422.53199999999998</v>
      </c>
      <c r="C4612" s="35">
        <v>27726.400000000001</v>
      </c>
      <c r="D4612" s="33" t="s">
        <v>236</v>
      </c>
      <c r="E4612" s="34">
        <v>422.43</v>
      </c>
      <c r="F4612" s="36">
        <v>0.101999999999975</v>
      </c>
      <c r="G4612" s="34">
        <v>0.101999999999975</v>
      </c>
      <c r="H4612" s="35">
        <v>459.5</v>
      </c>
      <c r="I4612" s="37">
        <f t="shared" si="72"/>
        <v>1.657265277857926E-2</v>
      </c>
      <c r="J4612" s="33"/>
    </row>
    <row r="4613" spans="1:10">
      <c r="A4613" s="33" t="s">
        <v>173</v>
      </c>
      <c r="B4613" s="34">
        <v>422.53199999999998</v>
      </c>
      <c r="C4613" s="35">
        <v>27726.400000000001</v>
      </c>
      <c r="D4613" s="33" t="s">
        <v>240</v>
      </c>
      <c r="E4613" s="34">
        <v>422.43200000000002</v>
      </c>
      <c r="F4613" s="36">
        <v>9.9999999999965894E-2</v>
      </c>
      <c r="G4613" s="34">
        <v>9.9999999999965894E-2</v>
      </c>
      <c r="H4613" s="35">
        <v>1</v>
      </c>
      <c r="I4613" s="37">
        <f t="shared" si="72"/>
        <v>3.6066708984938537E-5</v>
      </c>
      <c r="J4613" s="33"/>
    </row>
    <row r="4614" spans="1:10">
      <c r="A4614" s="33" t="s">
        <v>173</v>
      </c>
      <c r="B4614" s="34">
        <v>422.53199999999998</v>
      </c>
      <c r="C4614" s="35">
        <v>27726.400000000001</v>
      </c>
      <c r="D4614" s="33" t="s">
        <v>239</v>
      </c>
      <c r="E4614" s="34">
        <v>422.45299999999997</v>
      </c>
      <c r="F4614" s="36">
        <v>7.9000000000007703E-2</v>
      </c>
      <c r="G4614" s="34">
        <v>7.9000000000007703E-2</v>
      </c>
      <c r="H4614" s="35">
        <v>12.9</v>
      </c>
      <c r="I4614" s="37">
        <f t="shared" si="72"/>
        <v>4.652605459057072E-4</v>
      </c>
      <c r="J4614" s="33"/>
    </row>
    <row r="4615" spans="1:10">
      <c r="A4615" s="33" t="s">
        <v>173</v>
      </c>
      <c r="B4615" s="34">
        <v>422.53199999999998</v>
      </c>
      <c r="C4615" s="35">
        <v>27726.400000000001</v>
      </c>
      <c r="D4615" s="33" t="s">
        <v>25</v>
      </c>
      <c r="E4615" s="34">
        <v>422.45600000000002</v>
      </c>
      <c r="F4615" s="36">
        <v>7.5999999999964998E-2</v>
      </c>
      <c r="G4615" s="34">
        <v>7.5999999999964998E-2</v>
      </c>
      <c r="H4615" s="35">
        <v>425.4</v>
      </c>
      <c r="I4615" s="37">
        <f t="shared" si="72"/>
        <v>1.5342778002192855E-2</v>
      </c>
      <c r="J4615" s="33" t="s">
        <v>116</v>
      </c>
    </row>
    <row r="4616" spans="1:10">
      <c r="A4616" s="33" t="s">
        <v>173</v>
      </c>
      <c r="B4616" s="34">
        <v>422.53199999999998</v>
      </c>
      <c r="C4616" s="35">
        <v>27726.400000000001</v>
      </c>
      <c r="D4616" s="33" t="s">
        <v>278</v>
      </c>
      <c r="E4616" s="34">
        <v>422.459</v>
      </c>
      <c r="F4616" s="36">
        <v>7.2999999999979095E-2</v>
      </c>
      <c r="G4616" s="34">
        <v>7.2999999999979095E-2</v>
      </c>
      <c r="H4616" s="35">
        <v>45.6</v>
      </c>
      <c r="I4616" s="37">
        <f t="shared" si="72"/>
        <v>1.6446419297131976E-3</v>
      </c>
      <c r="J4616" s="33"/>
    </row>
    <row r="4617" spans="1:10">
      <c r="A4617" s="33" t="s">
        <v>173</v>
      </c>
      <c r="B4617" s="34">
        <v>422.53199999999998</v>
      </c>
      <c r="C4617" s="35">
        <v>27726.400000000001</v>
      </c>
      <c r="D4617" s="33" t="s">
        <v>239</v>
      </c>
      <c r="E4617" s="34">
        <v>422.48599999999999</v>
      </c>
      <c r="F4617" s="36">
        <v>4.5999999999992297E-2</v>
      </c>
      <c r="G4617" s="34">
        <v>4.5999999999992297E-2</v>
      </c>
      <c r="H4617" s="35">
        <v>7</v>
      </c>
      <c r="I4617" s="37">
        <f t="shared" si="72"/>
        <v>2.5246696289456976E-4</v>
      </c>
      <c r="J4617" s="33"/>
    </row>
    <row r="4618" spans="1:10">
      <c r="A4618" s="33" t="s">
        <v>173</v>
      </c>
      <c r="B4618" s="34">
        <v>422.53199999999998</v>
      </c>
      <c r="C4618" s="35">
        <v>27726.400000000001</v>
      </c>
      <c r="D4618" s="33" t="s">
        <v>36</v>
      </c>
      <c r="E4618" s="34">
        <v>422.50299999999999</v>
      </c>
      <c r="F4618" s="36">
        <v>2.9000000000000001E-2</v>
      </c>
      <c r="G4618" s="34">
        <v>2.9000000000000001E-2</v>
      </c>
      <c r="H4618" s="35">
        <v>1505.1</v>
      </c>
      <c r="I4618" s="37">
        <f t="shared" si="72"/>
        <v>5.4284003693230991E-2</v>
      </c>
      <c r="J4618" s="33" t="s">
        <v>116</v>
      </c>
    </row>
    <row r="4619" spans="1:10">
      <c r="A4619" s="33" t="s">
        <v>173</v>
      </c>
      <c r="B4619" s="34">
        <v>422.53199999999998</v>
      </c>
      <c r="C4619" s="35">
        <v>27726.400000000001</v>
      </c>
      <c r="D4619" s="33" t="s">
        <v>268</v>
      </c>
      <c r="E4619" s="34">
        <v>422.51</v>
      </c>
      <c r="F4619" s="36">
        <v>2.1999999999991401E-2</v>
      </c>
      <c r="G4619" s="34">
        <v>2.1999999999991401E-2</v>
      </c>
      <c r="H4619" s="35">
        <v>27.2</v>
      </c>
      <c r="I4619" s="37">
        <f t="shared" si="72"/>
        <v>9.810144843903283E-4</v>
      </c>
      <c r="J4619" s="33"/>
    </row>
    <row r="4620" spans="1:10">
      <c r="A4620" s="33" t="s">
        <v>173</v>
      </c>
      <c r="B4620" s="34">
        <v>422.53199999999998</v>
      </c>
      <c r="C4620" s="35">
        <v>27726.400000000001</v>
      </c>
      <c r="D4620" s="33" t="s">
        <v>33</v>
      </c>
      <c r="E4620" s="34">
        <v>422.51600000000002</v>
      </c>
      <c r="F4620" s="36">
        <v>1.59999999999627E-2</v>
      </c>
      <c r="G4620" s="34">
        <v>1.59999999999627E-2</v>
      </c>
      <c r="H4620" s="35">
        <v>570.29999999999995</v>
      </c>
      <c r="I4620" s="37">
        <f t="shared" si="72"/>
        <v>2.0568844134110448E-2</v>
      </c>
      <c r="J4620" s="33" t="s">
        <v>116</v>
      </c>
    </row>
    <row r="4621" spans="1:10">
      <c r="A4621" s="33" t="s">
        <v>173</v>
      </c>
      <c r="B4621" s="34">
        <v>422.53199999999998</v>
      </c>
      <c r="C4621" s="35">
        <v>27726.400000000001</v>
      </c>
      <c r="D4621" s="33" t="s">
        <v>270</v>
      </c>
      <c r="E4621" s="34">
        <v>422.53199999999998</v>
      </c>
      <c r="F4621" s="36">
        <v>0</v>
      </c>
      <c r="G4621" s="34">
        <v>0</v>
      </c>
      <c r="H4621" s="35">
        <v>9808.9</v>
      </c>
      <c r="I4621" s="37">
        <f t="shared" si="72"/>
        <v>0.35377474176236362</v>
      </c>
      <c r="J4621" s="33"/>
    </row>
    <row r="4622" spans="1:10">
      <c r="A4622" s="33" t="s">
        <v>173</v>
      </c>
      <c r="B4622" s="34">
        <v>422.53199999999998</v>
      </c>
      <c r="C4622" s="35">
        <v>27726.400000000001</v>
      </c>
      <c r="D4622" s="33" t="s">
        <v>277</v>
      </c>
      <c r="E4622" s="34">
        <v>422.53699999999998</v>
      </c>
      <c r="F4622" s="36">
        <v>4.9999999999954499E-3</v>
      </c>
      <c r="G4622" s="34">
        <v>4.9999999999954499E-3</v>
      </c>
      <c r="H4622" s="35">
        <v>258.5</v>
      </c>
      <c r="I4622" s="37">
        <f t="shared" si="72"/>
        <v>9.3232442726066123E-3</v>
      </c>
      <c r="J4622" s="33"/>
    </row>
    <row r="4623" spans="1:10">
      <c r="A4623" s="33" t="s">
        <v>173</v>
      </c>
      <c r="B4623" s="34">
        <v>422.53199999999998</v>
      </c>
      <c r="C4623" s="35">
        <v>27726.400000000001</v>
      </c>
      <c r="D4623" s="33" t="s">
        <v>97</v>
      </c>
      <c r="E4623" s="34">
        <v>422.54500000000002</v>
      </c>
      <c r="F4623" s="36">
        <v>1.30000000000337E-2</v>
      </c>
      <c r="G4623" s="34">
        <v>1.30000000000337E-2</v>
      </c>
      <c r="H4623" s="35">
        <v>18.399999999999999</v>
      </c>
      <c r="I4623" s="37">
        <f t="shared" si="72"/>
        <v>6.6362744532286904E-4</v>
      </c>
      <c r="J4623" s="33"/>
    </row>
    <row r="4624" spans="1:10">
      <c r="A4624" s="33" t="s">
        <v>173</v>
      </c>
      <c r="B4624" s="34">
        <v>422.53199999999998</v>
      </c>
      <c r="C4624" s="35">
        <v>27726.400000000001</v>
      </c>
      <c r="D4624" s="33" t="s">
        <v>236</v>
      </c>
      <c r="E4624" s="34">
        <v>422.553</v>
      </c>
      <c r="F4624" s="36">
        <v>2.1000000000015E-2</v>
      </c>
      <c r="G4624" s="34">
        <v>2.1000000000015E-2</v>
      </c>
      <c r="H4624" s="35">
        <v>25.6</v>
      </c>
      <c r="I4624" s="37">
        <f t="shared" si="72"/>
        <v>9.2330775001442671E-4</v>
      </c>
      <c r="J4624" s="33"/>
    </row>
    <row r="4625" spans="1:10">
      <c r="A4625" s="33" t="s">
        <v>173</v>
      </c>
      <c r="B4625" s="34">
        <v>422.53199999999998</v>
      </c>
      <c r="C4625" s="35">
        <v>27726.400000000001</v>
      </c>
      <c r="D4625" s="33" t="s">
        <v>184</v>
      </c>
      <c r="E4625" s="34">
        <v>422.55399999999997</v>
      </c>
      <c r="F4625" s="36">
        <v>2.1999999999991401E-2</v>
      </c>
      <c r="G4625" s="34">
        <v>2.1999999999991401E-2</v>
      </c>
      <c r="H4625" s="35">
        <v>52</v>
      </c>
      <c r="I4625" s="37">
        <f t="shared" si="72"/>
        <v>1.8754688672168042E-3</v>
      </c>
      <c r="J4625" s="33"/>
    </row>
    <row r="4626" spans="1:10">
      <c r="A4626" s="33" t="s">
        <v>173</v>
      </c>
      <c r="B4626" s="34">
        <v>422.53199999999998</v>
      </c>
      <c r="C4626" s="35">
        <v>27726.400000000001</v>
      </c>
      <c r="D4626" s="33" t="s">
        <v>25</v>
      </c>
      <c r="E4626" s="34">
        <v>422.57299999999998</v>
      </c>
      <c r="F4626" s="36">
        <v>4.0999999999996803E-2</v>
      </c>
      <c r="G4626" s="34">
        <v>4.0999999999996803E-2</v>
      </c>
      <c r="H4626" s="35">
        <v>251.2</v>
      </c>
      <c r="I4626" s="37">
        <f t="shared" si="72"/>
        <v>9.0599572970165611E-3</v>
      </c>
      <c r="J4626" s="33" t="s">
        <v>116</v>
      </c>
    </row>
    <row r="4627" spans="1:10">
      <c r="A4627" s="33" t="s">
        <v>173</v>
      </c>
      <c r="B4627" s="34">
        <v>422.53199999999998</v>
      </c>
      <c r="C4627" s="35">
        <v>27726.400000000001</v>
      </c>
      <c r="D4627" s="33" t="s">
        <v>270</v>
      </c>
      <c r="E4627" s="34">
        <v>422.61599999999999</v>
      </c>
      <c r="F4627" s="36">
        <v>8.4000000000003197E-2</v>
      </c>
      <c r="G4627" s="34">
        <v>8.4000000000003197E-2</v>
      </c>
      <c r="H4627" s="35">
        <v>130.1</v>
      </c>
      <c r="I4627" s="37">
        <f t="shared" si="72"/>
        <v>4.6922788389405041E-3</v>
      </c>
      <c r="J4627" s="33"/>
    </row>
    <row r="4628" spans="1:10">
      <c r="A4628" s="33" t="s">
        <v>173</v>
      </c>
      <c r="B4628" s="34">
        <v>422.53199999999998</v>
      </c>
      <c r="C4628" s="35">
        <v>27726.400000000001</v>
      </c>
      <c r="D4628" s="33" t="s">
        <v>273</v>
      </c>
      <c r="E4628" s="34">
        <v>422.62200000000001</v>
      </c>
      <c r="F4628" s="36">
        <v>9.0000000000031805E-2</v>
      </c>
      <c r="G4628" s="34">
        <v>9.0000000000031805E-2</v>
      </c>
      <c r="H4628" s="35">
        <v>19</v>
      </c>
      <c r="I4628" s="37">
        <f t="shared" si="72"/>
        <v>6.8526747071383232E-4</v>
      </c>
      <c r="J4628" s="33"/>
    </row>
    <row r="4629" spans="1:10">
      <c r="A4629" s="33" t="s">
        <v>173</v>
      </c>
      <c r="B4629" s="34">
        <v>422.53199999999998</v>
      </c>
      <c r="C4629" s="35">
        <v>27726.400000000001</v>
      </c>
      <c r="D4629" s="33" t="s">
        <v>275</v>
      </c>
      <c r="E4629" s="34">
        <v>422.63</v>
      </c>
      <c r="F4629" s="36">
        <v>9.8000000000013202E-2</v>
      </c>
      <c r="G4629" s="34">
        <v>9.8000000000013202E-2</v>
      </c>
      <c r="H4629" s="35">
        <v>3.9</v>
      </c>
      <c r="I4629" s="37">
        <f t="shared" si="72"/>
        <v>1.4066016504126031E-4</v>
      </c>
      <c r="J4629" s="33"/>
    </row>
    <row r="4630" spans="1:10">
      <c r="A4630" s="33" t="s">
        <v>173</v>
      </c>
      <c r="B4630" s="34">
        <v>422.53199999999998</v>
      </c>
      <c r="C4630" s="35">
        <v>27726.400000000001</v>
      </c>
      <c r="D4630" s="33" t="s">
        <v>25</v>
      </c>
      <c r="E4630" s="34">
        <v>422.63299999999998</v>
      </c>
      <c r="F4630" s="36">
        <v>0.10099999999999899</v>
      </c>
      <c r="G4630" s="34">
        <v>0.10099999999999899</v>
      </c>
      <c r="H4630" s="35">
        <v>14.4</v>
      </c>
      <c r="I4630" s="37">
        <f t="shared" si="72"/>
        <v>5.19360609383115E-4</v>
      </c>
      <c r="J4630" s="33" t="s">
        <v>116</v>
      </c>
    </row>
    <row r="4631" spans="1:10">
      <c r="A4631" s="33" t="s">
        <v>173</v>
      </c>
      <c r="B4631" s="34">
        <v>422.53199999999998</v>
      </c>
      <c r="C4631" s="35">
        <v>27726.400000000001</v>
      </c>
      <c r="D4631" s="33" t="s">
        <v>274</v>
      </c>
      <c r="E4631" s="34">
        <v>422.63299999999998</v>
      </c>
      <c r="F4631" s="36">
        <v>0.10099999999999899</v>
      </c>
      <c r="G4631" s="34">
        <v>0.10099999999999899</v>
      </c>
      <c r="H4631" s="35">
        <v>3</v>
      </c>
      <c r="I4631" s="37">
        <f t="shared" si="72"/>
        <v>1.0820012695481563E-4</v>
      </c>
      <c r="J4631" s="33"/>
    </row>
    <row r="4632" spans="1:10">
      <c r="A4632" s="33" t="s">
        <v>173</v>
      </c>
      <c r="B4632" s="34">
        <v>422.53199999999998</v>
      </c>
      <c r="C4632" s="35">
        <v>27726.400000000001</v>
      </c>
      <c r="D4632" s="33" t="s">
        <v>165</v>
      </c>
      <c r="E4632" s="34">
        <v>422.64</v>
      </c>
      <c r="F4632" s="36">
        <v>0.108000000000004</v>
      </c>
      <c r="G4632" s="34">
        <v>0.108000000000004</v>
      </c>
      <c r="H4632" s="35">
        <v>1</v>
      </c>
      <c r="I4632" s="37">
        <f t="shared" si="72"/>
        <v>3.6066708984938537E-5</v>
      </c>
      <c r="J4632" s="33"/>
    </row>
    <row r="4633" spans="1:10">
      <c r="A4633" s="33" t="s">
        <v>173</v>
      </c>
      <c r="B4633" s="34">
        <v>422.53199999999998</v>
      </c>
      <c r="C4633" s="35">
        <v>27726.400000000001</v>
      </c>
      <c r="D4633" s="33" t="s">
        <v>201</v>
      </c>
      <c r="E4633" s="34">
        <v>422.649</v>
      </c>
      <c r="F4633" s="36">
        <v>0.11700000000001901</v>
      </c>
      <c r="G4633" s="34">
        <v>0.11700000000001901</v>
      </c>
      <c r="H4633" s="35">
        <v>2821.8</v>
      </c>
      <c r="I4633" s="37">
        <f t="shared" si="72"/>
        <v>0.10177303941369958</v>
      </c>
      <c r="J4633" s="33"/>
    </row>
    <row r="4634" spans="1:10">
      <c r="A4634" s="33" t="s">
        <v>173</v>
      </c>
      <c r="B4634" s="34">
        <v>422.53199999999998</v>
      </c>
      <c r="C4634" s="35">
        <v>27726.400000000001</v>
      </c>
      <c r="D4634" s="33" t="s">
        <v>297</v>
      </c>
      <c r="E4634" s="34">
        <v>422.65600000000001</v>
      </c>
      <c r="F4634" s="36">
        <v>0.12400000000002399</v>
      </c>
      <c r="G4634" s="34">
        <v>0.12400000000002399</v>
      </c>
      <c r="H4634" s="35">
        <v>251.6</v>
      </c>
      <c r="I4634" s="37">
        <f t="shared" si="72"/>
        <v>9.0743839806105373E-3</v>
      </c>
      <c r="J4634" s="33"/>
    </row>
    <row r="4635" spans="1:10">
      <c r="A4635" s="33" t="s">
        <v>173</v>
      </c>
      <c r="B4635" s="34">
        <v>422.53199999999998</v>
      </c>
      <c r="C4635" s="35">
        <v>27726.400000000001</v>
      </c>
      <c r="D4635" s="33" t="s">
        <v>277</v>
      </c>
      <c r="E4635" s="34">
        <v>422.66</v>
      </c>
      <c r="F4635" s="36">
        <v>0.128000000000043</v>
      </c>
      <c r="G4635" s="34">
        <v>0.128000000000043</v>
      </c>
      <c r="H4635" s="35">
        <v>52.7</v>
      </c>
      <c r="I4635" s="37">
        <f t="shared" si="72"/>
        <v>1.9007155635062613E-3</v>
      </c>
      <c r="J4635" s="33"/>
    </row>
    <row r="4636" spans="1:10">
      <c r="A4636" s="33" t="s">
        <v>173</v>
      </c>
      <c r="B4636" s="34">
        <v>422.53199999999998</v>
      </c>
      <c r="C4636" s="35">
        <v>27726.400000000001</v>
      </c>
      <c r="D4636" s="33" t="s">
        <v>278</v>
      </c>
      <c r="E4636" s="34">
        <v>422.66199999999998</v>
      </c>
      <c r="F4636" s="36">
        <v>0.12999999999999601</v>
      </c>
      <c r="G4636" s="34">
        <v>0.12999999999999601</v>
      </c>
      <c r="H4636" s="35">
        <v>41</v>
      </c>
      <c r="I4636" s="37">
        <f t="shared" si="72"/>
        <v>1.4787350683824801E-3</v>
      </c>
      <c r="J4636" s="33"/>
    </row>
    <row r="4637" spans="1:10">
      <c r="A4637" s="33" t="s">
        <v>173</v>
      </c>
      <c r="B4637" s="34">
        <v>422.53199999999998</v>
      </c>
      <c r="C4637" s="35">
        <v>27726.400000000001</v>
      </c>
      <c r="D4637" s="33" t="s">
        <v>33</v>
      </c>
      <c r="E4637" s="34">
        <v>422.66800000000001</v>
      </c>
      <c r="F4637" s="36">
        <v>0.13600000000002399</v>
      </c>
      <c r="G4637" s="34">
        <v>0.13600000000002399</v>
      </c>
      <c r="H4637" s="35">
        <v>28.5</v>
      </c>
      <c r="I4637" s="37">
        <f t="shared" si="72"/>
        <v>1.0279012060707485E-3</v>
      </c>
      <c r="J4637" s="33" t="s">
        <v>116</v>
      </c>
    </row>
    <row r="4638" spans="1:10">
      <c r="A4638" s="33" t="s">
        <v>173</v>
      </c>
      <c r="B4638" s="34">
        <v>422.53199999999998</v>
      </c>
      <c r="C4638" s="35">
        <v>27726.400000000001</v>
      </c>
      <c r="D4638" s="33" t="s">
        <v>238</v>
      </c>
      <c r="E4638" s="34">
        <v>422.673</v>
      </c>
      <c r="F4638" s="36">
        <v>0.14100000000002</v>
      </c>
      <c r="G4638" s="34">
        <v>0.14100000000002</v>
      </c>
      <c r="H4638" s="35">
        <v>128726.9</v>
      </c>
      <c r="I4638" s="37">
        <f t="shared" si="72"/>
        <v>4.6427556408332844</v>
      </c>
      <c r="J4638" s="33"/>
    </row>
    <row r="4639" spans="1:10">
      <c r="A4639" s="33" t="s">
        <v>173</v>
      </c>
      <c r="B4639" s="34">
        <v>422.53199999999998</v>
      </c>
      <c r="C4639" s="35">
        <v>27726.400000000001</v>
      </c>
      <c r="D4639" s="33" t="s">
        <v>268</v>
      </c>
      <c r="E4639" s="34">
        <v>422.673</v>
      </c>
      <c r="F4639" s="36">
        <v>0.14100000000002</v>
      </c>
      <c r="G4639" s="34">
        <v>0.14100000000002</v>
      </c>
      <c r="H4639" s="35">
        <v>23.1</v>
      </c>
      <c r="I4639" s="37">
        <f t="shared" si="72"/>
        <v>8.3314097755208031E-4</v>
      </c>
      <c r="J4639" s="33"/>
    </row>
    <row r="4640" spans="1:10">
      <c r="A4640" s="33" t="s">
        <v>184</v>
      </c>
      <c r="B4640" s="34">
        <v>255.23500000000001</v>
      </c>
      <c r="C4640" s="35">
        <v>50325</v>
      </c>
      <c r="D4640" s="33" t="s">
        <v>240</v>
      </c>
      <c r="E4640" s="34">
        <v>255.13399999999999</v>
      </c>
      <c r="F4640" s="36">
        <v>-0.10100000000000001</v>
      </c>
      <c r="G4640" s="34">
        <v>0.10100000000000001</v>
      </c>
      <c r="H4640" s="35">
        <v>1.1000000000000001</v>
      </c>
      <c r="I4640" s="37">
        <f t="shared" si="72"/>
        <v>2.185792349726776E-5</v>
      </c>
      <c r="J4640" s="33"/>
    </row>
    <row r="4641" spans="1:10">
      <c r="A4641" s="33" t="s">
        <v>184</v>
      </c>
      <c r="B4641" s="34">
        <v>255.23500000000001</v>
      </c>
      <c r="C4641" s="35">
        <v>50325</v>
      </c>
      <c r="D4641" s="33" t="s">
        <v>274</v>
      </c>
      <c r="E4641" s="34">
        <v>255.13499999999999</v>
      </c>
      <c r="F4641" s="36">
        <v>-0.1</v>
      </c>
      <c r="G4641" s="34">
        <v>0.1</v>
      </c>
      <c r="H4641" s="35">
        <v>579.20000000000005</v>
      </c>
      <c r="I4641" s="37">
        <f t="shared" si="72"/>
        <v>1.1509190263288624E-2</v>
      </c>
      <c r="J4641" s="33"/>
    </row>
    <row r="4642" spans="1:10">
      <c r="A4642" s="33" t="s">
        <v>184</v>
      </c>
      <c r="B4642" s="34">
        <v>255.23500000000001</v>
      </c>
      <c r="C4642" s="35">
        <v>50325</v>
      </c>
      <c r="D4642" s="33" t="s">
        <v>273</v>
      </c>
      <c r="E4642" s="34">
        <v>255.13900000000001</v>
      </c>
      <c r="F4642" s="36">
        <v>-9.6000000000000002E-2</v>
      </c>
      <c r="G4642" s="34">
        <v>9.6000000000000002E-2</v>
      </c>
      <c r="H4642" s="35">
        <v>763.9</v>
      </c>
      <c r="I4642" s="37">
        <f t="shared" si="72"/>
        <v>1.5179334326875311E-2</v>
      </c>
      <c r="J4642" s="33"/>
    </row>
    <row r="4643" spans="1:10">
      <c r="A4643" s="33" t="s">
        <v>184</v>
      </c>
      <c r="B4643" s="34">
        <v>255.23500000000001</v>
      </c>
      <c r="C4643" s="35">
        <v>50325</v>
      </c>
      <c r="D4643" s="33" t="s">
        <v>269</v>
      </c>
      <c r="E4643" s="34">
        <v>255.13900000000001</v>
      </c>
      <c r="F4643" s="36">
        <v>-9.6000000000000002E-2</v>
      </c>
      <c r="G4643" s="34">
        <v>9.6000000000000002E-2</v>
      </c>
      <c r="H4643" s="35">
        <v>2624.2</v>
      </c>
      <c r="I4643" s="37">
        <f t="shared" si="72"/>
        <v>5.2145057128663685E-2</v>
      </c>
      <c r="J4643" s="33"/>
    </row>
    <row r="4644" spans="1:10">
      <c r="A4644" s="33" t="s">
        <v>184</v>
      </c>
      <c r="B4644" s="34">
        <v>255.23500000000001</v>
      </c>
      <c r="C4644" s="35">
        <v>50325</v>
      </c>
      <c r="D4644" s="33" t="s">
        <v>290</v>
      </c>
      <c r="E4644" s="34">
        <v>255.14</v>
      </c>
      <c r="F4644" s="36">
        <v>-9.5000000000000001E-2</v>
      </c>
      <c r="G4644" s="34">
        <v>9.5000000000000001E-2</v>
      </c>
      <c r="H4644" s="35">
        <v>14.8</v>
      </c>
      <c r="I4644" s="37">
        <f t="shared" si="72"/>
        <v>2.9408842523596625E-4</v>
      </c>
      <c r="J4644" s="33"/>
    </row>
    <row r="4645" spans="1:10">
      <c r="A4645" s="33" t="s">
        <v>184</v>
      </c>
      <c r="B4645" s="34">
        <v>255.23500000000001</v>
      </c>
      <c r="C4645" s="35">
        <v>50325</v>
      </c>
      <c r="D4645" s="33" t="s">
        <v>109</v>
      </c>
      <c r="E4645" s="34">
        <v>255.15100000000001</v>
      </c>
      <c r="F4645" s="36">
        <v>-8.4000000000000005E-2</v>
      </c>
      <c r="G4645" s="34">
        <v>8.4000000000000005E-2</v>
      </c>
      <c r="H4645" s="35">
        <v>80.2</v>
      </c>
      <c r="I4645" s="37">
        <f t="shared" si="72"/>
        <v>1.5936413313462495E-3</v>
      </c>
      <c r="J4645" s="33" t="s">
        <v>116</v>
      </c>
    </row>
    <row r="4646" spans="1:10">
      <c r="A4646" s="33" t="s">
        <v>184</v>
      </c>
      <c r="B4646" s="34">
        <v>255.23500000000001</v>
      </c>
      <c r="C4646" s="35">
        <v>50325</v>
      </c>
      <c r="D4646" s="33" t="s">
        <v>239</v>
      </c>
      <c r="E4646" s="34">
        <v>255.15899999999999</v>
      </c>
      <c r="F4646" s="36">
        <v>-7.5999999999999998E-2</v>
      </c>
      <c r="G4646" s="34">
        <v>7.5999999999999998E-2</v>
      </c>
      <c r="H4646" s="35">
        <v>135.4</v>
      </c>
      <c r="I4646" s="37">
        <f t="shared" si="72"/>
        <v>2.6905116741182318E-3</v>
      </c>
      <c r="J4646" s="33"/>
    </row>
    <row r="4647" spans="1:10">
      <c r="A4647" s="33" t="s">
        <v>184</v>
      </c>
      <c r="B4647" s="34">
        <v>255.23500000000001</v>
      </c>
      <c r="C4647" s="35">
        <v>50325</v>
      </c>
      <c r="D4647" s="33" t="s">
        <v>278</v>
      </c>
      <c r="E4647" s="34">
        <v>255.172</v>
      </c>
      <c r="F4647" s="36">
        <v>-6.3E-2</v>
      </c>
      <c r="G4647" s="34">
        <v>6.3E-2</v>
      </c>
      <c r="H4647" s="35">
        <v>46.2</v>
      </c>
      <c r="I4647" s="37">
        <f t="shared" si="72"/>
        <v>9.1803278688524592E-4</v>
      </c>
      <c r="J4647" s="33"/>
    </row>
    <row r="4648" spans="1:10">
      <c r="A4648" s="33" t="s">
        <v>184</v>
      </c>
      <c r="B4648" s="34">
        <v>255.23500000000001</v>
      </c>
      <c r="C4648" s="35">
        <v>50325</v>
      </c>
      <c r="D4648" s="33" t="s">
        <v>193</v>
      </c>
      <c r="E4648" s="34">
        <v>255.173</v>
      </c>
      <c r="F4648" s="36">
        <v>-6.2E-2</v>
      </c>
      <c r="G4648" s="34">
        <v>6.2E-2</v>
      </c>
      <c r="H4648" s="35">
        <v>219.7</v>
      </c>
      <c r="I4648" s="37">
        <f t="shared" si="72"/>
        <v>4.3656234475906606E-3</v>
      </c>
      <c r="J4648" s="33"/>
    </row>
    <row r="4649" spans="1:10">
      <c r="A4649" s="33" t="s">
        <v>184</v>
      </c>
      <c r="B4649" s="34">
        <v>255.23500000000001</v>
      </c>
      <c r="C4649" s="35">
        <v>50325</v>
      </c>
      <c r="D4649" s="33" t="s">
        <v>25</v>
      </c>
      <c r="E4649" s="34">
        <v>255.17699999999999</v>
      </c>
      <c r="F4649" s="36">
        <v>-5.8000000000000003E-2</v>
      </c>
      <c r="G4649" s="34">
        <v>5.8000000000000003E-2</v>
      </c>
      <c r="H4649" s="35">
        <v>42.4</v>
      </c>
      <c r="I4649" s="37">
        <f t="shared" si="72"/>
        <v>8.4252359662195721E-4</v>
      </c>
      <c r="J4649" s="33" t="s">
        <v>116</v>
      </c>
    </row>
    <row r="4650" spans="1:10">
      <c r="A4650" s="33" t="s">
        <v>184</v>
      </c>
      <c r="B4650" s="34">
        <v>255.23500000000001</v>
      </c>
      <c r="C4650" s="35">
        <v>50325</v>
      </c>
      <c r="D4650" s="33" t="s">
        <v>285</v>
      </c>
      <c r="E4650" s="34">
        <v>255.185</v>
      </c>
      <c r="F4650" s="36">
        <v>-0.05</v>
      </c>
      <c r="G4650" s="34">
        <v>0.05</v>
      </c>
      <c r="H4650" s="35">
        <v>44.5</v>
      </c>
      <c r="I4650" s="37">
        <f t="shared" si="72"/>
        <v>8.8425235966219573E-4</v>
      </c>
      <c r="J4650" s="33"/>
    </row>
    <row r="4651" spans="1:10">
      <c r="A4651" s="33" t="s">
        <v>184</v>
      </c>
      <c r="B4651" s="34">
        <v>255.23500000000001</v>
      </c>
      <c r="C4651" s="35">
        <v>50325</v>
      </c>
      <c r="D4651" s="33" t="s">
        <v>269</v>
      </c>
      <c r="E4651" s="34">
        <v>255.185</v>
      </c>
      <c r="F4651" s="36">
        <v>-0.05</v>
      </c>
      <c r="G4651" s="34">
        <v>0.05</v>
      </c>
      <c r="H4651" s="35">
        <v>91.7</v>
      </c>
      <c r="I4651" s="37">
        <f t="shared" si="72"/>
        <v>1.8221559860904124E-3</v>
      </c>
      <c r="J4651" s="33"/>
    </row>
    <row r="4652" spans="1:10">
      <c r="A4652" s="33" t="s">
        <v>184</v>
      </c>
      <c r="B4652" s="34">
        <v>255.23500000000001</v>
      </c>
      <c r="C4652" s="35">
        <v>50325</v>
      </c>
      <c r="D4652" s="33" t="s">
        <v>240</v>
      </c>
      <c r="E4652" s="34">
        <v>255.18600000000001</v>
      </c>
      <c r="F4652" s="36">
        <v>-4.9000000000000002E-2</v>
      </c>
      <c r="G4652" s="34">
        <v>4.9000000000000002E-2</v>
      </c>
      <c r="H4652" s="35">
        <v>139.30000000000001</v>
      </c>
      <c r="I4652" s="37">
        <f t="shared" si="72"/>
        <v>2.7680079483358173E-3</v>
      </c>
      <c r="J4652" s="33"/>
    </row>
    <row r="4653" spans="1:10">
      <c r="A4653" s="33" t="s">
        <v>184</v>
      </c>
      <c r="B4653" s="34">
        <v>255.23500000000001</v>
      </c>
      <c r="C4653" s="35">
        <v>50325</v>
      </c>
      <c r="D4653" s="33" t="s">
        <v>239</v>
      </c>
      <c r="E4653" s="34">
        <v>255.18700000000001</v>
      </c>
      <c r="F4653" s="36">
        <v>-4.8000000000000001E-2</v>
      </c>
      <c r="G4653" s="34">
        <v>4.8000000000000001E-2</v>
      </c>
      <c r="H4653" s="35">
        <v>10.3</v>
      </c>
      <c r="I4653" s="37">
        <f t="shared" si="72"/>
        <v>2.0466964729259812E-4</v>
      </c>
      <c r="J4653" s="33"/>
    </row>
    <row r="4654" spans="1:10">
      <c r="A4654" s="33" t="s">
        <v>184</v>
      </c>
      <c r="B4654" s="34">
        <v>255.23500000000001</v>
      </c>
      <c r="C4654" s="35">
        <v>50325</v>
      </c>
      <c r="D4654" s="33" t="s">
        <v>268</v>
      </c>
      <c r="E4654" s="34">
        <v>255.19800000000001</v>
      </c>
      <c r="F4654" s="36">
        <v>-3.6999999999999998E-2</v>
      </c>
      <c r="G4654" s="34">
        <v>3.6999999999999998E-2</v>
      </c>
      <c r="H4654" s="35">
        <v>142.1</v>
      </c>
      <c r="I4654" s="37">
        <f t="shared" si="72"/>
        <v>2.8236462990561349E-3</v>
      </c>
      <c r="J4654" s="33"/>
    </row>
    <row r="4655" spans="1:10">
      <c r="A4655" s="33" t="s">
        <v>184</v>
      </c>
      <c r="B4655" s="34">
        <v>255.23500000000001</v>
      </c>
      <c r="C4655" s="35">
        <v>50325</v>
      </c>
      <c r="D4655" s="33" t="s">
        <v>274</v>
      </c>
      <c r="E4655" s="34">
        <v>255.19800000000001</v>
      </c>
      <c r="F4655" s="36">
        <v>-3.6999999999999998E-2</v>
      </c>
      <c r="G4655" s="34">
        <v>3.6999999999999998E-2</v>
      </c>
      <c r="H4655" s="35">
        <v>5</v>
      </c>
      <c r="I4655" s="37">
        <f t="shared" si="72"/>
        <v>9.9354197714853452E-5</v>
      </c>
      <c r="J4655" s="33"/>
    </row>
    <row r="4656" spans="1:10">
      <c r="A4656" s="33" t="s">
        <v>184</v>
      </c>
      <c r="B4656" s="34">
        <v>255.23500000000001</v>
      </c>
      <c r="C4656" s="35">
        <v>50325</v>
      </c>
      <c r="D4656" s="33" t="s">
        <v>279</v>
      </c>
      <c r="E4656" s="34">
        <v>255.202</v>
      </c>
      <c r="F4656" s="36">
        <v>-3.3000000000000002E-2</v>
      </c>
      <c r="G4656" s="34">
        <v>3.3000000000000002E-2</v>
      </c>
      <c r="H4656" s="35">
        <v>20.3</v>
      </c>
      <c r="I4656" s="37">
        <f t="shared" si="72"/>
        <v>4.0337804272230505E-4</v>
      </c>
      <c r="J4656" s="33"/>
    </row>
    <row r="4657" spans="1:10">
      <c r="A4657" s="33" t="s">
        <v>184</v>
      </c>
      <c r="B4657" s="34">
        <v>255.23500000000001</v>
      </c>
      <c r="C4657" s="35">
        <v>50325</v>
      </c>
      <c r="D4657" s="33" t="s">
        <v>63</v>
      </c>
      <c r="E4657" s="34">
        <v>255.215</v>
      </c>
      <c r="F4657" s="36">
        <v>-0.02</v>
      </c>
      <c r="G4657" s="34">
        <v>0.02</v>
      </c>
      <c r="H4657" s="35">
        <v>273.7</v>
      </c>
      <c r="I4657" s="37">
        <f t="shared" si="72"/>
        <v>5.4386487829110779E-3</v>
      </c>
      <c r="J4657" s="33" t="s">
        <v>116</v>
      </c>
    </row>
    <row r="4658" spans="1:10">
      <c r="A4658" s="33" t="s">
        <v>184</v>
      </c>
      <c r="B4658" s="34">
        <v>255.23500000000001</v>
      </c>
      <c r="C4658" s="35">
        <v>50325</v>
      </c>
      <c r="D4658" s="33" t="s">
        <v>294</v>
      </c>
      <c r="E4658" s="34">
        <v>255.22499999999999</v>
      </c>
      <c r="F4658" s="36">
        <v>-0.01</v>
      </c>
      <c r="G4658" s="34">
        <v>0.01</v>
      </c>
      <c r="H4658" s="35">
        <v>19.399999999999999</v>
      </c>
      <c r="I4658" s="37">
        <f t="shared" si="72"/>
        <v>3.8549428713363138E-4</v>
      </c>
      <c r="J4658" s="33"/>
    </row>
    <row r="4659" spans="1:10">
      <c r="A4659" s="33" t="s">
        <v>184</v>
      </c>
      <c r="B4659" s="34">
        <v>255.23500000000001</v>
      </c>
      <c r="C4659" s="35">
        <v>50325</v>
      </c>
      <c r="D4659" s="33" t="s">
        <v>33</v>
      </c>
      <c r="E4659" s="34">
        <v>255.22900000000001</v>
      </c>
      <c r="F4659" s="36">
        <v>-6.0000000000000001E-3</v>
      </c>
      <c r="G4659" s="34">
        <v>6.0000000000000001E-3</v>
      </c>
      <c r="H4659" s="35">
        <v>167.5</v>
      </c>
      <c r="I4659" s="37">
        <f t="shared" si="72"/>
        <v>3.3283656234475907E-3</v>
      </c>
      <c r="J4659" s="33" t="s">
        <v>116</v>
      </c>
    </row>
    <row r="4660" spans="1:10">
      <c r="A4660" s="33" t="s">
        <v>184</v>
      </c>
      <c r="B4660" s="34">
        <v>255.23500000000001</v>
      </c>
      <c r="C4660" s="35">
        <v>50325</v>
      </c>
      <c r="D4660" s="33" t="s">
        <v>54</v>
      </c>
      <c r="E4660" s="34">
        <v>255.24</v>
      </c>
      <c r="F4660" s="36">
        <v>5.0000000000000001E-3</v>
      </c>
      <c r="G4660" s="34">
        <v>5.0000000000000001E-3</v>
      </c>
      <c r="H4660" s="35">
        <v>17.8</v>
      </c>
      <c r="I4660" s="37">
        <f t="shared" si="72"/>
        <v>3.5370094386487832E-4</v>
      </c>
      <c r="J4660" s="33"/>
    </row>
    <row r="4661" spans="1:10">
      <c r="A4661" s="33" t="s">
        <v>184</v>
      </c>
      <c r="B4661" s="34">
        <v>255.23500000000001</v>
      </c>
      <c r="C4661" s="35">
        <v>50325</v>
      </c>
      <c r="D4661" s="33" t="s">
        <v>278</v>
      </c>
      <c r="E4661" s="34">
        <v>255.26499999999999</v>
      </c>
      <c r="F4661" s="36">
        <v>0.03</v>
      </c>
      <c r="G4661" s="34">
        <v>0.03</v>
      </c>
      <c r="H4661" s="35">
        <v>29.5</v>
      </c>
      <c r="I4661" s="37">
        <f t="shared" si="72"/>
        <v>5.8618976651763537E-4</v>
      </c>
      <c r="J4661" s="33"/>
    </row>
    <row r="4662" spans="1:10">
      <c r="A4662" s="33" t="s">
        <v>184</v>
      </c>
      <c r="B4662" s="34">
        <v>255.23500000000001</v>
      </c>
      <c r="C4662" s="35">
        <v>50325</v>
      </c>
      <c r="D4662" s="33" t="s">
        <v>279</v>
      </c>
      <c r="E4662" s="34">
        <v>255.27</v>
      </c>
      <c r="F4662" s="36">
        <v>3.5000000000000003E-2</v>
      </c>
      <c r="G4662" s="34">
        <v>3.5000000000000003E-2</v>
      </c>
      <c r="H4662" s="35">
        <v>9.4</v>
      </c>
      <c r="I4662" s="37">
        <f t="shared" si="72"/>
        <v>1.8678589170392451E-4</v>
      </c>
      <c r="J4662" s="33"/>
    </row>
    <row r="4663" spans="1:10">
      <c r="A4663" s="33" t="s">
        <v>184</v>
      </c>
      <c r="B4663" s="34">
        <v>255.23500000000001</v>
      </c>
      <c r="C4663" s="35">
        <v>50325</v>
      </c>
      <c r="D4663" s="33" t="s">
        <v>63</v>
      </c>
      <c r="E4663" s="34">
        <v>255.27099999999999</v>
      </c>
      <c r="F4663" s="36">
        <v>3.5999999999999997E-2</v>
      </c>
      <c r="G4663" s="34">
        <v>3.5999999999999997E-2</v>
      </c>
      <c r="H4663" s="35">
        <v>197.1</v>
      </c>
      <c r="I4663" s="37">
        <f t="shared" si="72"/>
        <v>3.9165424739195228E-3</v>
      </c>
      <c r="J4663" s="33" t="s">
        <v>116</v>
      </c>
    </row>
    <row r="4664" spans="1:10">
      <c r="A4664" s="33" t="s">
        <v>184</v>
      </c>
      <c r="B4664" s="34">
        <v>255.23500000000001</v>
      </c>
      <c r="C4664" s="35">
        <v>50325</v>
      </c>
      <c r="D4664" s="33" t="s">
        <v>109</v>
      </c>
      <c r="E4664" s="34">
        <v>255.27699999999999</v>
      </c>
      <c r="F4664" s="36">
        <v>4.2000000000000003E-2</v>
      </c>
      <c r="G4664" s="34">
        <v>4.2000000000000003E-2</v>
      </c>
      <c r="H4664" s="35">
        <v>234.1</v>
      </c>
      <c r="I4664" s="37">
        <f t="shared" si="72"/>
        <v>4.6517635370094384E-3</v>
      </c>
      <c r="J4664" s="33" t="s">
        <v>116</v>
      </c>
    </row>
    <row r="4665" spans="1:10">
      <c r="A4665" s="33" t="s">
        <v>184</v>
      </c>
      <c r="B4665" s="34">
        <v>255.23500000000001</v>
      </c>
      <c r="C4665" s="35">
        <v>50325</v>
      </c>
      <c r="D4665" s="33" t="s">
        <v>239</v>
      </c>
      <c r="E4665" s="34">
        <v>255.28</v>
      </c>
      <c r="F4665" s="36">
        <v>4.4999999999999998E-2</v>
      </c>
      <c r="G4665" s="34">
        <v>4.4999999999999998E-2</v>
      </c>
      <c r="H4665" s="35">
        <v>3.2</v>
      </c>
      <c r="I4665" s="37">
        <f t="shared" si="72"/>
        <v>6.3586686537506218E-5</v>
      </c>
      <c r="J4665" s="33"/>
    </row>
    <row r="4666" spans="1:10">
      <c r="A4666" s="33" t="s">
        <v>184</v>
      </c>
      <c r="B4666" s="34">
        <v>255.23500000000001</v>
      </c>
      <c r="C4666" s="35">
        <v>50325</v>
      </c>
      <c r="D4666" s="33" t="s">
        <v>54</v>
      </c>
      <c r="E4666" s="34">
        <v>255.3</v>
      </c>
      <c r="F4666" s="36">
        <v>6.5000000000000002E-2</v>
      </c>
      <c r="G4666" s="34">
        <v>6.5000000000000002E-2</v>
      </c>
      <c r="H4666" s="35">
        <v>41.4</v>
      </c>
      <c r="I4666" s="37">
        <f t="shared" si="72"/>
        <v>8.2265275707898652E-4</v>
      </c>
      <c r="J4666" s="33"/>
    </row>
    <row r="4667" spans="1:10">
      <c r="A4667" s="33" t="s">
        <v>184</v>
      </c>
      <c r="B4667" s="34">
        <v>255.23500000000001</v>
      </c>
      <c r="C4667" s="35">
        <v>50325</v>
      </c>
      <c r="D4667" s="33" t="s">
        <v>278</v>
      </c>
      <c r="E4667" s="34">
        <v>255.303</v>
      </c>
      <c r="F4667" s="36">
        <v>6.8000000000000005E-2</v>
      </c>
      <c r="G4667" s="34">
        <v>6.8000000000000005E-2</v>
      </c>
      <c r="H4667" s="35">
        <v>469.2</v>
      </c>
      <c r="I4667" s="37">
        <f t="shared" si="72"/>
        <v>9.3233979135618483E-3</v>
      </c>
      <c r="J4667" s="33"/>
    </row>
    <row r="4668" spans="1:10">
      <c r="A4668" s="33" t="s">
        <v>184</v>
      </c>
      <c r="B4668" s="34">
        <v>255.23500000000001</v>
      </c>
      <c r="C4668" s="35">
        <v>50325</v>
      </c>
      <c r="D4668" s="33" t="s">
        <v>239</v>
      </c>
      <c r="E4668" s="34">
        <v>255.30600000000001</v>
      </c>
      <c r="F4668" s="36">
        <v>7.0999999999999994E-2</v>
      </c>
      <c r="G4668" s="34">
        <v>7.0999999999999994E-2</v>
      </c>
      <c r="H4668" s="35">
        <v>10.9</v>
      </c>
      <c r="I4668" s="37">
        <f t="shared" si="72"/>
        <v>2.1659215101838054E-4</v>
      </c>
      <c r="J4668" s="33"/>
    </row>
    <row r="4669" spans="1:10">
      <c r="A4669" s="33" t="s">
        <v>184</v>
      </c>
      <c r="B4669" s="34">
        <v>255.23500000000001</v>
      </c>
      <c r="C4669" s="35">
        <v>50325</v>
      </c>
      <c r="D4669" s="33" t="s">
        <v>274</v>
      </c>
      <c r="E4669" s="34">
        <v>255.316</v>
      </c>
      <c r="F4669" s="36">
        <v>8.1000000000000003E-2</v>
      </c>
      <c r="G4669" s="34">
        <v>8.1000000000000003E-2</v>
      </c>
      <c r="H4669" s="35">
        <v>122.2</v>
      </c>
      <c r="I4669" s="37">
        <f t="shared" si="72"/>
        <v>2.4282165921510183E-3</v>
      </c>
      <c r="J4669" s="33"/>
    </row>
    <row r="4670" spans="1:10">
      <c r="A4670" s="33" t="s">
        <v>184</v>
      </c>
      <c r="B4670" s="34">
        <v>255.23500000000001</v>
      </c>
      <c r="C4670" s="35">
        <v>50325</v>
      </c>
      <c r="D4670" s="33" t="s">
        <v>193</v>
      </c>
      <c r="E4670" s="34">
        <v>255.31800000000001</v>
      </c>
      <c r="F4670" s="36">
        <v>8.3000000000000004E-2</v>
      </c>
      <c r="G4670" s="34">
        <v>8.3000000000000004E-2</v>
      </c>
      <c r="H4670" s="35">
        <v>165.8</v>
      </c>
      <c r="I4670" s="37">
        <f t="shared" si="72"/>
        <v>3.2945851962245406E-3</v>
      </c>
      <c r="J4670" s="33"/>
    </row>
    <row r="4671" spans="1:10">
      <c r="A4671" s="33" t="s">
        <v>184</v>
      </c>
      <c r="B4671" s="34">
        <v>255.23500000000001</v>
      </c>
      <c r="C4671" s="35">
        <v>50325</v>
      </c>
      <c r="D4671" s="33" t="s">
        <v>97</v>
      </c>
      <c r="E4671" s="34">
        <v>255.31899999999999</v>
      </c>
      <c r="F4671" s="36">
        <v>8.4000000000000005E-2</v>
      </c>
      <c r="G4671" s="34">
        <v>8.4000000000000005E-2</v>
      </c>
      <c r="H4671" s="35">
        <v>14.7</v>
      </c>
      <c r="I4671" s="37">
        <f t="shared" si="72"/>
        <v>2.9210134128166912E-4</v>
      </c>
      <c r="J4671" s="33"/>
    </row>
    <row r="4672" spans="1:10">
      <c r="A4672" s="33" t="s">
        <v>184</v>
      </c>
      <c r="B4672" s="34">
        <v>255.23500000000001</v>
      </c>
      <c r="C4672" s="35">
        <v>50325</v>
      </c>
      <c r="D4672" s="33" t="s">
        <v>271</v>
      </c>
      <c r="E4672" s="34">
        <v>255.32400000000001</v>
      </c>
      <c r="F4672" s="36">
        <v>8.8999999999999996E-2</v>
      </c>
      <c r="G4672" s="34">
        <v>8.8999999999999996E-2</v>
      </c>
      <c r="H4672" s="35">
        <v>39.6</v>
      </c>
      <c r="I4672" s="37">
        <f t="shared" si="72"/>
        <v>7.8688524590163941E-4</v>
      </c>
      <c r="J4672" s="33"/>
    </row>
    <row r="4673" spans="1:10">
      <c r="A4673" s="33" t="s">
        <v>184</v>
      </c>
      <c r="B4673" s="34">
        <v>255.23500000000001</v>
      </c>
      <c r="C4673" s="35">
        <v>50325</v>
      </c>
      <c r="D4673" s="33" t="s">
        <v>313</v>
      </c>
      <c r="E4673" s="34">
        <v>255.32599999999999</v>
      </c>
      <c r="F4673" s="36">
        <v>9.0999999999999998E-2</v>
      </c>
      <c r="G4673" s="34">
        <v>9.0999999999999998E-2</v>
      </c>
      <c r="H4673" s="35">
        <v>120.1</v>
      </c>
      <c r="I4673" s="37">
        <f t="shared" si="72"/>
        <v>2.3864878291107797E-3</v>
      </c>
      <c r="J4673" s="33"/>
    </row>
    <row r="4674" spans="1:10">
      <c r="A4674" s="33" t="s">
        <v>184</v>
      </c>
      <c r="B4674" s="34">
        <v>255.23500000000001</v>
      </c>
      <c r="C4674" s="35">
        <v>50325</v>
      </c>
      <c r="D4674" s="33" t="s">
        <v>240</v>
      </c>
      <c r="E4674" s="34">
        <v>255.32599999999999</v>
      </c>
      <c r="F4674" s="36">
        <v>9.0999999999999998E-2</v>
      </c>
      <c r="G4674" s="34">
        <v>9.0999999999999998E-2</v>
      </c>
      <c r="H4674" s="35">
        <v>61.3</v>
      </c>
      <c r="I4674" s="37">
        <f t="shared" ref="I4674:I4737" si="73">H4674/C4674</f>
        <v>1.2180824639841032E-3</v>
      </c>
      <c r="J4674" s="33"/>
    </row>
    <row r="4675" spans="1:10">
      <c r="A4675" s="33" t="s">
        <v>184</v>
      </c>
      <c r="B4675" s="34">
        <v>255.23500000000001</v>
      </c>
      <c r="C4675" s="35">
        <v>50325</v>
      </c>
      <c r="D4675" s="33" t="s">
        <v>54</v>
      </c>
      <c r="E4675" s="34">
        <v>255.334</v>
      </c>
      <c r="F4675" s="36">
        <v>9.9000000000000005E-2</v>
      </c>
      <c r="G4675" s="34">
        <v>9.9000000000000005E-2</v>
      </c>
      <c r="H4675" s="35">
        <v>35.299999999999997</v>
      </c>
      <c r="I4675" s="37">
        <f t="shared" si="73"/>
        <v>7.0144063586686535E-4</v>
      </c>
      <c r="J4675" s="33"/>
    </row>
    <row r="4676" spans="1:10">
      <c r="A4676" s="33" t="s">
        <v>184</v>
      </c>
      <c r="B4676" s="34">
        <v>255.23500000000001</v>
      </c>
      <c r="C4676" s="35">
        <v>50325</v>
      </c>
      <c r="D4676" s="33" t="s">
        <v>165</v>
      </c>
      <c r="E4676" s="34">
        <v>255.33699999999999</v>
      </c>
      <c r="F4676" s="36">
        <v>0.10199999999999999</v>
      </c>
      <c r="G4676" s="34">
        <v>0.10199999999999999</v>
      </c>
      <c r="H4676" s="35">
        <v>3.4</v>
      </c>
      <c r="I4676" s="37">
        <f t="shared" si="73"/>
        <v>6.756085444610035E-5</v>
      </c>
      <c r="J4676" s="33"/>
    </row>
    <row r="4677" spans="1:10">
      <c r="A4677" s="33" t="s">
        <v>184</v>
      </c>
      <c r="B4677" s="34">
        <v>255.23500000000001</v>
      </c>
      <c r="C4677" s="35">
        <v>50325</v>
      </c>
      <c r="D4677" s="33" t="s">
        <v>292</v>
      </c>
      <c r="E4677" s="34">
        <v>255.346</v>
      </c>
      <c r="F4677" s="36">
        <v>0.111</v>
      </c>
      <c r="G4677" s="34">
        <v>0.111</v>
      </c>
      <c r="H4677" s="35">
        <v>0.5</v>
      </c>
      <c r="I4677" s="37">
        <f t="shared" si="73"/>
        <v>9.9354197714853452E-6</v>
      </c>
      <c r="J4677" s="33"/>
    </row>
    <row r="4678" spans="1:10">
      <c r="A4678" s="33" t="s">
        <v>184</v>
      </c>
      <c r="B4678" s="34">
        <v>255.23500000000001</v>
      </c>
      <c r="C4678" s="35">
        <v>50325</v>
      </c>
      <c r="D4678" s="33" t="s">
        <v>184</v>
      </c>
      <c r="E4678" s="34">
        <v>255.34700000000001</v>
      </c>
      <c r="F4678" s="36">
        <v>0.112</v>
      </c>
      <c r="G4678" s="34">
        <v>0.112</v>
      </c>
      <c r="H4678" s="35">
        <v>12.6</v>
      </c>
      <c r="I4678" s="37">
        <f t="shared" si="73"/>
        <v>2.5037257824143071E-4</v>
      </c>
      <c r="J4678" s="33"/>
    </row>
    <row r="4679" spans="1:10">
      <c r="A4679" s="33" t="s">
        <v>184</v>
      </c>
      <c r="B4679" s="34">
        <v>255.23500000000001</v>
      </c>
      <c r="C4679" s="35">
        <v>50325</v>
      </c>
      <c r="D4679" s="33" t="s">
        <v>273</v>
      </c>
      <c r="E4679" s="34">
        <v>255.34899999999999</v>
      </c>
      <c r="F4679" s="36">
        <v>0.114</v>
      </c>
      <c r="G4679" s="34">
        <v>0.114</v>
      </c>
      <c r="H4679" s="35">
        <v>42.8</v>
      </c>
      <c r="I4679" s="37">
        <f t="shared" si="73"/>
        <v>8.5047193243914553E-4</v>
      </c>
      <c r="J4679" s="33"/>
    </row>
    <row r="4680" spans="1:10">
      <c r="A4680" s="33" t="s">
        <v>184</v>
      </c>
      <c r="B4680" s="34">
        <v>335.37200000000001</v>
      </c>
      <c r="C4680" s="35">
        <v>316070</v>
      </c>
      <c r="D4680" s="33" t="s">
        <v>272</v>
      </c>
      <c r="E4680" s="34">
        <v>335.197</v>
      </c>
      <c r="F4680" s="36">
        <v>-0.17499999999999999</v>
      </c>
      <c r="G4680" s="34">
        <v>0.17499999999999999</v>
      </c>
      <c r="H4680" s="35">
        <v>16.899999999999999</v>
      </c>
      <c r="I4680" s="37">
        <f t="shared" si="73"/>
        <v>5.346916822222925E-5</v>
      </c>
      <c r="J4680" s="33"/>
    </row>
    <row r="4681" spans="1:10">
      <c r="A4681" s="33" t="s">
        <v>184</v>
      </c>
      <c r="B4681" s="34">
        <v>335.37200000000001</v>
      </c>
      <c r="C4681" s="35">
        <v>316070</v>
      </c>
      <c r="D4681" s="33" t="s">
        <v>184</v>
      </c>
      <c r="E4681" s="34">
        <v>335.20499999999998</v>
      </c>
      <c r="F4681" s="36">
        <v>-0.16700000000000001</v>
      </c>
      <c r="G4681" s="34">
        <v>0.16700000000000001</v>
      </c>
      <c r="H4681" s="35">
        <v>3091.9</v>
      </c>
      <c r="I4681" s="37">
        <f t="shared" si="73"/>
        <v>9.7823266997816936E-3</v>
      </c>
      <c r="J4681" s="33"/>
    </row>
    <row r="4682" spans="1:10">
      <c r="A4682" s="33" t="s">
        <v>184</v>
      </c>
      <c r="B4682" s="34">
        <v>335.37200000000001</v>
      </c>
      <c r="C4682" s="35">
        <v>316070</v>
      </c>
      <c r="D4682" s="33" t="s">
        <v>269</v>
      </c>
      <c r="E4682" s="34">
        <v>335.20499999999998</v>
      </c>
      <c r="F4682" s="36">
        <v>-0.16700000000000001</v>
      </c>
      <c r="G4682" s="34">
        <v>0.16700000000000001</v>
      </c>
      <c r="H4682" s="35">
        <v>5717.6</v>
      </c>
      <c r="I4682" s="37">
        <f t="shared" si="73"/>
        <v>1.808966368209574E-2</v>
      </c>
      <c r="J4682" s="33"/>
    </row>
    <row r="4683" spans="1:10">
      <c r="A4683" s="33" t="s">
        <v>184</v>
      </c>
      <c r="B4683" s="34">
        <v>335.37200000000001</v>
      </c>
      <c r="C4683" s="35">
        <v>316070</v>
      </c>
      <c r="D4683" s="33" t="s">
        <v>237</v>
      </c>
      <c r="E4683" s="34">
        <v>335.20699999999999</v>
      </c>
      <c r="F4683" s="36">
        <v>-0.16500000000000001</v>
      </c>
      <c r="G4683" s="34">
        <v>0.16500000000000001</v>
      </c>
      <c r="H4683" s="35">
        <v>724.7</v>
      </c>
      <c r="I4683" s="37">
        <f t="shared" si="73"/>
        <v>2.2928465213402096E-3</v>
      </c>
      <c r="J4683" s="33"/>
    </row>
    <row r="4684" spans="1:10">
      <c r="A4684" s="33" t="s">
        <v>184</v>
      </c>
      <c r="B4684" s="34">
        <v>335.37200000000001</v>
      </c>
      <c r="C4684" s="35">
        <v>316070</v>
      </c>
      <c r="D4684" s="33" t="s">
        <v>94</v>
      </c>
      <c r="E4684" s="34">
        <v>335.21</v>
      </c>
      <c r="F4684" s="36">
        <v>-0.16200000000000001</v>
      </c>
      <c r="G4684" s="34">
        <v>0.16200000000000001</v>
      </c>
      <c r="H4684" s="35">
        <v>2276.5</v>
      </c>
      <c r="I4684" s="37">
        <f t="shared" si="73"/>
        <v>7.2025184294618278E-3</v>
      </c>
      <c r="J4684" s="33" t="s">
        <v>116</v>
      </c>
    </row>
    <row r="4685" spans="1:10">
      <c r="A4685" s="33" t="s">
        <v>184</v>
      </c>
      <c r="B4685" s="34">
        <v>335.37200000000001</v>
      </c>
      <c r="C4685" s="35">
        <v>316070</v>
      </c>
      <c r="D4685" s="33" t="s">
        <v>25</v>
      </c>
      <c r="E4685" s="34">
        <v>335.22800000000001</v>
      </c>
      <c r="F4685" s="36">
        <v>-0.14399999999999999</v>
      </c>
      <c r="G4685" s="34">
        <v>0.14399999999999999</v>
      </c>
      <c r="H4685" s="35">
        <v>367.7</v>
      </c>
      <c r="I4685" s="37">
        <f t="shared" si="73"/>
        <v>1.1633498908469643E-3</v>
      </c>
      <c r="J4685" s="33" t="s">
        <v>116</v>
      </c>
    </row>
    <row r="4686" spans="1:10">
      <c r="A4686" s="33" t="s">
        <v>184</v>
      </c>
      <c r="B4686" s="34">
        <v>335.37200000000001</v>
      </c>
      <c r="C4686" s="35">
        <v>316070</v>
      </c>
      <c r="D4686" s="33" t="s">
        <v>239</v>
      </c>
      <c r="E4686" s="34">
        <v>335.24099999999999</v>
      </c>
      <c r="F4686" s="36">
        <v>-0.13100000000000001</v>
      </c>
      <c r="G4686" s="34">
        <v>0.13100000000000001</v>
      </c>
      <c r="H4686" s="35">
        <v>6.8</v>
      </c>
      <c r="I4686" s="37">
        <f t="shared" si="73"/>
        <v>2.1514221533204671E-5</v>
      </c>
      <c r="J4686" s="33"/>
    </row>
    <row r="4687" spans="1:10">
      <c r="A4687" s="33" t="s">
        <v>184</v>
      </c>
      <c r="B4687" s="34">
        <v>335.37200000000001</v>
      </c>
      <c r="C4687" s="35">
        <v>316070</v>
      </c>
      <c r="D4687" s="33" t="s">
        <v>63</v>
      </c>
      <c r="E4687" s="34">
        <v>335.24900000000002</v>
      </c>
      <c r="F4687" s="36">
        <v>-0.123</v>
      </c>
      <c r="G4687" s="34">
        <v>0.123</v>
      </c>
      <c r="H4687" s="35">
        <v>39.9</v>
      </c>
      <c r="I4687" s="37">
        <f t="shared" si="73"/>
        <v>1.2623785870218623E-4</v>
      </c>
      <c r="J4687" s="33" t="s">
        <v>116</v>
      </c>
    </row>
    <row r="4688" spans="1:10">
      <c r="A4688" s="33" t="s">
        <v>184</v>
      </c>
      <c r="B4688" s="34">
        <v>335.37200000000001</v>
      </c>
      <c r="C4688" s="35">
        <v>316070</v>
      </c>
      <c r="D4688" s="33" t="s">
        <v>273</v>
      </c>
      <c r="E4688" s="34">
        <v>335.25900000000001</v>
      </c>
      <c r="F4688" s="36">
        <v>-0.113</v>
      </c>
      <c r="G4688" s="34">
        <v>0.113</v>
      </c>
      <c r="H4688" s="35">
        <v>12.2</v>
      </c>
      <c r="I4688" s="37">
        <f t="shared" si="73"/>
        <v>3.8599044515455437E-5</v>
      </c>
      <c r="J4688" s="33"/>
    </row>
    <row r="4689" spans="1:10">
      <c r="A4689" s="33" t="s">
        <v>184</v>
      </c>
      <c r="B4689" s="34">
        <v>335.37200000000001</v>
      </c>
      <c r="C4689" s="35">
        <v>316070</v>
      </c>
      <c r="D4689" s="33" t="s">
        <v>33</v>
      </c>
      <c r="E4689" s="34">
        <v>335.26900000000001</v>
      </c>
      <c r="F4689" s="36">
        <v>-0.10299999999999999</v>
      </c>
      <c r="G4689" s="34">
        <v>0.10299999999999999</v>
      </c>
      <c r="H4689" s="35">
        <v>1235.5999999999999</v>
      </c>
      <c r="I4689" s="37">
        <f t="shared" si="73"/>
        <v>3.9092606068276015E-3</v>
      </c>
      <c r="J4689" s="33" t="s">
        <v>116</v>
      </c>
    </row>
    <row r="4690" spans="1:10">
      <c r="A4690" s="33" t="s">
        <v>184</v>
      </c>
      <c r="B4690" s="34">
        <v>335.37200000000001</v>
      </c>
      <c r="C4690" s="35">
        <v>316070</v>
      </c>
      <c r="D4690" s="33" t="s">
        <v>54</v>
      </c>
      <c r="E4690" s="34">
        <v>335.28</v>
      </c>
      <c r="F4690" s="36">
        <v>-9.1999999999999998E-2</v>
      </c>
      <c r="G4690" s="34">
        <v>9.1999999999999998E-2</v>
      </c>
      <c r="H4690" s="35">
        <v>35</v>
      </c>
      <c r="I4690" s="37">
        <f t="shared" si="73"/>
        <v>1.1073496377384757E-4</v>
      </c>
      <c r="J4690" s="33"/>
    </row>
    <row r="4691" spans="1:10">
      <c r="A4691" s="33" t="s">
        <v>184</v>
      </c>
      <c r="B4691" s="34">
        <v>335.37200000000001</v>
      </c>
      <c r="C4691" s="35">
        <v>316070</v>
      </c>
      <c r="D4691" s="33" t="s">
        <v>237</v>
      </c>
      <c r="E4691" s="34">
        <v>335.29300000000001</v>
      </c>
      <c r="F4691" s="36">
        <v>-7.9000000000000001E-2</v>
      </c>
      <c r="G4691" s="34">
        <v>7.9000000000000001E-2</v>
      </c>
      <c r="H4691" s="35">
        <v>33.6</v>
      </c>
      <c r="I4691" s="37">
        <f t="shared" si="73"/>
        <v>1.0630556522289367E-4</v>
      </c>
      <c r="J4691" s="33"/>
    </row>
    <row r="4692" spans="1:10">
      <c r="A4692" s="33" t="s">
        <v>184</v>
      </c>
      <c r="B4692" s="34">
        <v>335.37200000000001</v>
      </c>
      <c r="C4692" s="35">
        <v>316070</v>
      </c>
      <c r="D4692" s="33" t="s">
        <v>25</v>
      </c>
      <c r="E4692" s="34">
        <v>335.298</v>
      </c>
      <c r="F4692" s="36">
        <v>-7.3999999999999996E-2</v>
      </c>
      <c r="G4692" s="34">
        <v>7.3999999999999996E-2</v>
      </c>
      <c r="H4692" s="35">
        <v>588.79999999999995</v>
      </c>
      <c r="I4692" s="37">
        <f t="shared" si="73"/>
        <v>1.8628784762868983E-3</v>
      </c>
      <c r="J4692" s="33" t="s">
        <v>116</v>
      </c>
    </row>
    <row r="4693" spans="1:10">
      <c r="A4693" s="33" t="s">
        <v>184</v>
      </c>
      <c r="B4693" s="34">
        <v>335.37200000000001</v>
      </c>
      <c r="C4693" s="35">
        <v>316070</v>
      </c>
      <c r="D4693" s="33" t="s">
        <v>239</v>
      </c>
      <c r="E4693" s="34">
        <v>335.30200000000002</v>
      </c>
      <c r="F4693" s="36">
        <v>-7.0000000000000007E-2</v>
      </c>
      <c r="G4693" s="34">
        <v>7.0000000000000007E-2</v>
      </c>
      <c r="H4693" s="35">
        <v>297.7</v>
      </c>
      <c r="I4693" s="37">
        <f t="shared" si="73"/>
        <v>9.4187996329926909E-4</v>
      </c>
      <c r="J4693" s="33"/>
    </row>
    <row r="4694" spans="1:10">
      <c r="A4694" s="33" t="s">
        <v>184</v>
      </c>
      <c r="B4694" s="34">
        <v>335.37200000000001</v>
      </c>
      <c r="C4694" s="35">
        <v>316070</v>
      </c>
      <c r="D4694" s="33" t="s">
        <v>279</v>
      </c>
      <c r="E4694" s="34">
        <v>335.32100000000003</v>
      </c>
      <c r="F4694" s="36">
        <v>-5.0999999999999997E-2</v>
      </c>
      <c r="G4694" s="34">
        <v>5.0999999999999997E-2</v>
      </c>
      <c r="H4694" s="35">
        <v>6.4</v>
      </c>
      <c r="I4694" s="37">
        <f t="shared" si="73"/>
        <v>2.0248679090074985E-5</v>
      </c>
      <c r="J4694" s="33"/>
    </row>
    <row r="4695" spans="1:10">
      <c r="A4695" s="33" t="s">
        <v>184</v>
      </c>
      <c r="B4695" s="34">
        <v>335.37200000000001</v>
      </c>
      <c r="C4695" s="35">
        <v>316070</v>
      </c>
      <c r="D4695" s="33" t="s">
        <v>25</v>
      </c>
      <c r="E4695" s="34">
        <v>335.33199999999999</v>
      </c>
      <c r="F4695" s="36">
        <v>-0.04</v>
      </c>
      <c r="G4695" s="34">
        <v>0.04</v>
      </c>
      <c r="H4695" s="35">
        <v>339.9</v>
      </c>
      <c r="I4695" s="37">
        <f t="shared" si="73"/>
        <v>1.0753946910494511E-3</v>
      </c>
      <c r="J4695" s="33" t="s">
        <v>116</v>
      </c>
    </row>
    <row r="4696" spans="1:10">
      <c r="A4696" s="33" t="s">
        <v>184</v>
      </c>
      <c r="B4696" s="34">
        <v>335.37200000000001</v>
      </c>
      <c r="C4696" s="35">
        <v>316070</v>
      </c>
      <c r="D4696" s="33" t="s">
        <v>94</v>
      </c>
      <c r="E4696" s="34">
        <v>335.35500000000002</v>
      </c>
      <c r="F4696" s="36">
        <v>-1.7000000000000001E-2</v>
      </c>
      <c r="G4696" s="34">
        <v>1.7000000000000001E-2</v>
      </c>
      <c r="H4696" s="35">
        <v>2053.1</v>
      </c>
      <c r="I4696" s="37">
        <f t="shared" si="73"/>
        <v>6.4957129749738983E-3</v>
      </c>
      <c r="J4696" s="33" t="s">
        <v>116</v>
      </c>
    </row>
    <row r="4697" spans="1:10">
      <c r="A4697" s="33" t="s">
        <v>184</v>
      </c>
      <c r="B4697" s="34">
        <v>335.37200000000001</v>
      </c>
      <c r="C4697" s="35">
        <v>316070</v>
      </c>
      <c r="D4697" s="33" t="s">
        <v>33</v>
      </c>
      <c r="E4697" s="34">
        <v>335.35899999999998</v>
      </c>
      <c r="F4697" s="36">
        <v>-1.2999999999999999E-2</v>
      </c>
      <c r="G4697" s="34">
        <v>1.2999999999999999E-2</v>
      </c>
      <c r="H4697" s="35">
        <v>1875.9</v>
      </c>
      <c r="I4697" s="37">
        <f t="shared" si="73"/>
        <v>5.9350776726674473E-3</v>
      </c>
      <c r="J4697" s="33" t="s">
        <v>116</v>
      </c>
    </row>
    <row r="4698" spans="1:10">
      <c r="A4698" s="33" t="s">
        <v>184</v>
      </c>
      <c r="B4698" s="34">
        <v>335.37200000000001</v>
      </c>
      <c r="C4698" s="35">
        <v>316070</v>
      </c>
      <c r="D4698" s="33" t="s">
        <v>27</v>
      </c>
      <c r="E4698" s="34">
        <v>335.35899999999998</v>
      </c>
      <c r="F4698" s="36">
        <v>-1.2999999999999999E-2</v>
      </c>
      <c r="G4698" s="34">
        <v>1.2999999999999999E-2</v>
      </c>
      <c r="H4698" s="35">
        <v>1105.0999999999999</v>
      </c>
      <c r="I4698" s="37">
        <f t="shared" si="73"/>
        <v>3.496377384756541E-3</v>
      </c>
      <c r="J4698" s="33" t="s">
        <v>116</v>
      </c>
    </row>
    <row r="4699" spans="1:10">
      <c r="A4699" s="33" t="s">
        <v>184</v>
      </c>
      <c r="B4699" s="34">
        <v>335.37200000000001</v>
      </c>
      <c r="C4699" s="35">
        <v>316070</v>
      </c>
      <c r="D4699" s="33" t="s">
        <v>236</v>
      </c>
      <c r="E4699" s="34">
        <v>335.363</v>
      </c>
      <c r="F4699" s="36">
        <v>-8.9999999999999993E-3</v>
      </c>
      <c r="G4699" s="34">
        <v>8.9999999999999993E-3</v>
      </c>
      <c r="H4699" s="35">
        <v>55.9</v>
      </c>
      <c r="I4699" s="37">
        <f t="shared" si="73"/>
        <v>1.7685955642737368E-4</v>
      </c>
      <c r="J4699" s="33"/>
    </row>
    <row r="4700" spans="1:10">
      <c r="A4700" s="33" t="s">
        <v>184</v>
      </c>
      <c r="B4700" s="34">
        <v>335.37200000000001</v>
      </c>
      <c r="C4700" s="35">
        <v>316070</v>
      </c>
      <c r="D4700" s="33" t="s">
        <v>25</v>
      </c>
      <c r="E4700" s="34">
        <v>335.39400000000001</v>
      </c>
      <c r="F4700" s="36">
        <v>2.1999999999999999E-2</v>
      </c>
      <c r="G4700" s="34">
        <v>2.1999999999999999E-2</v>
      </c>
      <c r="H4700" s="35">
        <v>171.1</v>
      </c>
      <c r="I4700" s="37">
        <f t="shared" si="73"/>
        <v>5.4133578004872342E-4</v>
      </c>
      <c r="J4700" s="33" t="s">
        <v>116</v>
      </c>
    </row>
    <row r="4701" spans="1:10">
      <c r="A4701" s="33" t="s">
        <v>184</v>
      </c>
      <c r="B4701" s="34">
        <v>335.37200000000001</v>
      </c>
      <c r="C4701" s="35">
        <v>316070</v>
      </c>
      <c r="D4701" s="33" t="s">
        <v>97</v>
      </c>
      <c r="E4701" s="34">
        <v>335.40600000000001</v>
      </c>
      <c r="F4701" s="36">
        <v>3.4000000000000002E-2</v>
      </c>
      <c r="G4701" s="34">
        <v>3.4000000000000002E-2</v>
      </c>
      <c r="H4701" s="35">
        <v>2.4</v>
      </c>
      <c r="I4701" s="37">
        <f t="shared" si="73"/>
        <v>7.5932546587781186E-6</v>
      </c>
      <c r="J4701" s="33"/>
    </row>
    <row r="4702" spans="1:10">
      <c r="A4702" s="33" t="s">
        <v>184</v>
      </c>
      <c r="B4702" s="34">
        <v>335.37200000000001</v>
      </c>
      <c r="C4702" s="35">
        <v>316070</v>
      </c>
      <c r="D4702" s="33" t="s">
        <v>275</v>
      </c>
      <c r="E4702" s="34">
        <v>335.41199999999998</v>
      </c>
      <c r="F4702" s="36">
        <v>0.04</v>
      </c>
      <c r="G4702" s="34">
        <v>0.04</v>
      </c>
      <c r="H4702" s="35">
        <v>5.8</v>
      </c>
      <c r="I4702" s="37">
        <f t="shared" si="73"/>
        <v>1.8350365425380452E-5</v>
      </c>
      <c r="J4702" s="33"/>
    </row>
    <row r="4703" spans="1:10">
      <c r="A4703" s="33" t="s">
        <v>184</v>
      </c>
      <c r="B4703" s="34">
        <v>335.37200000000001</v>
      </c>
      <c r="C4703" s="35">
        <v>316070</v>
      </c>
      <c r="D4703" s="33" t="s">
        <v>271</v>
      </c>
      <c r="E4703" s="34">
        <v>335.41800000000001</v>
      </c>
      <c r="F4703" s="36">
        <v>4.5999999999999999E-2</v>
      </c>
      <c r="G4703" s="34">
        <v>4.5999999999999999E-2</v>
      </c>
      <c r="H4703" s="35">
        <v>2577.5</v>
      </c>
      <c r="I4703" s="37">
        <f t="shared" si="73"/>
        <v>8.1548391179169163E-3</v>
      </c>
      <c r="J4703" s="33"/>
    </row>
    <row r="4704" spans="1:10">
      <c r="A4704" s="33" t="s">
        <v>184</v>
      </c>
      <c r="B4704" s="34">
        <v>335.37200000000001</v>
      </c>
      <c r="C4704" s="35">
        <v>316070</v>
      </c>
      <c r="D4704" s="33" t="s">
        <v>270</v>
      </c>
      <c r="E4704" s="34">
        <v>335.41899999999998</v>
      </c>
      <c r="F4704" s="36">
        <v>4.7E-2</v>
      </c>
      <c r="G4704" s="34">
        <v>4.7E-2</v>
      </c>
      <c r="H4704" s="35">
        <v>1733.7</v>
      </c>
      <c r="I4704" s="37">
        <f t="shared" si="73"/>
        <v>5.4851773341348439E-3</v>
      </c>
      <c r="J4704" s="33"/>
    </row>
    <row r="4705" spans="1:10">
      <c r="A4705" s="33" t="s">
        <v>184</v>
      </c>
      <c r="B4705" s="34">
        <v>335.37200000000001</v>
      </c>
      <c r="C4705" s="35">
        <v>316070</v>
      </c>
      <c r="D4705" s="33" t="s">
        <v>54</v>
      </c>
      <c r="E4705" s="34">
        <v>335.43799999999999</v>
      </c>
      <c r="F4705" s="36">
        <v>6.6000000000000003E-2</v>
      </c>
      <c r="G4705" s="34">
        <v>6.6000000000000003E-2</v>
      </c>
      <c r="H4705" s="35">
        <v>248.2</v>
      </c>
      <c r="I4705" s="37">
        <f t="shared" si="73"/>
        <v>7.852690859619704E-4</v>
      </c>
      <c r="J4705" s="33"/>
    </row>
    <row r="4706" spans="1:10">
      <c r="A4706" s="33" t="s">
        <v>184</v>
      </c>
      <c r="B4706" s="34">
        <v>335.37200000000001</v>
      </c>
      <c r="C4706" s="35">
        <v>316070</v>
      </c>
      <c r="D4706" s="33" t="s">
        <v>280</v>
      </c>
      <c r="E4706" s="34">
        <v>335.43799999999999</v>
      </c>
      <c r="F4706" s="36">
        <v>6.6000000000000003E-2</v>
      </c>
      <c r="G4706" s="34">
        <v>6.6000000000000003E-2</v>
      </c>
      <c r="H4706" s="35">
        <v>216.9</v>
      </c>
      <c r="I4706" s="37">
        <f t="shared" si="73"/>
        <v>6.8624038978707248E-4</v>
      </c>
      <c r="J4706" s="33"/>
    </row>
    <row r="4707" spans="1:10">
      <c r="A4707" s="33" t="s">
        <v>184</v>
      </c>
      <c r="B4707" s="34">
        <v>335.37200000000001</v>
      </c>
      <c r="C4707" s="35">
        <v>316070</v>
      </c>
      <c r="D4707" s="33" t="s">
        <v>236</v>
      </c>
      <c r="E4707" s="34">
        <v>335.43900000000002</v>
      </c>
      <c r="F4707" s="36">
        <v>6.7000000000000004E-2</v>
      </c>
      <c r="G4707" s="34">
        <v>6.7000000000000004E-2</v>
      </c>
      <c r="H4707" s="35">
        <v>2227.9</v>
      </c>
      <c r="I4707" s="37">
        <f t="shared" si="73"/>
        <v>7.0487550226215716E-3</v>
      </c>
      <c r="J4707" s="33"/>
    </row>
    <row r="4708" spans="1:10">
      <c r="A4708" s="33" t="s">
        <v>184</v>
      </c>
      <c r="B4708" s="34">
        <v>335.37200000000001</v>
      </c>
      <c r="C4708" s="35">
        <v>316070</v>
      </c>
      <c r="D4708" s="33" t="s">
        <v>274</v>
      </c>
      <c r="E4708" s="34">
        <v>335.44499999999999</v>
      </c>
      <c r="F4708" s="36">
        <v>7.2999999999999995E-2</v>
      </c>
      <c r="G4708" s="34">
        <v>7.2999999999999995E-2</v>
      </c>
      <c r="H4708" s="35">
        <v>26.9</v>
      </c>
      <c r="I4708" s="37">
        <f t="shared" si="73"/>
        <v>8.510772930047141E-5</v>
      </c>
      <c r="J4708" s="33"/>
    </row>
    <row r="4709" spans="1:10">
      <c r="A4709" s="33" t="s">
        <v>184</v>
      </c>
      <c r="B4709" s="34">
        <v>335.37200000000001</v>
      </c>
      <c r="C4709" s="35">
        <v>316070</v>
      </c>
      <c r="D4709" s="33" t="s">
        <v>277</v>
      </c>
      <c r="E4709" s="34">
        <v>335.45</v>
      </c>
      <c r="F4709" s="36">
        <v>7.8E-2</v>
      </c>
      <c r="G4709" s="34">
        <v>7.8E-2</v>
      </c>
      <c r="H4709" s="35">
        <v>387.4</v>
      </c>
      <c r="I4709" s="37">
        <f t="shared" si="73"/>
        <v>1.2256778561711013E-3</v>
      </c>
      <c r="J4709" s="33"/>
    </row>
    <row r="4710" spans="1:10">
      <c r="A4710" s="33" t="s">
        <v>184</v>
      </c>
      <c r="B4710" s="34">
        <v>335.37200000000001</v>
      </c>
      <c r="C4710" s="35">
        <v>316070</v>
      </c>
      <c r="D4710" s="33" t="s">
        <v>94</v>
      </c>
      <c r="E4710" s="34">
        <v>335.45800000000003</v>
      </c>
      <c r="F4710" s="36">
        <v>8.5999999999999993E-2</v>
      </c>
      <c r="G4710" s="34">
        <v>8.5999999999999993E-2</v>
      </c>
      <c r="H4710" s="35">
        <v>2426</v>
      </c>
      <c r="I4710" s="37">
        <f t="shared" si="73"/>
        <v>7.6755149175815485E-3</v>
      </c>
      <c r="J4710" s="33" t="s">
        <v>116</v>
      </c>
    </row>
    <row r="4711" spans="1:10">
      <c r="A4711" s="33" t="s">
        <v>184</v>
      </c>
      <c r="B4711" s="34">
        <v>335.37200000000001</v>
      </c>
      <c r="C4711" s="35">
        <v>316070</v>
      </c>
      <c r="D4711" s="33" t="s">
        <v>27</v>
      </c>
      <c r="E4711" s="34">
        <v>335.46199999999999</v>
      </c>
      <c r="F4711" s="36">
        <v>0.09</v>
      </c>
      <c r="G4711" s="34">
        <v>0.09</v>
      </c>
      <c r="H4711" s="35">
        <v>241</v>
      </c>
      <c r="I4711" s="37">
        <f t="shared" si="73"/>
        <v>7.6248932198563605E-4</v>
      </c>
      <c r="J4711" s="33" t="s">
        <v>116</v>
      </c>
    </row>
    <row r="4712" spans="1:10">
      <c r="A4712" s="33" t="s">
        <v>184</v>
      </c>
      <c r="B4712" s="34">
        <v>335.37200000000001</v>
      </c>
      <c r="C4712" s="35">
        <v>316070</v>
      </c>
      <c r="D4712" s="33" t="s">
        <v>271</v>
      </c>
      <c r="E4712" s="34">
        <v>335.46199999999999</v>
      </c>
      <c r="F4712" s="36">
        <v>0.09</v>
      </c>
      <c r="G4712" s="34">
        <v>0.09</v>
      </c>
      <c r="H4712" s="35">
        <v>762.9</v>
      </c>
      <c r="I4712" s="37">
        <f t="shared" si="73"/>
        <v>2.4137058246590944E-3</v>
      </c>
      <c r="J4712" s="33"/>
    </row>
    <row r="4713" spans="1:10">
      <c r="A4713" s="33" t="s">
        <v>184</v>
      </c>
      <c r="B4713" s="34">
        <v>335.37200000000001</v>
      </c>
      <c r="C4713" s="35">
        <v>316070</v>
      </c>
      <c r="D4713" s="33" t="s">
        <v>237</v>
      </c>
      <c r="E4713" s="34">
        <v>335.46300000000002</v>
      </c>
      <c r="F4713" s="36">
        <v>9.0999999999999998E-2</v>
      </c>
      <c r="G4713" s="34">
        <v>9.0999999999999998E-2</v>
      </c>
      <c r="H4713" s="35">
        <v>2578.3000000000002</v>
      </c>
      <c r="I4713" s="37">
        <f t="shared" si="73"/>
        <v>8.1573702028031776E-3</v>
      </c>
      <c r="J4713" s="33"/>
    </row>
    <row r="4714" spans="1:10">
      <c r="A4714" s="33" t="s">
        <v>184</v>
      </c>
      <c r="B4714" s="34">
        <v>335.37200000000001</v>
      </c>
      <c r="C4714" s="35">
        <v>316070</v>
      </c>
      <c r="D4714" s="33" t="s">
        <v>270</v>
      </c>
      <c r="E4714" s="34">
        <v>335.47199999999998</v>
      </c>
      <c r="F4714" s="36">
        <v>0.1</v>
      </c>
      <c r="G4714" s="34">
        <v>0.1</v>
      </c>
      <c r="H4714" s="35">
        <v>946.3</v>
      </c>
      <c r="I4714" s="37">
        <f t="shared" si="73"/>
        <v>2.9939570348340556E-3</v>
      </c>
      <c r="J4714" s="33"/>
    </row>
    <row r="4715" spans="1:10">
      <c r="A4715" s="33" t="s">
        <v>184</v>
      </c>
      <c r="B4715" s="34">
        <v>335.37200000000001</v>
      </c>
      <c r="C4715" s="35">
        <v>316070</v>
      </c>
      <c r="D4715" s="33" t="s">
        <v>273</v>
      </c>
      <c r="E4715" s="34">
        <v>335.47399999999999</v>
      </c>
      <c r="F4715" s="36">
        <v>0.10199999999999999</v>
      </c>
      <c r="G4715" s="34">
        <v>0.10199999999999999</v>
      </c>
      <c r="H4715" s="35">
        <v>358.6</v>
      </c>
      <c r="I4715" s="37">
        <f t="shared" si="73"/>
        <v>1.134558800265764E-3</v>
      </c>
      <c r="J4715" s="33"/>
    </row>
    <row r="4716" spans="1:10">
      <c r="A4716" s="33" t="s">
        <v>184</v>
      </c>
      <c r="B4716" s="34">
        <v>335.37200000000001</v>
      </c>
      <c r="C4716" s="35">
        <v>316070</v>
      </c>
      <c r="D4716" s="33" t="s">
        <v>109</v>
      </c>
      <c r="E4716" s="34">
        <v>335.48599999999999</v>
      </c>
      <c r="F4716" s="36">
        <v>0.114</v>
      </c>
      <c r="G4716" s="34">
        <v>0.114</v>
      </c>
      <c r="H4716" s="35">
        <v>1768.1</v>
      </c>
      <c r="I4716" s="37">
        <f t="shared" si="73"/>
        <v>5.5940139842439963E-3</v>
      </c>
      <c r="J4716" s="33" t="s">
        <v>116</v>
      </c>
    </row>
    <row r="4717" spans="1:10">
      <c r="A4717" s="33" t="s">
        <v>184</v>
      </c>
      <c r="B4717" s="34">
        <v>335.37200000000001</v>
      </c>
      <c r="C4717" s="35">
        <v>316070</v>
      </c>
      <c r="D4717" s="33" t="s">
        <v>275</v>
      </c>
      <c r="E4717" s="34">
        <v>335.49799999999999</v>
      </c>
      <c r="F4717" s="36">
        <v>0.126</v>
      </c>
      <c r="G4717" s="34">
        <v>0.126</v>
      </c>
      <c r="H4717" s="35">
        <v>23.9</v>
      </c>
      <c r="I4717" s="37">
        <f t="shared" si="73"/>
        <v>7.5616160976998755E-5</v>
      </c>
      <c r="J4717" s="33"/>
    </row>
    <row r="4718" spans="1:10">
      <c r="A4718" s="33" t="s">
        <v>184</v>
      </c>
      <c r="B4718" s="34">
        <v>335.37200000000001</v>
      </c>
      <c r="C4718" s="35">
        <v>316070</v>
      </c>
      <c r="D4718" s="33" t="s">
        <v>25</v>
      </c>
      <c r="E4718" s="34">
        <v>335.50099999999998</v>
      </c>
      <c r="F4718" s="36">
        <v>0.129</v>
      </c>
      <c r="G4718" s="34">
        <v>0.129</v>
      </c>
      <c r="H4718" s="35">
        <v>673.6</v>
      </c>
      <c r="I4718" s="37">
        <f t="shared" si="73"/>
        <v>2.131173474230392E-3</v>
      </c>
      <c r="J4718" s="33" t="s">
        <v>116</v>
      </c>
    </row>
    <row r="4719" spans="1:10">
      <c r="A4719" s="33" t="s">
        <v>184</v>
      </c>
      <c r="B4719" s="34">
        <v>335.37200000000001</v>
      </c>
      <c r="C4719" s="35">
        <v>316070</v>
      </c>
      <c r="D4719" s="33" t="s">
        <v>33</v>
      </c>
      <c r="E4719" s="34">
        <v>335.50599999999997</v>
      </c>
      <c r="F4719" s="36">
        <v>0.13400000000000001</v>
      </c>
      <c r="G4719" s="34">
        <v>0.13400000000000001</v>
      </c>
      <c r="H4719" s="35">
        <v>594.29999999999995</v>
      </c>
      <c r="I4719" s="37">
        <f t="shared" si="73"/>
        <v>1.8802796848799315E-3</v>
      </c>
      <c r="J4719" s="33" t="s">
        <v>116</v>
      </c>
    </row>
    <row r="4720" spans="1:10">
      <c r="A4720" s="33" t="s">
        <v>184</v>
      </c>
      <c r="B4720" s="34">
        <v>357.25299999999999</v>
      </c>
      <c r="C4720" s="35">
        <v>327935</v>
      </c>
      <c r="D4720" s="33" t="s">
        <v>84</v>
      </c>
      <c r="E4720" s="34">
        <v>357.07499999999999</v>
      </c>
      <c r="F4720" s="36">
        <v>-0.17799999999999999</v>
      </c>
      <c r="G4720" s="34">
        <v>0.17799999999999999</v>
      </c>
      <c r="H4720" s="35">
        <v>125.6</v>
      </c>
      <c r="I4720" s="37">
        <f t="shared" si="73"/>
        <v>3.83002729199384E-4</v>
      </c>
      <c r="J4720" s="33" t="s">
        <v>116</v>
      </c>
    </row>
    <row r="4721" spans="1:10">
      <c r="A4721" s="33" t="s">
        <v>184</v>
      </c>
      <c r="B4721" s="34">
        <v>357.25299999999999</v>
      </c>
      <c r="C4721" s="35">
        <v>327935</v>
      </c>
      <c r="D4721" s="33" t="s">
        <v>25</v>
      </c>
      <c r="E4721" s="34">
        <v>357.09899999999999</v>
      </c>
      <c r="F4721" s="36">
        <v>-0.154</v>
      </c>
      <c r="G4721" s="34">
        <v>0.154</v>
      </c>
      <c r="H4721" s="35">
        <v>98.8</v>
      </c>
      <c r="I4721" s="37">
        <f t="shared" si="73"/>
        <v>3.0127921691798677E-4</v>
      </c>
      <c r="J4721" s="33" t="s">
        <v>116</v>
      </c>
    </row>
    <row r="4722" spans="1:10">
      <c r="A4722" s="33" t="s">
        <v>184</v>
      </c>
      <c r="B4722" s="34">
        <v>357.25299999999999</v>
      </c>
      <c r="C4722" s="35">
        <v>327935</v>
      </c>
      <c r="D4722" s="33" t="s">
        <v>285</v>
      </c>
      <c r="E4722" s="34">
        <v>357.11500000000001</v>
      </c>
      <c r="F4722" s="36">
        <v>-0.13800000000000001</v>
      </c>
      <c r="G4722" s="34">
        <v>0.13800000000000001</v>
      </c>
      <c r="H4722" s="35">
        <v>709.8</v>
      </c>
      <c r="I4722" s="37">
        <f t="shared" si="73"/>
        <v>2.1644533215423789E-3</v>
      </c>
      <c r="J4722" s="33"/>
    </row>
    <row r="4723" spans="1:10">
      <c r="A4723" s="33" t="s">
        <v>184</v>
      </c>
      <c r="B4723" s="34">
        <v>357.25299999999999</v>
      </c>
      <c r="C4723" s="35">
        <v>327935</v>
      </c>
      <c r="D4723" s="33" t="s">
        <v>116</v>
      </c>
      <c r="E4723" s="34">
        <v>357.14299999999997</v>
      </c>
      <c r="F4723" s="36">
        <v>-0.11</v>
      </c>
      <c r="G4723" s="34">
        <v>0.11</v>
      </c>
      <c r="H4723" s="35">
        <v>53.6</v>
      </c>
      <c r="I4723" s="37">
        <f t="shared" si="73"/>
        <v>1.6344702456279445E-4</v>
      </c>
      <c r="J4723" s="33" t="s">
        <v>116</v>
      </c>
    </row>
    <row r="4724" spans="1:10">
      <c r="A4724" s="33" t="s">
        <v>184</v>
      </c>
      <c r="B4724" s="34">
        <v>357.25299999999999</v>
      </c>
      <c r="C4724" s="35">
        <v>327935</v>
      </c>
      <c r="D4724" s="33" t="s">
        <v>277</v>
      </c>
      <c r="E4724" s="34">
        <v>357.15699999999998</v>
      </c>
      <c r="F4724" s="36">
        <v>-9.6000000000000002E-2</v>
      </c>
      <c r="G4724" s="34">
        <v>9.6000000000000002E-2</v>
      </c>
      <c r="H4724" s="35">
        <v>100.5</v>
      </c>
      <c r="I4724" s="37">
        <f t="shared" si="73"/>
        <v>3.0646317105523962E-4</v>
      </c>
      <c r="J4724" s="33"/>
    </row>
    <row r="4725" spans="1:10">
      <c r="A4725" s="33" t="s">
        <v>184</v>
      </c>
      <c r="B4725" s="34">
        <v>357.25299999999999</v>
      </c>
      <c r="C4725" s="35">
        <v>327935</v>
      </c>
      <c r="D4725" s="33" t="s">
        <v>271</v>
      </c>
      <c r="E4725" s="34">
        <v>357.15699999999998</v>
      </c>
      <c r="F4725" s="36">
        <v>-9.6000000000000002E-2</v>
      </c>
      <c r="G4725" s="34">
        <v>9.6000000000000002E-2</v>
      </c>
      <c r="H4725" s="35">
        <v>251</v>
      </c>
      <c r="I4725" s="37">
        <f t="shared" si="73"/>
        <v>7.6539558144144424E-4</v>
      </c>
      <c r="J4725" s="33"/>
    </row>
    <row r="4726" spans="1:10">
      <c r="A4726" s="33" t="s">
        <v>184</v>
      </c>
      <c r="B4726" s="34">
        <v>357.25299999999999</v>
      </c>
      <c r="C4726" s="35">
        <v>327935</v>
      </c>
      <c r="D4726" s="33" t="s">
        <v>278</v>
      </c>
      <c r="E4726" s="34">
        <v>357.16500000000002</v>
      </c>
      <c r="F4726" s="36">
        <v>-8.7999999999999995E-2</v>
      </c>
      <c r="G4726" s="34">
        <v>8.7999999999999995E-2</v>
      </c>
      <c r="H4726" s="35">
        <v>22.1</v>
      </c>
      <c r="I4726" s="37">
        <f t="shared" si="73"/>
        <v>6.739140378428653E-5</v>
      </c>
      <c r="J4726" s="33"/>
    </row>
    <row r="4727" spans="1:10">
      <c r="A4727" s="33" t="s">
        <v>184</v>
      </c>
      <c r="B4727" s="34">
        <v>357.25299999999999</v>
      </c>
      <c r="C4727" s="35">
        <v>327935</v>
      </c>
      <c r="D4727" s="33" t="s">
        <v>33</v>
      </c>
      <c r="E4727" s="34">
        <v>357.16699999999997</v>
      </c>
      <c r="F4727" s="36">
        <v>-8.5999999999999993E-2</v>
      </c>
      <c r="G4727" s="34">
        <v>8.5999999999999993E-2</v>
      </c>
      <c r="H4727" s="35">
        <v>178.9</v>
      </c>
      <c r="I4727" s="37">
        <f t="shared" si="73"/>
        <v>5.4553493832619276E-4</v>
      </c>
      <c r="J4727" s="33" t="s">
        <v>116</v>
      </c>
    </row>
    <row r="4728" spans="1:10">
      <c r="A4728" s="33" t="s">
        <v>184</v>
      </c>
      <c r="B4728" s="34">
        <v>357.25299999999999</v>
      </c>
      <c r="C4728" s="35">
        <v>327935</v>
      </c>
      <c r="D4728" s="33" t="s">
        <v>193</v>
      </c>
      <c r="E4728" s="34">
        <v>357.185</v>
      </c>
      <c r="F4728" s="36">
        <v>-6.8000000000000005E-2</v>
      </c>
      <c r="G4728" s="34">
        <v>6.8000000000000005E-2</v>
      </c>
      <c r="H4728" s="35">
        <v>13.1</v>
      </c>
      <c r="I4728" s="37">
        <f t="shared" si="73"/>
        <v>3.9946940704712823E-5</v>
      </c>
      <c r="J4728" s="33"/>
    </row>
    <row r="4729" spans="1:10">
      <c r="A4729" s="33" t="s">
        <v>184</v>
      </c>
      <c r="B4729" s="34">
        <v>357.25299999999999</v>
      </c>
      <c r="C4729" s="35">
        <v>327935</v>
      </c>
      <c r="D4729" s="33" t="s">
        <v>165</v>
      </c>
      <c r="E4729" s="34">
        <v>357.18599999999998</v>
      </c>
      <c r="F4729" s="36">
        <v>-6.7000000000000004E-2</v>
      </c>
      <c r="G4729" s="34">
        <v>6.7000000000000004E-2</v>
      </c>
      <c r="H4729" s="35">
        <v>470.1</v>
      </c>
      <c r="I4729" s="37">
        <f t="shared" si="73"/>
        <v>1.4335157881897329E-3</v>
      </c>
      <c r="J4729" s="33"/>
    </row>
    <row r="4730" spans="1:10">
      <c r="A4730" s="33" t="s">
        <v>184</v>
      </c>
      <c r="B4730" s="34">
        <v>357.25299999999999</v>
      </c>
      <c r="C4730" s="35">
        <v>327935</v>
      </c>
      <c r="D4730" s="33" t="s">
        <v>36</v>
      </c>
      <c r="E4730" s="34">
        <v>357.19299999999998</v>
      </c>
      <c r="F4730" s="36">
        <v>-0.06</v>
      </c>
      <c r="G4730" s="34">
        <v>0.06</v>
      </c>
      <c r="H4730" s="35">
        <v>2261.6</v>
      </c>
      <c r="I4730" s="37">
        <f t="shared" si="73"/>
        <v>6.8964886334182077E-3</v>
      </c>
      <c r="J4730" s="33" t="s">
        <v>116</v>
      </c>
    </row>
    <row r="4731" spans="1:10">
      <c r="A4731" s="33" t="s">
        <v>184</v>
      </c>
      <c r="B4731" s="34">
        <v>357.25299999999999</v>
      </c>
      <c r="C4731" s="35">
        <v>327935</v>
      </c>
      <c r="D4731" s="33" t="s">
        <v>97</v>
      </c>
      <c r="E4731" s="34">
        <v>357.2</v>
      </c>
      <c r="F4731" s="36">
        <v>-5.2999999999999999E-2</v>
      </c>
      <c r="G4731" s="34">
        <v>5.2999999999999999E-2</v>
      </c>
      <c r="H4731" s="35">
        <v>25.6</v>
      </c>
      <c r="I4731" s="37">
        <f t="shared" si="73"/>
        <v>7.8064250537454068E-5</v>
      </c>
      <c r="J4731" s="33"/>
    </row>
    <row r="4732" spans="1:10">
      <c r="A4732" s="33" t="s">
        <v>184</v>
      </c>
      <c r="B4732" s="34">
        <v>357.25299999999999</v>
      </c>
      <c r="C4732" s="35">
        <v>327935</v>
      </c>
      <c r="D4732" s="33" t="s">
        <v>268</v>
      </c>
      <c r="E4732" s="34">
        <v>357.2</v>
      </c>
      <c r="F4732" s="36">
        <v>-5.2999999999999999E-2</v>
      </c>
      <c r="G4732" s="34">
        <v>5.2999999999999999E-2</v>
      </c>
      <c r="H4732" s="35">
        <v>14.8</v>
      </c>
      <c r="I4732" s="37">
        <f t="shared" si="73"/>
        <v>4.5130894841965632E-5</v>
      </c>
      <c r="J4732" s="33"/>
    </row>
    <row r="4733" spans="1:10">
      <c r="A4733" s="33" t="s">
        <v>184</v>
      </c>
      <c r="B4733" s="34">
        <v>357.25299999999999</v>
      </c>
      <c r="C4733" s="35">
        <v>327935</v>
      </c>
      <c r="D4733" s="33" t="s">
        <v>201</v>
      </c>
      <c r="E4733" s="34">
        <v>357.20699999999999</v>
      </c>
      <c r="F4733" s="36">
        <v>-4.5999999999999999E-2</v>
      </c>
      <c r="G4733" s="34">
        <v>4.5999999999999999E-2</v>
      </c>
      <c r="H4733" s="35">
        <v>1144</v>
      </c>
      <c r="I4733" s="37">
        <f t="shared" si="73"/>
        <v>3.4884961958924787E-3</v>
      </c>
      <c r="J4733" s="33"/>
    </row>
    <row r="4734" spans="1:10">
      <c r="A4734" s="33" t="s">
        <v>184</v>
      </c>
      <c r="B4734" s="34">
        <v>357.25299999999999</v>
      </c>
      <c r="C4734" s="35">
        <v>327935</v>
      </c>
      <c r="D4734" s="33" t="s">
        <v>287</v>
      </c>
      <c r="E4734" s="34">
        <v>357.23</v>
      </c>
      <c r="F4734" s="36">
        <v>-2.3E-2</v>
      </c>
      <c r="G4734" s="34">
        <v>2.3E-2</v>
      </c>
      <c r="H4734" s="35">
        <v>3593</v>
      </c>
      <c r="I4734" s="37">
        <f t="shared" si="73"/>
        <v>1.0956439538323143E-2</v>
      </c>
      <c r="J4734" s="33"/>
    </row>
    <row r="4735" spans="1:10">
      <c r="A4735" s="33" t="s">
        <v>184</v>
      </c>
      <c r="B4735" s="34">
        <v>357.25299999999999</v>
      </c>
      <c r="C4735" s="35">
        <v>327935</v>
      </c>
      <c r="D4735" s="33" t="s">
        <v>271</v>
      </c>
      <c r="E4735" s="34">
        <v>357.23899999999998</v>
      </c>
      <c r="F4735" s="36">
        <v>-1.4E-2</v>
      </c>
      <c r="G4735" s="34">
        <v>1.4E-2</v>
      </c>
      <c r="H4735" s="35">
        <v>1146</v>
      </c>
      <c r="I4735" s="37">
        <f t="shared" si="73"/>
        <v>3.4945949654657171E-3</v>
      </c>
      <c r="J4735" s="33"/>
    </row>
    <row r="4736" spans="1:10">
      <c r="A4736" s="33" t="s">
        <v>184</v>
      </c>
      <c r="B4736" s="34">
        <v>357.25299999999999</v>
      </c>
      <c r="C4736" s="35">
        <v>327935</v>
      </c>
      <c r="D4736" s="33" t="s">
        <v>25</v>
      </c>
      <c r="E4736" s="34">
        <v>357.24200000000002</v>
      </c>
      <c r="F4736" s="36">
        <v>-1.0999999999999999E-2</v>
      </c>
      <c r="G4736" s="34">
        <v>1.0999999999999999E-2</v>
      </c>
      <c r="H4736" s="35">
        <v>366.5</v>
      </c>
      <c r="I4736" s="37">
        <f t="shared" si="73"/>
        <v>1.1175995242959733E-3</v>
      </c>
      <c r="J4736" s="33" t="s">
        <v>116</v>
      </c>
    </row>
    <row r="4737" spans="1:10">
      <c r="A4737" s="33" t="s">
        <v>184</v>
      </c>
      <c r="B4737" s="34">
        <v>357.25299999999999</v>
      </c>
      <c r="C4737" s="35">
        <v>327935</v>
      </c>
      <c r="D4737" s="33" t="s">
        <v>236</v>
      </c>
      <c r="E4737" s="34">
        <v>357.24700000000001</v>
      </c>
      <c r="F4737" s="36">
        <v>-6.0000000000000001E-3</v>
      </c>
      <c r="G4737" s="34">
        <v>6.0000000000000001E-3</v>
      </c>
      <c r="H4737" s="35">
        <v>49703.7</v>
      </c>
      <c r="I4737" s="37">
        <f t="shared" si="73"/>
        <v>0.15156570661868968</v>
      </c>
      <c r="J4737" s="33"/>
    </row>
    <row r="4738" spans="1:10">
      <c r="A4738" s="33" t="s">
        <v>184</v>
      </c>
      <c r="B4738" s="34">
        <v>357.25299999999999</v>
      </c>
      <c r="C4738" s="35">
        <v>327935</v>
      </c>
      <c r="D4738" s="33" t="s">
        <v>274</v>
      </c>
      <c r="E4738" s="34">
        <v>357.24799999999999</v>
      </c>
      <c r="F4738" s="36">
        <v>-5.0000000000000001E-3</v>
      </c>
      <c r="G4738" s="34">
        <v>5.0000000000000001E-3</v>
      </c>
      <c r="H4738" s="35">
        <v>392.2</v>
      </c>
      <c r="I4738" s="37">
        <f t="shared" ref="I4738:I4801" si="74">H4738/C4738</f>
        <v>1.1959687133120892E-3</v>
      </c>
      <c r="J4738" s="33"/>
    </row>
    <row r="4739" spans="1:10">
      <c r="A4739" s="33" t="s">
        <v>184</v>
      </c>
      <c r="B4739" s="34">
        <v>357.25299999999999</v>
      </c>
      <c r="C4739" s="35">
        <v>327935</v>
      </c>
      <c r="D4739" s="33" t="s">
        <v>63</v>
      </c>
      <c r="E4739" s="34">
        <v>357.25</v>
      </c>
      <c r="F4739" s="36">
        <v>-3.0000000000000001E-3</v>
      </c>
      <c r="G4739" s="34">
        <v>3.0000000000000001E-3</v>
      </c>
      <c r="H4739" s="35">
        <v>153</v>
      </c>
      <c r="I4739" s="37">
        <f t="shared" si="74"/>
        <v>4.6655587235275281E-4</v>
      </c>
      <c r="J4739" s="33" t="s">
        <v>116</v>
      </c>
    </row>
    <row r="4740" spans="1:10">
      <c r="A4740" s="33" t="s">
        <v>184</v>
      </c>
      <c r="B4740" s="34">
        <v>357.25299999999999</v>
      </c>
      <c r="C4740" s="35">
        <v>327935</v>
      </c>
      <c r="D4740" s="33" t="s">
        <v>97</v>
      </c>
      <c r="E4740" s="34">
        <v>357.25900000000001</v>
      </c>
      <c r="F4740" s="36">
        <v>6.0000000000000001E-3</v>
      </c>
      <c r="G4740" s="34">
        <v>6.0000000000000001E-3</v>
      </c>
      <c r="H4740" s="35">
        <v>1.5</v>
      </c>
      <c r="I4740" s="37">
        <f t="shared" si="74"/>
        <v>4.574077179928949E-6</v>
      </c>
      <c r="J4740" s="33"/>
    </row>
    <row r="4741" spans="1:10">
      <c r="A4741" s="33" t="s">
        <v>184</v>
      </c>
      <c r="B4741" s="34">
        <v>357.25299999999999</v>
      </c>
      <c r="C4741" s="35">
        <v>327935</v>
      </c>
      <c r="D4741" s="33" t="s">
        <v>300</v>
      </c>
      <c r="E4741" s="34">
        <v>357.27300000000002</v>
      </c>
      <c r="F4741" s="36">
        <v>0.02</v>
      </c>
      <c r="G4741" s="34">
        <v>0.02</v>
      </c>
      <c r="H4741" s="35">
        <v>187</v>
      </c>
      <c r="I4741" s="37">
        <f t="shared" si="74"/>
        <v>5.7023495509780898E-4</v>
      </c>
      <c r="J4741" s="33"/>
    </row>
    <row r="4742" spans="1:10">
      <c r="A4742" s="33" t="s">
        <v>184</v>
      </c>
      <c r="B4742" s="34">
        <v>357.25299999999999</v>
      </c>
      <c r="C4742" s="35">
        <v>327935</v>
      </c>
      <c r="D4742" s="33" t="s">
        <v>239</v>
      </c>
      <c r="E4742" s="34">
        <v>357.274</v>
      </c>
      <c r="F4742" s="36">
        <v>2.1000000000000001E-2</v>
      </c>
      <c r="G4742" s="34">
        <v>2.1000000000000001E-2</v>
      </c>
      <c r="H4742" s="35">
        <v>10.5</v>
      </c>
      <c r="I4742" s="37">
        <f t="shared" si="74"/>
        <v>3.2018540259502646E-5</v>
      </c>
      <c r="J4742" s="33"/>
    </row>
    <row r="4743" spans="1:10">
      <c r="A4743" s="33" t="s">
        <v>184</v>
      </c>
      <c r="B4743" s="34">
        <v>357.25299999999999</v>
      </c>
      <c r="C4743" s="35">
        <v>327935</v>
      </c>
      <c r="D4743" s="33" t="s">
        <v>236</v>
      </c>
      <c r="E4743" s="34">
        <v>357.30599999999998</v>
      </c>
      <c r="F4743" s="36">
        <v>5.2999999999999999E-2</v>
      </c>
      <c r="G4743" s="34">
        <v>5.2999999999999999E-2</v>
      </c>
      <c r="H4743" s="35">
        <v>2408.1</v>
      </c>
      <c r="I4743" s="37">
        <f t="shared" si="74"/>
        <v>7.3432235046579346E-3</v>
      </c>
      <c r="J4743" s="33"/>
    </row>
    <row r="4744" spans="1:10">
      <c r="A4744" s="33" t="s">
        <v>184</v>
      </c>
      <c r="B4744" s="34">
        <v>357.25299999999999</v>
      </c>
      <c r="C4744" s="35">
        <v>327935</v>
      </c>
      <c r="D4744" s="33" t="s">
        <v>271</v>
      </c>
      <c r="E4744" s="34">
        <v>357.322</v>
      </c>
      <c r="F4744" s="36">
        <v>6.9000000000000006E-2</v>
      </c>
      <c r="G4744" s="34">
        <v>6.9000000000000006E-2</v>
      </c>
      <c r="H4744" s="35">
        <v>543.5</v>
      </c>
      <c r="I4744" s="37">
        <f t="shared" si="74"/>
        <v>1.6573406315275893E-3</v>
      </c>
      <c r="J4744" s="33"/>
    </row>
    <row r="4745" spans="1:10">
      <c r="A4745" s="33" t="s">
        <v>184</v>
      </c>
      <c r="B4745" s="34">
        <v>357.25299999999999</v>
      </c>
      <c r="C4745" s="35">
        <v>327935</v>
      </c>
      <c r="D4745" s="33" t="s">
        <v>94</v>
      </c>
      <c r="E4745" s="34">
        <v>357.32400000000001</v>
      </c>
      <c r="F4745" s="36">
        <v>7.0999999999999994E-2</v>
      </c>
      <c r="G4745" s="34">
        <v>7.0999999999999994E-2</v>
      </c>
      <c r="H4745" s="35">
        <v>1624.8</v>
      </c>
      <c r="I4745" s="37">
        <f t="shared" si="74"/>
        <v>4.954640401299038E-3</v>
      </c>
      <c r="J4745" s="33" t="s">
        <v>116</v>
      </c>
    </row>
    <row r="4746" spans="1:10">
      <c r="A4746" s="33" t="s">
        <v>184</v>
      </c>
      <c r="B4746" s="34">
        <v>357.25299999999999</v>
      </c>
      <c r="C4746" s="35">
        <v>327935</v>
      </c>
      <c r="D4746" s="33" t="s">
        <v>54</v>
      </c>
      <c r="E4746" s="34">
        <v>357.33600000000001</v>
      </c>
      <c r="F4746" s="36">
        <v>8.3000000000000004E-2</v>
      </c>
      <c r="G4746" s="34">
        <v>8.3000000000000004E-2</v>
      </c>
      <c r="H4746" s="35">
        <v>0.6</v>
      </c>
      <c r="I4746" s="37">
        <f t="shared" si="74"/>
        <v>1.8296308719715797E-6</v>
      </c>
      <c r="J4746" s="33"/>
    </row>
    <row r="4747" spans="1:10">
      <c r="A4747" s="33" t="s">
        <v>184</v>
      </c>
      <c r="B4747" s="34">
        <v>357.25299999999999</v>
      </c>
      <c r="C4747" s="35">
        <v>327935</v>
      </c>
      <c r="D4747" s="33" t="s">
        <v>97</v>
      </c>
      <c r="E4747" s="34">
        <v>357.339</v>
      </c>
      <c r="F4747" s="36">
        <v>8.5999999999999993E-2</v>
      </c>
      <c r="G4747" s="34">
        <v>8.5999999999999993E-2</v>
      </c>
      <c r="H4747" s="35">
        <v>2.8</v>
      </c>
      <c r="I4747" s="37">
        <f t="shared" si="74"/>
        <v>8.5382774025340391E-6</v>
      </c>
      <c r="J4747" s="33"/>
    </row>
    <row r="4748" spans="1:10">
      <c r="A4748" s="33" t="s">
        <v>184</v>
      </c>
      <c r="B4748" s="34">
        <v>357.25299999999999</v>
      </c>
      <c r="C4748" s="35">
        <v>327935</v>
      </c>
      <c r="D4748" s="33" t="s">
        <v>193</v>
      </c>
      <c r="E4748" s="34">
        <v>357.34100000000001</v>
      </c>
      <c r="F4748" s="36">
        <v>8.7999999999999995E-2</v>
      </c>
      <c r="G4748" s="34">
        <v>8.7999999999999995E-2</v>
      </c>
      <c r="H4748" s="35">
        <v>323.10000000000002</v>
      </c>
      <c r="I4748" s="37">
        <f t="shared" si="74"/>
        <v>9.8525622455669583E-4</v>
      </c>
      <c r="J4748" s="33"/>
    </row>
    <row r="4749" spans="1:10">
      <c r="A4749" s="33" t="s">
        <v>184</v>
      </c>
      <c r="B4749" s="34">
        <v>357.25299999999999</v>
      </c>
      <c r="C4749" s="35">
        <v>327935</v>
      </c>
      <c r="D4749" s="33" t="s">
        <v>278</v>
      </c>
      <c r="E4749" s="34">
        <v>357.351</v>
      </c>
      <c r="F4749" s="36">
        <v>9.8000000000000004E-2</v>
      </c>
      <c r="G4749" s="34">
        <v>9.8000000000000004E-2</v>
      </c>
      <c r="H4749" s="35">
        <v>147.5</v>
      </c>
      <c r="I4749" s="37">
        <f t="shared" si="74"/>
        <v>4.4978425602634666E-4</v>
      </c>
      <c r="J4749" s="33"/>
    </row>
    <row r="4750" spans="1:10">
      <c r="A4750" s="33" t="s">
        <v>184</v>
      </c>
      <c r="B4750" s="34">
        <v>357.25299999999999</v>
      </c>
      <c r="C4750" s="35">
        <v>327935</v>
      </c>
      <c r="D4750" s="33" t="s">
        <v>239</v>
      </c>
      <c r="E4750" s="34">
        <v>357.36399999999998</v>
      </c>
      <c r="F4750" s="36">
        <v>0.111</v>
      </c>
      <c r="G4750" s="34">
        <v>0.111</v>
      </c>
      <c r="H4750" s="35">
        <v>33.4</v>
      </c>
      <c r="I4750" s="37">
        <f t="shared" si="74"/>
        <v>1.018494518730846E-4</v>
      </c>
      <c r="J4750" s="33"/>
    </row>
    <row r="4751" spans="1:10">
      <c r="A4751" s="33" t="s">
        <v>184</v>
      </c>
      <c r="B4751" s="34">
        <v>357.25299999999999</v>
      </c>
      <c r="C4751" s="35">
        <v>327935</v>
      </c>
      <c r="D4751" s="33" t="s">
        <v>25</v>
      </c>
      <c r="E4751" s="34">
        <v>357.37099999999998</v>
      </c>
      <c r="F4751" s="36">
        <v>0.11799999999999999</v>
      </c>
      <c r="G4751" s="34">
        <v>0.11799999999999999</v>
      </c>
      <c r="H4751" s="35">
        <v>236.5</v>
      </c>
      <c r="I4751" s="37">
        <f t="shared" si="74"/>
        <v>7.2117950203546438E-4</v>
      </c>
      <c r="J4751" s="33" t="s">
        <v>116</v>
      </c>
    </row>
    <row r="4752" spans="1:10">
      <c r="A4752" s="33" t="s">
        <v>184</v>
      </c>
      <c r="B4752" s="34">
        <v>357.25299999999999</v>
      </c>
      <c r="C4752" s="35">
        <v>327935</v>
      </c>
      <c r="D4752" s="33" t="s">
        <v>290</v>
      </c>
      <c r="E4752" s="34">
        <v>357.37200000000001</v>
      </c>
      <c r="F4752" s="36">
        <v>0.11899999999999999</v>
      </c>
      <c r="G4752" s="34">
        <v>0.11899999999999999</v>
      </c>
      <c r="H4752" s="35">
        <v>143.80000000000001</v>
      </c>
      <c r="I4752" s="37">
        <f t="shared" si="74"/>
        <v>4.3850153231585529E-4</v>
      </c>
      <c r="J4752" s="33"/>
    </row>
    <row r="4753" spans="1:10">
      <c r="A4753" s="33" t="s">
        <v>184</v>
      </c>
      <c r="B4753" s="34">
        <v>357.25299999999999</v>
      </c>
      <c r="C4753" s="35">
        <v>327935</v>
      </c>
      <c r="D4753" s="33" t="s">
        <v>237</v>
      </c>
      <c r="E4753" s="34">
        <v>357.37299999999999</v>
      </c>
      <c r="F4753" s="36">
        <v>0.12</v>
      </c>
      <c r="G4753" s="34">
        <v>0.12</v>
      </c>
      <c r="H4753" s="35">
        <v>768.6</v>
      </c>
      <c r="I4753" s="37">
        <f t="shared" si="74"/>
        <v>2.3437571469955938E-3</v>
      </c>
      <c r="J4753" s="33"/>
    </row>
    <row r="4754" spans="1:10">
      <c r="A4754" s="33" t="s">
        <v>184</v>
      </c>
      <c r="B4754" s="34">
        <v>357.25299999999999</v>
      </c>
      <c r="C4754" s="35">
        <v>327935</v>
      </c>
      <c r="D4754" s="33" t="s">
        <v>33</v>
      </c>
      <c r="E4754" s="34">
        <v>357.38299999999998</v>
      </c>
      <c r="F4754" s="36">
        <v>0.13</v>
      </c>
      <c r="G4754" s="34">
        <v>0.13</v>
      </c>
      <c r="H4754" s="35">
        <v>2301.9</v>
      </c>
      <c r="I4754" s="37">
        <f t="shared" si="74"/>
        <v>7.019378840318966E-3</v>
      </c>
      <c r="J4754" s="33" t="s">
        <v>116</v>
      </c>
    </row>
    <row r="4755" spans="1:10">
      <c r="A4755" s="33" t="s">
        <v>184</v>
      </c>
      <c r="B4755" s="34">
        <v>357.25299999999999</v>
      </c>
      <c r="C4755" s="35">
        <v>327935</v>
      </c>
      <c r="D4755" s="33" t="s">
        <v>84</v>
      </c>
      <c r="E4755" s="34">
        <v>357.387</v>
      </c>
      <c r="F4755" s="36">
        <v>0.13400000000000001</v>
      </c>
      <c r="G4755" s="34">
        <v>0.13400000000000001</v>
      </c>
      <c r="H4755" s="35">
        <v>555.5</v>
      </c>
      <c r="I4755" s="37">
        <f t="shared" si="74"/>
        <v>1.6939332489670209E-3</v>
      </c>
      <c r="J4755" s="33" t="s">
        <v>116</v>
      </c>
    </row>
    <row r="4756" spans="1:10">
      <c r="A4756" s="33" t="s">
        <v>184</v>
      </c>
      <c r="B4756" s="34">
        <v>357.25299999999999</v>
      </c>
      <c r="C4756" s="35">
        <v>327935</v>
      </c>
      <c r="D4756" s="33" t="s">
        <v>275</v>
      </c>
      <c r="E4756" s="34">
        <v>357.38799999999998</v>
      </c>
      <c r="F4756" s="36">
        <v>0.13500000000000001</v>
      </c>
      <c r="G4756" s="34">
        <v>0.13500000000000001</v>
      </c>
      <c r="H4756" s="35">
        <v>33.299999999999997</v>
      </c>
      <c r="I4756" s="37">
        <f t="shared" si="74"/>
        <v>1.0154451339442267E-4</v>
      </c>
      <c r="J4756" s="33"/>
    </row>
    <row r="4757" spans="1:10">
      <c r="A4757" s="33" t="s">
        <v>184</v>
      </c>
      <c r="B4757" s="34">
        <v>357.25299999999999</v>
      </c>
      <c r="C4757" s="35">
        <v>327935</v>
      </c>
      <c r="D4757" s="33" t="s">
        <v>97</v>
      </c>
      <c r="E4757" s="34">
        <v>357.38900000000001</v>
      </c>
      <c r="F4757" s="36">
        <v>0.13600000000000001</v>
      </c>
      <c r="G4757" s="34">
        <v>0.13600000000000001</v>
      </c>
      <c r="H4757" s="35">
        <v>23</v>
      </c>
      <c r="I4757" s="37">
        <f t="shared" si="74"/>
        <v>7.0135850092243891E-5</v>
      </c>
      <c r="J4757" s="33"/>
    </row>
    <row r="4758" spans="1:10">
      <c r="A4758" s="33" t="s">
        <v>184</v>
      </c>
      <c r="B4758" s="34">
        <v>357.25299999999999</v>
      </c>
      <c r="C4758" s="35">
        <v>327935</v>
      </c>
      <c r="D4758" s="33" t="s">
        <v>109</v>
      </c>
      <c r="E4758" s="34">
        <v>357.40499999999997</v>
      </c>
      <c r="F4758" s="36">
        <v>0.152</v>
      </c>
      <c r="G4758" s="34">
        <v>0.152</v>
      </c>
      <c r="H4758" s="35">
        <v>1401.9</v>
      </c>
      <c r="I4758" s="37">
        <f t="shared" si="74"/>
        <v>4.2749325323615962E-3</v>
      </c>
      <c r="J4758" s="33" t="s">
        <v>116</v>
      </c>
    </row>
    <row r="4759" spans="1:10">
      <c r="A4759" s="33" t="s">
        <v>184</v>
      </c>
      <c r="B4759" s="34">
        <v>357.25299999999999</v>
      </c>
      <c r="C4759" s="35">
        <v>327935</v>
      </c>
      <c r="D4759" s="33" t="s">
        <v>239</v>
      </c>
      <c r="E4759" s="34">
        <v>357.40699999999998</v>
      </c>
      <c r="F4759" s="36">
        <v>0.154</v>
      </c>
      <c r="G4759" s="34">
        <v>0.154</v>
      </c>
      <c r="H4759" s="35">
        <v>25</v>
      </c>
      <c r="I4759" s="37">
        <f t="shared" si="74"/>
        <v>7.6234619665482489E-5</v>
      </c>
      <c r="J4759" s="33"/>
    </row>
    <row r="4760" spans="1:10">
      <c r="A4760" s="33" t="s">
        <v>184</v>
      </c>
      <c r="B4760" s="34">
        <v>357.63400000000001</v>
      </c>
      <c r="C4760" s="35">
        <v>200450</v>
      </c>
      <c r="D4760" s="33" t="s">
        <v>274</v>
      </c>
      <c r="E4760" s="34">
        <v>357.52199999999999</v>
      </c>
      <c r="F4760" s="36">
        <v>-0.112</v>
      </c>
      <c r="G4760" s="34">
        <v>0.112</v>
      </c>
      <c r="H4760" s="35">
        <v>14.2</v>
      </c>
      <c r="I4760" s="37">
        <f t="shared" si="74"/>
        <v>7.0840608630581188E-5</v>
      </c>
      <c r="J4760" s="33"/>
    </row>
    <row r="4761" spans="1:10">
      <c r="A4761" s="33" t="s">
        <v>184</v>
      </c>
      <c r="B4761" s="34">
        <v>357.63400000000001</v>
      </c>
      <c r="C4761" s="35">
        <v>200450</v>
      </c>
      <c r="D4761" s="33" t="s">
        <v>25</v>
      </c>
      <c r="E4761" s="34">
        <v>357.529</v>
      </c>
      <c r="F4761" s="36">
        <v>-0.105</v>
      </c>
      <c r="G4761" s="34">
        <v>0.105</v>
      </c>
      <c r="H4761" s="35">
        <v>200.8</v>
      </c>
      <c r="I4761" s="37">
        <f t="shared" si="74"/>
        <v>1.0017460713394862E-3</v>
      </c>
      <c r="J4761" s="33" t="s">
        <v>116</v>
      </c>
    </row>
    <row r="4762" spans="1:10">
      <c r="A4762" s="33" t="s">
        <v>184</v>
      </c>
      <c r="B4762" s="34">
        <v>357.63400000000001</v>
      </c>
      <c r="C4762" s="35">
        <v>200450</v>
      </c>
      <c r="D4762" s="33" t="s">
        <v>271</v>
      </c>
      <c r="E4762" s="34">
        <v>357.53199999999998</v>
      </c>
      <c r="F4762" s="36">
        <v>-0.10199999999999999</v>
      </c>
      <c r="G4762" s="34">
        <v>0.10199999999999999</v>
      </c>
      <c r="H4762" s="35">
        <v>2089</v>
      </c>
      <c r="I4762" s="37">
        <f t="shared" si="74"/>
        <v>1.0421551509104515E-2</v>
      </c>
      <c r="J4762" s="33"/>
    </row>
    <row r="4763" spans="1:10">
      <c r="A4763" s="33" t="s">
        <v>184</v>
      </c>
      <c r="B4763" s="34">
        <v>357.63400000000001</v>
      </c>
      <c r="C4763" s="35">
        <v>200450</v>
      </c>
      <c r="D4763" s="33" t="s">
        <v>54</v>
      </c>
      <c r="E4763" s="34">
        <v>357.53500000000003</v>
      </c>
      <c r="F4763" s="36">
        <v>-9.9000000000000005E-2</v>
      </c>
      <c r="G4763" s="34">
        <v>9.9000000000000005E-2</v>
      </c>
      <c r="H4763" s="35">
        <v>695.5</v>
      </c>
      <c r="I4763" s="37">
        <f t="shared" si="74"/>
        <v>3.469693190321776E-3</v>
      </c>
      <c r="J4763" s="33"/>
    </row>
    <row r="4764" spans="1:10">
      <c r="A4764" s="33" t="s">
        <v>184</v>
      </c>
      <c r="B4764" s="34">
        <v>357.63400000000001</v>
      </c>
      <c r="C4764" s="35">
        <v>200450</v>
      </c>
      <c r="D4764" s="33" t="s">
        <v>97</v>
      </c>
      <c r="E4764" s="34">
        <v>357.53699999999998</v>
      </c>
      <c r="F4764" s="36">
        <v>-9.7000000000000003E-2</v>
      </c>
      <c r="G4764" s="34">
        <v>9.7000000000000003E-2</v>
      </c>
      <c r="H4764" s="35">
        <v>13.8</v>
      </c>
      <c r="I4764" s="37">
        <f t="shared" si="74"/>
        <v>6.8845098528311306E-5</v>
      </c>
      <c r="J4764" s="33"/>
    </row>
    <row r="4765" spans="1:10">
      <c r="A4765" s="33" t="s">
        <v>184</v>
      </c>
      <c r="B4765" s="34">
        <v>357.63400000000001</v>
      </c>
      <c r="C4765" s="35">
        <v>200450</v>
      </c>
      <c r="D4765" s="33" t="s">
        <v>272</v>
      </c>
      <c r="E4765" s="34">
        <v>357.54500000000002</v>
      </c>
      <c r="F4765" s="36">
        <v>-8.8999999999999996E-2</v>
      </c>
      <c r="G4765" s="34">
        <v>8.8999999999999996E-2</v>
      </c>
      <c r="H4765" s="35">
        <v>0.3</v>
      </c>
      <c r="I4765" s="37">
        <f t="shared" si="74"/>
        <v>1.4966325767024194E-6</v>
      </c>
      <c r="J4765" s="33"/>
    </row>
    <row r="4766" spans="1:10">
      <c r="A4766" s="33" t="s">
        <v>184</v>
      </c>
      <c r="B4766" s="34">
        <v>357.63400000000001</v>
      </c>
      <c r="C4766" s="35">
        <v>200450</v>
      </c>
      <c r="D4766" s="33" t="s">
        <v>277</v>
      </c>
      <c r="E4766" s="34">
        <v>357.54700000000003</v>
      </c>
      <c r="F4766" s="36">
        <v>-8.6999999999999994E-2</v>
      </c>
      <c r="G4766" s="34">
        <v>8.6999999999999994E-2</v>
      </c>
      <c r="H4766" s="35">
        <v>96.1</v>
      </c>
      <c r="I4766" s="37">
        <f t="shared" si="74"/>
        <v>4.7942130207034172E-4</v>
      </c>
      <c r="J4766" s="33"/>
    </row>
    <row r="4767" spans="1:10">
      <c r="A4767" s="33" t="s">
        <v>184</v>
      </c>
      <c r="B4767" s="34">
        <v>357.63400000000001</v>
      </c>
      <c r="C4767" s="35">
        <v>200450</v>
      </c>
      <c r="D4767" s="33" t="s">
        <v>275</v>
      </c>
      <c r="E4767" s="34">
        <v>357.56</v>
      </c>
      <c r="F4767" s="36">
        <v>-7.3999999999999996E-2</v>
      </c>
      <c r="G4767" s="34">
        <v>7.3999999999999996E-2</v>
      </c>
      <c r="H4767" s="35">
        <v>9.4</v>
      </c>
      <c r="I4767" s="37">
        <f t="shared" si="74"/>
        <v>4.6894487403342481E-5</v>
      </c>
      <c r="J4767" s="33"/>
    </row>
    <row r="4768" spans="1:10">
      <c r="A4768" s="33" t="s">
        <v>184</v>
      </c>
      <c r="B4768" s="34">
        <v>357.63400000000001</v>
      </c>
      <c r="C4768" s="35">
        <v>200450</v>
      </c>
      <c r="D4768" s="33" t="s">
        <v>277</v>
      </c>
      <c r="E4768" s="34">
        <v>357.57600000000002</v>
      </c>
      <c r="F4768" s="36">
        <v>-5.8000000000000003E-2</v>
      </c>
      <c r="G4768" s="34">
        <v>5.8000000000000003E-2</v>
      </c>
      <c r="H4768" s="35">
        <v>105.4</v>
      </c>
      <c r="I4768" s="37">
        <f t="shared" si="74"/>
        <v>5.2581691194811676E-4</v>
      </c>
      <c r="J4768" s="33"/>
    </row>
    <row r="4769" spans="1:10">
      <c r="A4769" s="33" t="s">
        <v>184</v>
      </c>
      <c r="B4769" s="34">
        <v>357.63400000000001</v>
      </c>
      <c r="C4769" s="35">
        <v>200450</v>
      </c>
      <c r="D4769" s="33" t="s">
        <v>236</v>
      </c>
      <c r="E4769" s="34">
        <v>357.57799999999997</v>
      </c>
      <c r="F4769" s="36">
        <v>-5.6000000000000001E-2</v>
      </c>
      <c r="G4769" s="34">
        <v>5.6000000000000001E-2</v>
      </c>
      <c r="H4769" s="35">
        <v>572.5</v>
      </c>
      <c r="I4769" s="37">
        <f t="shared" si="74"/>
        <v>2.856073833873784E-3</v>
      </c>
      <c r="J4769" s="33"/>
    </row>
    <row r="4770" spans="1:10">
      <c r="A4770" s="33" t="s">
        <v>184</v>
      </c>
      <c r="B4770" s="34">
        <v>357.63400000000001</v>
      </c>
      <c r="C4770" s="35">
        <v>200450</v>
      </c>
      <c r="D4770" s="33" t="s">
        <v>273</v>
      </c>
      <c r="E4770" s="34">
        <v>357.58499999999998</v>
      </c>
      <c r="F4770" s="36">
        <v>-4.9000000000000002E-2</v>
      </c>
      <c r="G4770" s="34">
        <v>4.9000000000000002E-2</v>
      </c>
      <c r="H4770" s="35">
        <v>495.3</v>
      </c>
      <c r="I4770" s="37">
        <f t="shared" si="74"/>
        <v>2.4709403841356946E-3</v>
      </c>
      <c r="J4770" s="33"/>
    </row>
    <row r="4771" spans="1:10">
      <c r="A4771" s="33" t="s">
        <v>184</v>
      </c>
      <c r="B4771" s="34">
        <v>357.63400000000001</v>
      </c>
      <c r="C4771" s="35">
        <v>200450</v>
      </c>
      <c r="D4771" s="33" t="s">
        <v>165</v>
      </c>
      <c r="E4771" s="34">
        <v>357.59300000000002</v>
      </c>
      <c r="F4771" s="36">
        <v>-4.1000000000000002E-2</v>
      </c>
      <c r="G4771" s="34">
        <v>4.1000000000000002E-2</v>
      </c>
      <c r="H4771" s="35">
        <v>3.3</v>
      </c>
      <c r="I4771" s="37">
        <f t="shared" si="74"/>
        <v>1.6462958343726614E-5</v>
      </c>
      <c r="J4771" s="33"/>
    </row>
    <row r="4772" spans="1:10">
      <c r="A4772" s="33" t="s">
        <v>184</v>
      </c>
      <c r="B4772" s="34">
        <v>357.63400000000001</v>
      </c>
      <c r="C4772" s="35">
        <v>200450</v>
      </c>
      <c r="D4772" s="33" t="s">
        <v>274</v>
      </c>
      <c r="E4772" s="34">
        <v>357.59800000000001</v>
      </c>
      <c r="F4772" s="36">
        <v>-3.5999999999999997E-2</v>
      </c>
      <c r="G4772" s="34">
        <v>3.5999999999999997E-2</v>
      </c>
      <c r="H4772" s="35">
        <v>8.3000000000000007</v>
      </c>
      <c r="I4772" s="37">
        <f t="shared" si="74"/>
        <v>4.1406834622100276E-5</v>
      </c>
      <c r="J4772" s="33"/>
    </row>
    <row r="4773" spans="1:10">
      <c r="A4773" s="33" t="s">
        <v>184</v>
      </c>
      <c r="B4773" s="34">
        <v>357.63400000000001</v>
      </c>
      <c r="C4773" s="35">
        <v>200450</v>
      </c>
      <c r="D4773" s="33" t="s">
        <v>97</v>
      </c>
      <c r="E4773" s="34">
        <v>357.59800000000001</v>
      </c>
      <c r="F4773" s="36">
        <v>-3.5999999999999997E-2</v>
      </c>
      <c r="G4773" s="34">
        <v>3.5999999999999997E-2</v>
      </c>
      <c r="H4773" s="35">
        <v>3.4</v>
      </c>
      <c r="I4773" s="37">
        <f t="shared" si="74"/>
        <v>1.6961835869294088E-5</v>
      </c>
      <c r="J4773" s="33"/>
    </row>
    <row r="4774" spans="1:10">
      <c r="A4774" s="33" t="s">
        <v>184</v>
      </c>
      <c r="B4774" s="34">
        <v>357.63400000000001</v>
      </c>
      <c r="C4774" s="35">
        <v>200450</v>
      </c>
      <c r="D4774" s="33" t="s">
        <v>116</v>
      </c>
      <c r="E4774" s="34">
        <v>357.60500000000002</v>
      </c>
      <c r="F4774" s="36">
        <v>-2.9000000000000001E-2</v>
      </c>
      <c r="G4774" s="34">
        <v>2.9000000000000001E-2</v>
      </c>
      <c r="H4774" s="35">
        <v>93.5</v>
      </c>
      <c r="I4774" s="37">
        <f t="shared" si="74"/>
        <v>4.6645048640558745E-4</v>
      </c>
      <c r="J4774" s="33" t="s">
        <v>116</v>
      </c>
    </row>
    <row r="4775" spans="1:10">
      <c r="A4775" s="33" t="s">
        <v>184</v>
      </c>
      <c r="B4775" s="34">
        <v>357.63400000000001</v>
      </c>
      <c r="C4775" s="35">
        <v>200450</v>
      </c>
      <c r="D4775" s="33" t="s">
        <v>27</v>
      </c>
      <c r="E4775" s="34">
        <v>357.61500000000001</v>
      </c>
      <c r="F4775" s="36">
        <v>-1.9E-2</v>
      </c>
      <c r="G4775" s="34">
        <v>1.9E-2</v>
      </c>
      <c r="H4775" s="35">
        <v>205.6</v>
      </c>
      <c r="I4775" s="37">
        <f t="shared" si="74"/>
        <v>1.0256921925667249E-3</v>
      </c>
      <c r="J4775" s="33" t="s">
        <v>116</v>
      </c>
    </row>
    <row r="4776" spans="1:10">
      <c r="A4776" s="33" t="s">
        <v>184</v>
      </c>
      <c r="B4776" s="34">
        <v>357.63400000000001</v>
      </c>
      <c r="C4776" s="35">
        <v>200450</v>
      </c>
      <c r="D4776" s="33" t="s">
        <v>275</v>
      </c>
      <c r="E4776" s="34">
        <v>357.61700000000002</v>
      </c>
      <c r="F4776" s="36">
        <v>-1.7000000000000001E-2</v>
      </c>
      <c r="G4776" s="34">
        <v>1.7000000000000001E-2</v>
      </c>
      <c r="H4776" s="35">
        <v>4.7</v>
      </c>
      <c r="I4776" s="37">
        <f t="shared" si="74"/>
        <v>2.344724370167124E-5</v>
      </c>
      <c r="J4776" s="33"/>
    </row>
    <row r="4777" spans="1:10">
      <c r="A4777" s="33" t="s">
        <v>184</v>
      </c>
      <c r="B4777" s="34">
        <v>357.63400000000001</v>
      </c>
      <c r="C4777" s="35">
        <v>200450</v>
      </c>
      <c r="D4777" s="33" t="s">
        <v>277</v>
      </c>
      <c r="E4777" s="34">
        <v>357.62200000000001</v>
      </c>
      <c r="F4777" s="36">
        <v>-1.2E-2</v>
      </c>
      <c r="G4777" s="34">
        <v>1.2E-2</v>
      </c>
      <c r="H4777" s="35">
        <v>276.60000000000002</v>
      </c>
      <c r="I4777" s="37">
        <f t="shared" si="74"/>
        <v>1.379895235719631E-3</v>
      </c>
      <c r="J4777" s="33"/>
    </row>
    <row r="4778" spans="1:10">
      <c r="A4778" s="33" t="s">
        <v>184</v>
      </c>
      <c r="B4778" s="34">
        <v>357.63400000000001</v>
      </c>
      <c r="C4778" s="35">
        <v>200450</v>
      </c>
      <c r="D4778" s="33" t="s">
        <v>25</v>
      </c>
      <c r="E4778" s="34">
        <v>357.62299999999999</v>
      </c>
      <c r="F4778" s="36">
        <v>-1.0999999999999999E-2</v>
      </c>
      <c r="G4778" s="34">
        <v>1.0999999999999999E-2</v>
      </c>
      <c r="H4778" s="35">
        <v>655.5</v>
      </c>
      <c r="I4778" s="37">
        <f t="shared" si="74"/>
        <v>3.2701421800947869E-3</v>
      </c>
      <c r="J4778" s="33" t="s">
        <v>116</v>
      </c>
    </row>
    <row r="4779" spans="1:10">
      <c r="A4779" s="33" t="s">
        <v>184</v>
      </c>
      <c r="B4779" s="34">
        <v>357.63400000000001</v>
      </c>
      <c r="C4779" s="35">
        <v>200450</v>
      </c>
      <c r="D4779" s="33" t="s">
        <v>33</v>
      </c>
      <c r="E4779" s="34">
        <v>357.625</v>
      </c>
      <c r="F4779" s="36">
        <v>-8.9999999999999993E-3</v>
      </c>
      <c r="G4779" s="34">
        <v>8.9999999999999993E-3</v>
      </c>
      <c r="H4779" s="35">
        <v>12386.1</v>
      </c>
      <c r="I4779" s="37">
        <f t="shared" si="74"/>
        <v>6.1791469194312797E-2</v>
      </c>
      <c r="J4779" s="33" t="s">
        <v>116</v>
      </c>
    </row>
    <row r="4780" spans="1:10">
      <c r="A4780" s="33" t="s">
        <v>184</v>
      </c>
      <c r="B4780" s="34">
        <v>357.63400000000001</v>
      </c>
      <c r="C4780" s="35">
        <v>200450</v>
      </c>
      <c r="D4780" s="33" t="s">
        <v>271</v>
      </c>
      <c r="E4780" s="34">
        <v>357.65600000000001</v>
      </c>
      <c r="F4780" s="36">
        <v>2.1999999999999999E-2</v>
      </c>
      <c r="G4780" s="34">
        <v>2.1999999999999999E-2</v>
      </c>
      <c r="H4780" s="35">
        <v>96.9</v>
      </c>
      <c r="I4780" s="37">
        <f t="shared" si="74"/>
        <v>4.8341232227488154E-4</v>
      </c>
      <c r="J4780" s="33"/>
    </row>
    <row r="4781" spans="1:10">
      <c r="A4781" s="33" t="s">
        <v>184</v>
      </c>
      <c r="B4781" s="34">
        <v>357.63400000000001</v>
      </c>
      <c r="C4781" s="35">
        <v>200450</v>
      </c>
      <c r="D4781" s="33" t="s">
        <v>97</v>
      </c>
      <c r="E4781" s="34">
        <v>357.67599999999999</v>
      </c>
      <c r="F4781" s="36">
        <v>4.2000000000000003E-2</v>
      </c>
      <c r="G4781" s="34">
        <v>4.2000000000000003E-2</v>
      </c>
      <c r="H4781" s="35">
        <v>4.3</v>
      </c>
      <c r="I4781" s="37">
        <f t="shared" si="74"/>
        <v>2.1451733599401347E-5</v>
      </c>
      <c r="J4781" s="33"/>
    </row>
    <row r="4782" spans="1:10">
      <c r="A4782" s="33" t="s">
        <v>184</v>
      </c>
      <c r="B4782" s="34">
        <v>357.63400000000001</v>
      </c>
      <c r="C4782" s="35">
        <v>200450</v>
      </c>
      <c r="D4782" s="33" t="s">
        <v>165</v>
      </c>
      <c r="E4782" s="34">
        <v>357.67599999999999</v>
      </c>
      <c r="F4782" s="36">
        <v>4.2000000000000003E-2</v>
      </c>
      <c r="G4782" s="34">
        <v>4.2000000000000003E-2</v>
      </c>
      <c r="H4782" s="35">
        <v>45.2</v>
      </c>
      <c r="I4782" s="37">
        <f t="shared" si="74"/>
        <v>2.2549264155649788E-4</v>
      </c>
      <c r="J4782" s="33"/>
    </row>
    <row r="4783" spans="1:10">
      <c r="A4783" s="33" t="s">
        <v>184</v>
      </c>
      <c r="B4783" s="34">
        <v>357.63400000000001</v>
      </c>
      <c r="C4783" s="35">
        <v>200450</v>
      </c>
      <c r="D4783" s="33" t="s">
        <v>36</v>
      </c>
      <c r="E4783" s="34">
        <v>357.67700000000002</v>
      </c>
      <c r="F4783" s="36">
        <v>4.2999999999999997E-2</v>
      </c>
      <c r="G4783" s="34">
        <v>4.2999999999999997E-2</v>
      </c>
      <c r="H4783" s="35">
        <v>350.4</v>
      </c>
      <c r="I4783" s="37">
        <f t="shared" si="74"/>
        <v>1.748066849588426E-3</v>
      </c>
      <c r="J4783" s="33" t="s">
        <v>116</v>
      </c>
    </row>
    <row r="4784" spans="1:10">
      <c r="A4784" s="33" t="s">
        <v>184</v>
      </c>
      <c r="B4784" s="34">
        <v>357.63400000000001</v>
      </c>
      <c r="C4784" s="35">
        <v>200450</v>
      </c>
      <c r="D4784" s="33" t="s">
        <v>236</v>
      </c>
      <c r="E4784" s="34">
        <v>357.68400000000003</v>
      </c>
      <c r="F4784" s="36">
        <v>0.05</v>
      </c>
      <c r="G4784" s="34">
        <v>0.05</v>
      </c>
      <c r="H4784" s="35">
        <v>23370.400000000001</v>
      </c>
      <c r="I4784" s="37">
        <f t="shared" si="74"/>
        <v>0.11658967323522076</v>
      </c>
      <c r="J4784" s="33"/>
    </row>
    <row r="4785" spans="1:10">
      <c r="A4785" s="33" t="s">
        <v>184</v>
      </c>
      <c r="B4785" s="34">
        <v>357.63400000000001</v>
      </c>
      <c r="C4785" s="35">
        <v>200450</v>
      </c>
      <c r="D4785" s="33" t="s">
        <v>33</v>
      </c>
      <c r="E4785" s="34">
        <v>357.68700000000001</v>
      </c>
      <c r="F4785" s="36">
        <v>5.2999999999999999E-2</v>
      </c>
      <c r="G4785" s="34">
        <v>5.2999999999999999E-2</v>
      </c>
      <c r="H4785" s="35">
        <v>6317.1</v>
      </c>
      <c r="I4785" s="37">
        <f t="shared" si="74"/>
        <v>3.1514592167622847E-2</v>
      </c>
      <c r="J4785" s="33" t="s">
        <v>116</v>
      </c>
    </row>
    <row r="4786" spans="1:10">
      <c r="A4786" s="33" t="s">
        <v>184</v>
      </c>
      <c r="B4786" s="34">
        <v>357.63400000000001</v>
      </c>
      <c r="C4786" s="35">
        <v>200450</v>
      </c>
      <c r="D4786" s="33" t="s">
        <v>277</v>
      </c>
      <c r="E4786" s="34">
        <v>357.70800000000003</v>
      </c>
      <c r="F4786" s="36">
        <v>7.3999999999999996E-2</v>
      </c>
      <c r="G4786" s="34">
        <v>7.3999999999999996E-2</v>
      </c>
      <c r="H4786" s="35">
        <v>93</v>
      </c>
      <c r="I4786" s="37">
        <f t="shared" si="74"/>
        <v>4.6395609877775005E-4</v>
      </c>
      <c r="J4786" s="33"/>
    </row>
    <row r="4787" spans="1:10">
      <c r="A4787" s="33" t="s">
        <v>184</v>
      </c>
      <c r="B4787" s="34">
        <v>357.63400000000001</v>
      </c>
      <c r="C4787" s="35">
        <v>200450</v>
      </c>
      <c r="D4787" s="33" t="s">
        <v>271</v>
      </c>
      <c r="E4787" s="34">
        <v>357.721</v>
      </c>
      <c r="F4787" s="36">
        <v>8.6999999999999994E-2</v>
      </c>
      <c r="G4787" s="34">
        <v>8.6999999999999994E-2</v>
      </c>
      <c r="H4787" s="35">
        <v>135.4</v>
      </c>
      <c r="I4787" s="37">
        <f t="shared" si="74"/>
        <v>6.7548016961835875E-4</v>
      </c>
      <c r="J4787" s="33"/>
    </row>
    <row r="4788" spans="1:10">
      <c r="A4788" s="33" t="s">
        <v>184</v>
      </c>
      <c r="B4788" s="34">
        <v>357.63400000000001</v>
      </c>
      <c r="C4788" s="35">
        <v>200450</v>
      </c>
      <c r="D4788" s="33" t="s">
        <v>278</v>
      </c>
      <c r="E4788" s="34">
        <v>357.72300000000001</v>
      </c>
      <c r="F4788" s="36">
        <v>8.8999999999999996E-2</v>
      </c>
      <c r="G4788" s="34">
        <v>8.8999999999999996E-2</v>
      </c>
      <c r="H4788" s="35">
        <v>42.5</v>
      </c>
      <c r="I4788" s="37">
        <f t="shared" si="74"/>
        <v>2.1202294836617611E-4</v>
      </c>
      <c r="J4788" s="33"/>
    </row>
    <row r="4789" spans="1:10">
      <c r="A4789" s="33" t="s">
        <v>184</v>
      </c>
      <c r="B4789" s="34">
        <v>357.63400000000001</v>
      </c>
      <c r="C4789" s="35">
        <v>200450</v>
      </c>
      <c r="D4789" s="33" t="s">
        <v>25</v>
      </c>
      <c r="E4789" s="34">
        <v>357.74599999999998</v>
      </c>
      <c r="F4789" s="36">
        <v>0.112</v>
      </c>
      <c r="G4789" s="34">
        <v>0.112</v>
      </c>
      <c r="H4789" s="35">
        <v>5279.5</v>
      </c>
      <c r="I4789" s="37">
        <f t="shared" si="74"/>
        <v>2.6338238962334747E-2</v>
      </c>
      <c r="J4789" s="33" t="s">
        <v>116</v>
      </c>
    </row>
    <row r="4790" spans="1:10">
      <c r="A4790" s="33" t="s">
        <v>184</v>
      </c>
      <c r="B4790" s="34">
        <v>357.63400000000001</v>
      </c>
      <c r="C4790" s="35">
        <v>200450</v>
      </c>
      <c r="D4790" s="33" t="s">
        <v>236</v>
      </c>
      <c r="E4790" s="34">
        <v>357.75599999999997</v>
      </c>
      <c r="F4790" s="36">
        <v>0.122</v>
      </c>
      <c r="G4790" s="34">
        <v>0.122</v>
      </c>
      <c r="H4790" s="35">
        <v>80.099999999999994</v>
      </c>
      <c r="I4790" s="37">
        <f t="shared" si="74"/>
        <v>3.9960089797954598E-4</v>
      </c>
      <c r="J4790" s="33"/>
    </row>
    <row r="4791" spans="1:10">
      <c r="A4791" s="33" t="s">
        <v>184</v>
      </c>
      <c r="B4791" s="34">
        <v>357.63400000000001</v>
      </c>
      <c r="C4791" s="35">
        <v>200450</v>
      </c>
      <c r="D4791" s="33" t="s">
        <v>273</v>
      </c>
      <c r="E4791" s="34">
        <v>357.77199999999999</v>
      </c>
      <c r="F4791" s="36">
        <v>0.13800000000000001</v>
      </c>
      <c r="G4791" s="34">
        <v>0.13800000000000001</v>
      </c>
      <c r="H4791" s="35">
        <v>55.6</v>
      </c>
      <c r="I4791" s="37">
        <f t="shared" si="74"/>
        <v>2.7737590421551508E-4</v>
      </c>
      <c r="J4791" s="33"/>
    </row>
    <row r="4792" spans="1:10">
      <c r="A4792" s="33" t="s">
        <v>184</v>
      </c>
      <c r="B4792" s="34">
        <v>357.63400000000001</v>
      </c>
      <c r="C4792" s="35">
        <v>200450</v>
      </c>
      <c r="D4792" s="33" t="s">
        <v>270</v>
      </c>
      <c r="E4792" s="34">
        <v>357.77800000000002</v>
      </c>
      <c r="F4792" s="36">
        <v>0.14399999999999999</v>
      </c>
      <c r="G4792" s="34">
        <v>0.14399999999999999</v>
      </c>
      <c r="H4792" s="35">
        <v>1067.3</v>
      </c>
      <c r="I4792" s="37">
        <f t="shared" si="74"/>
        <v>5.3245198303816408E-3</v>
      </c>
      <c r="J4792" s="33"/>
    </row>
    <row r="4793" spans="1:10">
      <c r="A4793" s="33" t="s">
        <v>184</v>
      </c>
      <c r="B4793" s="34">
        <v>357.63400000000001</v>
      </c>
      <c r="C4793" s="35">
        <v>200450</v>
      </c>
      <c r="D4793" s="33" t="s">
        <v>240</v>
      </c>
      <c r="E4793" s="34">
        <v>357.78699999999998</v>
      </c>
      <c r="F4793" s="36">
        <v>0.153</v>
      </c>
      <c r="G4793" s="34">
        <v>0.153</v>
      </c>
      <c r="H4793" s="35">
        <v>595.6</v>
      </c>
      <c r="I4793" s="37">
        <f t="shared" si="74"/>
        <v>2.9713145422798704E-3</v>
      </c>
      <c r="J4793" s="33"/>
    </row>
    <row r="4794" spans="1:10">
      <c r="A4794" s="33" t="s">
        <v>184</v>
      </c>
      <c r="B4794" s="34">
        <v>357.63400000000001</v>
      </c>
      <c r="C4794" s="35">
        <v>200450</v>
      </c>
      <c r="D4794" s="33" t="s">
        <v>278</v>
      </c>
      <c r="E4794" s="34">
        <v>357.78800000000001</v>
      </c>
      <c r="F4794" s="36">
        <v>0.154</v>
      </c>
      <c r="G4794" s="34">
        <v>0.154</v>
      </c>
      <c r="H4794" s="35">
        <v>60.3</v>
      </c>
      <c r="I4794" s="37">
        <f t="shared" si="74"/>
        <v>3.0082314791718634E-4</v>
      </c>
      <c r="J4794" s="33"/>
    </row>
    <row r="4795" spans="1:10">
      <c r="A4795" s="33" t="s">
        <v>184</v>
      </c>
      <c r="B4795" s="34">
        <v>357.63400000000001</v>
      </c>
      <c r="C4795" s="35">
        <v>200450</v>
      </c>
      <c r="D4795" s="33" t="s">
        <v>277</v>
      </c>
      <c r="E4795" s="34">
        <v>357.79199999999997</v>
      </c>
      <c r="F4795" s="36">
        <v>0.158</v>
      </c>
      <c r="G4795" s="34">
        <v>0.158</v>
      </c>
      <c r="H4795" s="35">
        <v>26.4</v>
      </c>
      <c r="I4795" s="37">
        <f t="shared" si="74"/>
        <v>1.3170366674981291E-4</v>
      </c>
      <c r="J4795" s="33"/>
    </row>
    <row r="4796" spans="1:10">
      <c r="A4796" s="33" t="s">
        <v>184</v>
      </c>
      <c r="B4796" s="34">
        <v>357.63400000000001</v>
      </c>
      <c r="C4796" s="35">
        <v>200450</v>
      </c>
      <c r="D4796" s="33" t="s">
        <v>33</v>
      </c>
      <c r="E4796" s="34">
        <v>357.798</v>
      </c>
      <c r="F4796" s="36">
        <v>0.16400000000000001</v>
      </c>
      <c r="G4796" s="34">
        <v>0.16400000000000001</v>
      </c>
      <c r="H4796" s="35">
        <v>2638.9</v>
      </c>
      <c r="I4796" s="37">
        <f t="shared" si="74"/>
        <v>1.316487902220005E-2</v>
      </c>
      <c r="J4796" s="33" t="s">
        <v>116</v>
      </c>
    </row>
    <row r="4797" spans="1:10">
      <c r="A4797" s="33" t="s">
        <v>184</v>
      </c>
      <c r="B4797" s="34">
        <v>357.63400000000001</v>
      </c>
      <c r="C4797" s="35">
        <v>200450</v>
      </c>
      <c r="D4797" s="33" t="s">
        <v>54</v>
      </c>
      <c r="E4797" s="34">
        <v>357.80700000000002</v>
      </c>
      <c r="F4797" s="36">
        <v>0.17299999999999999</v>
      </c>
      <c r="G4797" s="34">
        <v>0.17299999999999999</v>
      </c>
      <c r="H4797" s="35">
        <v>45.9</v>
      </c>
      <c r="I4797" s="37">
        <f t="shared" si="74"/>
        <v>2.2898478423547019E-4</v>
      </c>
      <c r="J4797" s="33"/>
    </row>
    <row r="4798" spans="1:10">
      <c r="A4798" s="33" t="s">
        <v>184</v>
      </c>
      <c r="B4798" s="34">
        <v>357.63400000000001</v>
      </c>
      <c r="C4798" s="35">
        <v>200450</v>
      </c>
      <c r="D4798" s="33" t="s">
        <v>271</v>
      </c>
      <c r="E4798" s="34">
        <v>357.81599999999997</v>
      </c>
      <c r="F4798" s="36">
        <v>0.182</v>
      </c>
      <c r="G4798" s="34">
        <v>0.182</v>
      </c>
      <c r="H4798" s="35">
        <v>152.6</v>
      </c>
      <c r="I4798" s="37">
        <f t="shared" si="74"/>
        <v>7.6128710401596406E-4</v>
      </c>
      <c r="J4798" s="33"/>
    </row>
    <row r="4799" spans="1:10">
      <c r="A4799" s="33" t="s">
        <v>184</v>
      </c>
      <c r="B4799" s="34">
        <v>357.63400000000001</v>
      </c>
      <c r="C4799" s="35">
        <v>200450</v>
      </c>
      <c r="D4799" s="33" t="s">
        <v>236</v>
      </c>
      <c r="E4799" s="34">
        <v>357.82100000000003</v>
      </c>
      <c r="F4799" s="36">
        <v>0.187</v>
      </c>
      <c r="G4799" s="34">
        <v>0.187</v>
      </c>
      <c r="H4799" s="35">
        <v>2042.7</v>
      </c>
      <c r="I4799" s="37">
        <f t="shared" si="74"/>
        <v>1.0190571214766775E-2</v>
      </c>
      <c r="J4799" s="33"/>
    </row>
    <row r="4800" spans="1:10">
      <c r="A4800" s="33" t="s">
        <v>184</v>
      </c>
      <c r="B4800" s="34">
        <v>361.38299999999998</v>
      </c>
      <c r="C4800" s="35">
        <v>440627.7</v>
      </c>
      <c r="D4800" s="33" t="s">
        <v>239</v>
      </c>
      <c r="E4800" s="34">
        <v>361.26100000000002</v>
      </c>
      <c r="F4800" s="36">
        <v>-0.122</v>
      </c>
      <c r="G4800" s="34">
        <v>0.122</v>
      </c>
      <c r="H4800" s="35">
        <v>9.8000000000000007</v>
      </c>
      <c r="I4800" s="37">
        <f t="shared" si="74"/>
        <v>2.2240998466505853E-5</v>
      </c>
      <c r="J4800" s="33"/>
    </row>
    <row r="4801" spans="1:10">
      <c r="A4801" s="33" t="s">
        <v>184</v>
      </c>
      <c r="B4801" s="34">
        <v>361.38299999999998</v>
      </c>
      <c r="C4801" s="35">
        <v>440627.7</v>
      </c>
      <c r="D4801" s="33" t="s">
        <v>277</v>
      </c>
      <c r="E4801" s="34">
        <v>361.267</v>
      </c>
      <c r="F4801" s="36">
        <v>-0.11600000000000001</v>
      </c>
      <c r="G4801" s="34">
        <v>0.11600000000000001</v>
      </c>
      <c r="H4801" s="35">
        <v>139.1</v>
      </c>
      <c r="I4801" s="37">
        <f t="shared" si="74"/>
        <v>3.1568600884601672E-4</v>
      </c>
      <c r="J4801" s="33"/>
    </row>
    <row r="4802" spans="1:10">
      <c r="A4802" s="33" t="s">
        <v>184</v>
      </c>
      <c r="B4802" s="34">
        <v>361.38299999999998</v>
      </c>
      <c r="C4802" s="35">
        <v>440627.7</v>
      </c>
      <c r="D4802" s="33" t="s">
        <v>165</v>
      </c>
      <c r="E4802" s="34">
        <v>361.27300000000002</v>
      </c>
      <c r="F4802" s="36">
        <v>-0.11</v>
      </c>
      <c r="G4802" s="34">
        <v>0.11</v>
      </c>
      <c r="H4802" s="35">
        <v>213</v>
      </c>
      <c r="I4802" s="37">
        <f t="shared" ref="I4802:I4865" si="75">H4802/C4802</f>
        <v>4.8340129320058632E-4</v>
      </c>
      <c r="J4802" s="33"/>
    </row>
    <row r="4803" spans="1:10">
      <c r="A4803" s="33" t="s">
        <v>184</v>
      </c>
      <c r="B4803" s="34">
        <v>361.38299999999998</v>
      </c>
      <c r="C4803" s="35">
        <v>440627.7</v>
      </c>
      <c r="D4803" s="33" t="s">
        <v>27</v>
      </c>
      <c r="E4803" s="34">
        <v>361.274</v>
      </c>
      <c r="F4803" s="36">
        <v>-0.109</v>
      </c>
      <c r="G4803" s="34">
        <v>0.109</v>
      </c>
      <c r="H4803" s="35">
        <v>243.6</v>
      </c>
      <c r="I4803" s="37">
        <f t="shared" si="75"/>
        <v>5.5284767616743116E-4</v>
      </c>
      <c r="J4803" s="33" t="s">
        <v>116</v>
      </c>
    </row>
    <row r="4804" spans="1:10">
      <c r="A4804" s="33" t="s">
        <v>184</v>
      </c>
      <c r="B4804" s="34">
        <v>361.38299999999998</v>
      </c>
      <c r="C4804" s="35">
        <v>440627.7</v>
      </c>
      <c r="D4804" s="33" t="s">
        <v>292</v>
      </c>
      <c r="E4804" s="34">
        <v>361.28699999999998</v>
      </c>
      <c r="F4804" s="36">
        <v>-9.6000000000000002E-2</v>
      </c>
      <c r="G4804" s="34">
        <v>9.6000000000000002E-2</v>
      </c>
      <c r="H4804" s="35">
        <v>206.7</v>
      </c>
      <c r="I4804" s="37">
        <f t="shared" si="75"/>
        <v>4.6910350847211826E-4</v>
      </c>
      <c r="J4804" s="33"/>
    </row>
    <row r="4805" spans="1:10">
      <c r="A4805" s="33" t="s">
        <v>184</v>
      </c>
      <c r="B4805" s="34">
        <v>361.38299999999998</v>
      </c>
      <c r="C4805" s="35">
        <v>440627.7</v>
      </c>
      <c r="D4805" s="33" t="s">
        <v>54</v>
      </c>
      <c r="E4805" s="34">
        <v>361.29700000000003</v>
      </c>
      <c r="F4805" s="36">
        <v>-8.5999999999999993E-2</v>
      </c>
      <c r="G4805" s="34">
        <v>8.5999999999999993E-2</v>
      </c>
      <c r="H4805" s="35">
        <v>2.4</v>
      </c>
      <c r="I4805" s="37">
        <f t="shared" si="75"/>
        <v>5.4467751346544938E-6</v>
      </c>
      <c r="J4805" s="33"/>
    </row>
    <row r="4806" spans="1:10">
      <c r="A4806" s="33" t="s">
        <v>184</v>
      </c>
      <c r="B4806" s="34">
        <v>361.38299999999998</v>
      </c>
      <c r="C4806" s="35">
        <v>440627.7</v>
      </c>
      <c r="D4806" s="33" t="s">
        <v>109</v>
      </c>
      <c r="E4806" s="34">
        <v>361.303</v>
      </c>
      <c r="F4806" s="36">
        <v>-0.08</v>
      </c>
      <c r="G4806" s="34">
        <v>0.08</v>
      </c>
      <c r="H4806" s="35">
        <v>328.6</v>
      </c>
      <c r="I4806" s="37">
        <f t="shared" si="75"/>
        <v>7.4575429551977787E-4</v>
      </c>
      <c r="J4806" s="33" t="s">
        <v>116</v>
      </c>
    </row>
    <row r="4807" spans="1:10">
      <c r="A4807" s="33" t="s">
        <v>184</v>
      </c>
      <c r="B4807" s="34">
        <v>361.38299999999998</v>
      </c>
      <c r="C4807" s="35">
        <v>440627.7</v>
      </c>
      <c r="D4807" s="33" t="s">
        <v>133</v>
      </c>
      <c r="E4807" s="34">
        <v>361.30700000000002</v>
      </c>
      <c r="F4807" s="36">
        <v>-7.5999999999999998E-2</v>
      </c>
      <c r="G4807" s="34">
        <v>7.5999999999999998E-2</v>
      </c>
      <c r="H4807" s="35">
        <v>20.9</v>
      </c>
      <c r="I4807" s="37">
        <f t="shared" si="75"/>
        <v>4.7432333464282882E-5</v>
      </c>
      <c r="J4807" s="33"/>
    </row>
    <row r="4808" spans="1:10">
      <c r="A4808" s="33" t="s">
        <v>184</v>
      </c>
      <c r="B4808" s="34">
        <v>361.38299999999998</v>
      </c>
      <c r="C4808" s="35">
        <v>440627.7</v>
      </c>
      <c r="D4808" s="33" t="s">
        <v>33</v>
      </c>
      <c r="E4808" s="34">
        <v>361.30799999999999</v>
      </c>
      <c r="F4808" s="36">
        <v>-7.4999999999999997E-2</v>
      </c>
      <c r="G4808" s="34">
        <v>7.4999999999999997E-2</v>
      </c>
      <c r="H4808" s="35">
        <v>575.1</v>
      </c>
      <c r="I4808" s="37">
        <f t="shared" si="75"/>
        <v>1.3051834916415833E-3</v>
      </c>
      <c r="J4808" s="33" t="s">
        <v>116</v>
      </c>
    </row>
    <row r="4809" spans="1:10">
      <c r="A4809" s="33" t="s">
        <v>184</v>
      </c>
      <c r="B4809" s="34">
        <v>361.38299999999998</v>
      </c>
      <c r="C4809" s="35">
        <v>440627.7</v>
      </c>
      <c r="D4809" s="33" t="s">
        <v>97</v>
      </c>
      <c r="E4809" s="34">
        <v>361.30799999999999</v>
      </c>
      <c r="F4809" s="36">
        <v>-7.4999999999999997E-2</v>
      </c>
      <c r="G4809" s="34">
        <v>7.4999999999999997E-2</v>
      </c>
      <c r="H4809" s="35">
        <v>1</v>
      </c>
      <c r="I4809" s="37">
        <f t="shared" si="75"/>
        <v>2.2694896394393723E-6</v>
      </c>
      <c r="J4809" s="33"/>
    </row>
    <row r="4810" spans="1:10">
      <c r="A4810" s="33" t="s">
        <v>184</v>
      </c>
      <c r="B4810" s="34">
        <v>361.38299999999998</v>
      </c>
      <c r="C4810" s="35">
        <v>440627.7</v>
      </c>
      <c r="D4810" s="33" t="s">
        <v>236</v>
      </c>
      <c r="E4810" s="34">
        <v>361.31</v>
      </c>
      <c r="F4810" s="36">
        <v>-7.2999999999999995E-2</v>
      </c>
      <c r="G4810" s="34">
        <v>7.2999999999999995E-2</v>
      </c>
      <c r="H4810" s="35">
        <v>10671.3</v>
      </c>
      <c r="I4810" s="37">
        <f t="shared" si="75"/>
        <v>2.4218404789349373E-2</v>
      </c>
      <c r="J4810" s="33"/>
    </row>
    <row r="4811" spans="1:10">
      <c r="A4811" s="33" t="s">
        <v>184</v>
      </c>
      <c r="B4811" s="34">
        <v>361.38299999999998</v>
      </c>
      <c r="C4811" s="35">
        <v>440627.7</v>
      </c>
      <c r="D4811" s="33" t="s">
        <v>239</v>
      </c>
      <c r="E4811" s="34">
        <v>361.31700000000001</v>
      </c>
      <c r="F4811" s="36">
        <v>-6.6000000000000003E-2</v>
      </c>
      <c r="G4811" s="34">
        <v>6.6000000000000003E-2</v>
      </c>
      <c r="H4811" s="35">
        <v>102</v>
      </c>
      <c r="I4811" s="37">
        <f t="shared" si="75"/>
        <v>2.3148794322281599E-4</v>
      </c>
      <c r="J4811" s="33"/>
    </row>
    <row r="4812" spans="1:10">
      <c r="A4812" s="33" t="s">
        <v>184</v>
      </c>
      <c r="B4812" s="34">
        <v>361.38299999999998</v>
      </c>
      <c r="C4812" s="35">
        <v>440627.7</v>
      </c>
      <c r="D4812" s="33" t="s">
        <v>94</v>
      </c>
      <c r="E4812" s="34">
        <v>361.33100000000002</v>
      </c>
      <c r="F4812" s="36">
        <v>-5.1999999999999998E-2</v>
      </c>
      <c r="G4812" s="34">
        <v>5.1999999999999998E-2</v>
      </c>
      <c r="H4812" s="35">
        <v>1357</v>
      </c>
      <c r="I4812" s="37">
        <f t="shared" si="75"/>
        <v>3.0796974407192282E-3</v>
      </c>
      <c r="J4812" s="33" t="s">
        <v>116</v>
      </c>
    </row>
    <row r="4813" spans="1:10">
      <c r="A4813" s="33" t="s">
        <v>184</v>
      </c>
      <c r="B4813" s="34">
        <v>361.38299999999998</v>
      </c>
      <c r="C4813" s="35">
        <v>440627.7</v>
      </c>
      <c r="D4813" s="33" t="s">
        <v>36</v>
      </c>
      <c r="E4813" s="34">
        <v>361.339</v>
      </c>
      <c r="F4813" s="36">
        <v>-4.3999999999999997E-2</v>
      </c>
      <c r="G4813" s="34">
        <v>4.3999999999999997E-2</v>
      </c>
      <c r="H4813" s="35">
        <v>2100.5</v>
      </c>
      <c r="I4813" s="37">
        <f t="shared" si="75"/>
        <v>4.7670629876424018E-3</v>
      </c>
      <c r="J4813" s="33" t="s">
        <v>116</v>
      </c>
    </row>
    <row r="4814" spans="1:10">
      <c r="A4814" s="33" t="s">
        <v>184</v>
      </c>
      <c r="B4814" s="34">
        <v>361.38299999999998</v>
      </c>
      <c r="C4814" s="35">
        <v>440627.7</v>
      </c>
      <c r="D4814" s="33" t="s">
        <v>237</v>
      </c>
      <c r="E4814" s="34">
        <v>361.34</v>
      </c>
      <c r="F4814" s="36">
        <v>-4.2999999999999997E-2</v>
      </c>
      <c r="G4814" s="34">
        <v>4.2999999999999997E-2</v>
      </c>
      <c r="H4814" s="35">
        <v>3.6</v>
      </c>
      <c r="I4814" s="37">
        <f t="shared" si="75"/>
        <v>8.1701627019817411E-6</v>
      </c>
      <c r="J4814" s="33"/>
    </row>
    <row r="4815" spans="1:10">
      <c r="A4815" s="33" t="s">
        <v>184</v>
      </c>
      <c r="B4815" s="34">
        <v>361.38299999999998</v>
      </c>
      <c r="C4815" s="35">
        <v>440627.7</v>
      </c>
      <c r="D4815" s="33" t="s">
        <v>275</v>
      </c>
      <c r="E4815" s="34">
        <v>361.363</v>
      </c>
      <c r="F4815" s="36">
        <v>-0.02</v>
      </c>
      <c r="G4815" s="34">
        <v>0.02</v>
      </c>
      <c r="H4815" s="35">
        <v>7.8</v>
      </c>
      <c r="I4815" s="37">
        <f t="shared" si="75"/>
        <v>1.7702019187627105E-5</v>
      </c>
      <c r="J4815" s="33"/>
    </row>
    <row r="4816" spans="1:10">
      <c r="A4816" s="33" t="s">
        <v>184</v>
      </c>
      <c r="B4816" s="34">
        <v>361.38299999999998</v>
      </c>
      <c r="C4816" s="35">
        <v>440627.7</v>
      </c>
      <c r="D4816" s="33" t="s">
        <v>201</v>
      </c>
      <c r="E4816" s="34">
        <v>361.36799999999999</v>
      </c>
      <c r="F4816" s="36">
        <v>-1.4999999999999999E-2</v>
      </c>
      <c r="G4816" s="34">
        <v>1.4999999999999999E-2</v>
      </c>
      <c r="H4816" s="35">
        <v>772.2</v>
      </c>
      <c r="I4816" s="37">
        <f t="shared" si="75"/>
        <v>1.7524998995750835E-3</v>
      </c>
      <c r="J4816" s="33"/>
    </row>
    <row r="4817" spans="1:10">
      <c r="A4817" s="33" t="s">
        <v>184</v>
      </c>
      <c r="B4817" s="34">
        <v>361.38299999999998</v>
      </c>
      <c r="C4817" s="35">
        <v>440627.7</v>
      </c>
      <c r="D4817" s="33" t="s">
        <v>25</v>
      </c>
      <c r="E4817" s="34">
        <v>361.36900000000003</v>
      </c>
      <c r="F4817" s="36">
        <v>-1.4E-2</v>
      </c>
      <c r="G4817" s="34">
        <v>1.4E-2</v>
      </c>
      <c r="H4817" s="35">
        <v>950.5</v>
      </c>
      <c r="I4817" s="37">
        <f t="shared" si="75"/>
        <v>2.1571499022871236E-3</v>
      </c>
      <c r="J4817" s="33" t="s">
        <v>116</v>
      </c>
    </row>
    <row r="4818" spans="1:10">
      <c r="A4818" s="33" t="s">
        <v>184</v>
      </c>
      <c r="B4818" s="34">
        <v>361.38299999999998</v>
      </c>
      <c r="C4818" s="35">
        <v>440627.7</v>
      </c>
      <c r="D4818" s="33" t="s">
        <v>286</v>
      </c>
      <c r="E4818" s="34">
        <v>361.37400000000002</v>
      </c>
      <c r="F4818" s="36">
        <v>-8.9999999999999993E-3</v>
      </c>
      <c r="G4818" s="34">
        <v>8.9999999999999993E-3</v>
      </c>
      <c r="H4818" s="35">
        <v>5.5</v>
      </c>
      <c r="I4818" s="37">
        <f t="shared" si="75"/>
        <v>1.2482193016916549E-5</v>
      </c>
      <c r="J4818" s="33"/>
    </row>
    <row r="4819" spans="1:10">
      <c r="A4819" s="33" t="s">
        <v>184</v>
      </c>
      <c r="B4819" s="34">
        <v>361.38299999999998</v>
      </c>
      <c r="C4819" s="35">
        <v>440627.7</v>
      </c>
      <c r="D4819" s="33" t="s">
        <v>274</v>
      </c>
      <c r="E4819" s="34">
        <v>361.38</v>
      </c>
      <c r="F4819" s="36">
        <v>-3.0000000000000001E-3</v>
      </c>
      <c r="G4819" s="34">
        <v>3.0000000000000001E-3</v>
      </c>
      <c r="H4819" s="35">
        <v>201.4</v>
      </c>
      <c r="I4819" s="37">
        <f t="shared" si="75"/>
        <v>4.5707521338308961E-4</v>
      </c>
      <c r="J4819" s="33"/>
    </row>
    <row r="4820" spans="1:10">
      <c r="A4820" s="33" t="s">
        <v>184</v>
      </c>
      <c r="B4820" s="34">
        <v>361.38299999999998</v>
      </c>
      <c r="C4820" s="35">
        <v>440627.7</v>
      </c>
      <c r="D4820" s="33" t="s">
        <v>271</v>
      </c>
      <c r="E4820" s="34">
        <v>361.40100000000001</v>
      </c>
      <c r="F4820" s="36">
        <v>1.7999999999999999E-2</v>
      </c>
      <c r="G4820" s="34">
        <v>1.7999999999999999E-2</v>
      </c>
      <c r="H4820" s="35">
        <v>553.1</v>
      </c>
      <c r="I4820" s="37">
        <f t="shared" si="75"/>
        <v>1.2552547195739169E-3</v>
      </c>
      <c r="J4820" s="33"/>
    </row>
    <row r="4821" spans="1:10">
      <c r="A4821" s="33" t="s">
        <v>184</v>
      </c>
      <c r="B4821" s="34">
        <v>361.38299999999998</v>
      </c>
      <c r="C4821" s="35">
        <v>440627.7</v>
      </c>
      <c r="D4821" s="33" t="s">
        <v>33</v>
      </c>
      <c r="E4821" s="34">
        <v>361.40699999999998</v>
      </c>
      <c r="F4821" s="36">
        <v>2.4E-2</v>
      </c>
      <c r="G4821" s="34">
        <v>2.4E-2</v>
      </c>
      <c r="H4821" s="35">
        <v>780.1</v>
      </c>
      <c r="I4821" s="37">
        <f t="shared" si="75"/>
        <v>1.7704288677266545E-3</v>
      </c>
      <c r="J4821" s="33" t="s">
        <v>116</v>
      </c>
    </row>
    <row r="4822" spans="1:10">
      <c r="A4822" s="33" t="s">
        <v>184</v>
      </c>
      <c r="B4822" s="34">
        <v>361.38299999999998</v>
      </c>
      <c r="C4822" s="35">
        <v>440627.7</v>
      </c>
      <c r="D4822" s="33" t="s">
        <v>282</v>
      </c>
      <c r="E4822" s="34">
        <v>361.41899999999998</v>
      </c>
      <c r="F4822" s="36">
        <v>3.5999999999999997E-2</v>
      </c>
      <c r="G4822" s="34">
        <v>3.5999999999999997E-2</v>
      </c>
      <c r="H4822" s="35">
        <v>4.5999999999999996</v>
      </c>
      <c r="I4822" s="37">
        <f t="shared" si="75"/>
        <v>1.0439652341421112E-5</v>
      </c>
      <c r="J4822" s="33"/>
    </row>
    <row r="4823" spans="1:10">
      <c r="A4823" s="33" t="s">
        <v>184</v>
      </c>
      <c r="B4823" s="34">
        <v>361.38299999999998</v>
      </c>
      <c r="C4823" s="35">
        <v>440627.7</v>
      </c>
      <c r="D4823" s="33" t="s">
        <v>36</v>
      </c>
      <c r="E4823" s="34">
        <v>361.42099999999999</v>
      </c>
      <c r="F4823" s="36">
        <v>3.7999999999999999E-2</v>
      </c>
      <c r="G4823" s="34">
        <v>3.7999999999999999E-2</v>
      </c>
      <c r="H4823" s="35">
        <v>461.1</v>
      </c>
      <c r="I4823" s="37">
        <f t="shared" si="75"/>
        <v>1.0464616727454948E-3</v>
      </c>
      <c r="J4823" s="33" t="s">
        <v>116</v>
      </c>
    </row>
    <row r="4824" spans="1:10">
      <c r="A4824" s="33" t="s">
        <v>184</v>
      </c>
      <c r="B4824" s="34">
        <v>361.38299999999998</v>
      </c>
      <c r="C4824" s="35">
        <v>440627.7</v>
      </c>
      <c r="D4824" s="33" t="s">
        <v>275</v>
      </c>
      <c r="E4824" s="34">
        <v>361.43</v>
      </c>
      <c r="F4824" s="36">
        <v>4.7E-2</v>
      </c>
      <c r="G4824" s="34">
        <v>4.7E-2</v>
      </c>
      <c r="H4824" s="35">
        <v>312.5</v>
      </c>
      <c r="I4824" s="37">
        <f t="shared" si="75"/>
        <v>7.0921551232480391E-4</v>
      </c>
      <c r="J4824" s="33"/>
    </row>
    <row r="4825" spans="1:10">
      <c r="A4825" s="33" t="s">
        <v>184</v>
      </c>
      <c r="B4825" s="34">
        <v>361.38299999999998</v>
      </c>
      <c r="C4825" s="35">
        <v>440627.7</v>
      </c>
      <c r="D4825" s="33" t="s">
        <v>292</v>
      </c>
      <c r="E4825" s="34">
        <v>361.44499999999999</v>
      </c>
      <c r="F4825" s="36">
        <v>6.2E-2</v>
      </c>
      <c r="G4825" s="34">
        <v>6.2E-2</v>
      </c>
      <c r="H4825" s="35">
        <v>12.5</v>
      </c>
      <c r="I4825" s="37">
        <f t="shared" si="75"/>
        <v>2.8368620492992155E-5</v>
      </c>
      <c r="J4825" s="33"/>
    </row>
    <row r="4826" spans="1:10">
      <c r="A4826" s="33" t="s">
        <v>184</v>
      </c>
      <c r="B4826" s="34">
        <v>361.38299999999998</v>
      </c>
      <c r="C4826" s="35">
        <v>440627.7</v>
      </c>
      <c r="D4826" s="33" t="s">
        <v>201</v>
      </c>
      <c r="E4826" s="34">
        <v>361.46300000000002</v>
      </c>
      <c r="F4826" s="36">
        <v>0.08</v>
      </c>
      <c r="G4826" s="34">
        <v>0.08</v>
      </c>
      <c r="H4826" s="35">
        <v>1306.9000000000001</v>
      </c>
      <c r="I4826" s="37">
        <f t="shared" si="75"/>
        <v>2.9659960097833159E-3</v>
      </c>
      <c r="J4826" s="33"/>
    </row>
    <row r="4827" spans="1:10">
      <c r="A4827" s="33" t="s">
        <v>184</v>
      </c>
      <c r="B4827" s="34">
        <v>361.38299999999998</v>
      </c>
      <c r="C4827" s="35">
        <v>440627.7</v>
      </c>
      <c r="D4827" s="33" t="s">
        <v>275</v>
      </c>
      <c r="E4827" s="34">
        <v>361.46800000000002</v>
      </c>
      <c r="F4827" s="36">
        <v>8.5000000000000006E-2</v>
      </c>
      <c r="G4827" s="34">
        <v>8.5000000000000006E-2</v>
      </c>
      <c r="H4827" s="35">
        <v>17.5</v>
      </c>
      <c r="I4827" s="37">
        <f t="shared" si="75"/>
        <v>3.9716068690189018E-5</v>
      </c>
      <c r="J4827" s="33"/>
    </row>
    <row r="4828" spans="1:10">
      <c r="A4828" s="33" t="s">
        <v>184</v>
      </c>
      <c r="B4828" s="34">
        <v>361.38299999999998</v>
      </c>
      <c r="C4828" s="35">
        <v>440627.7</v>
      </c>
      <c r="D4828" s="33" t="s">
        <v>236</v>
      </c>
      <c r="E4828" s="34">
        <v>361.47699999999998</v>
      </c>
      <c r="F4828" s="36">
        <v>9.4E-2</v>
      </c>
      <c r="G4828" s="34">
        <v>9.4E-2</v>
      </c>
      <c r="H4828" s="35">
        <v>11791.7</v>
      </c>
      <c r="I4828" s="37">
        <f t="shared" si="75"/>
        <v>2.676114098137725E-2</v>
      </c>
      <c r="J4828" s="33"/>
    </row>
    <row r="4829" spans="1:10">
      <c r="A4829" s="33" t="s">
        <v>184</v>
      </c>
      <c r="B4829" s="34">
        <v>361.38299999999998</v>
      </c>
      <c r="C4829" s="35">
        <v>440627.7</v>
      </c>
      <c r="D4829" s="33" t="s">
        <v>282</v>
      </c>
      <c r="E4829" s="34">
        <v>361.47800000000001</v>
      </c>
      <c r="F4829" s="36">
        <v>9.5000000000000001E-2</v>
      </c>
      <c r="G4829" s="34">
        <v>9.5000000000000001E-2</v>
      </c>
      <c r="H4829" s="35">
        <v>71.7</v>
      </c>
      <c r="I4829" s="37">
        <f t="shared" si="75"/>
        <v>1.6272240714780301E-4</v>
      </c>
      <c r="J4829" s="33"/>
    </row>
    <row r="4830" spans="1:10">
      <c r="A4830" s="33" t="s">
        <v>184</v>
      </c>
      <c r="B4830" s="34">
        <v>361.38299999999998</v>
      </c>
      <c r="C4830" s="35">
        <v>440627.7</v>
      </c>
      <c r="D4830" s="33" t="s">
        <v>33</v>
      </c>
      <c r="E4830" s="34">
        <v>361.495</v>
      </c>
      <c r="F4830" s="36">
        <v>0.112</v>
      </c>
      <c r="G4830" s="34">
        <v>0.112</v>
      </c>
      <c r="H4830" s="35">
        <v>187.8</v>
      </c>
      <c r="I4830" s="37">
        <f t="shared" si="75"/>
        <v>4.2621015428671416E-4</v>
      </c>
      <c r="J4830" s="33" t="s">
        <v>116</v>
      </c>
    </row>
    <row r="4831" spans="1:10">
      <c r="A4831" s="33" t="s">
        <v>184</v>
      </c>
      <c r="B4831" s="34">
        <v>361.38299999999998</v>
      </c>
      <c r="C4831" s="35">
        <v>440627.7</v>
      </c>
      <c r="D4831" s="33" t="s">
        <v>277</v>
      </c>
      <c r="E4831" s="34">
        <v>361.50099999999998</v>
      </c>
      <c r="F4831" s="36">
        <v>0.11799999999999999</v>
      </c>
      <c r="G4831" s="34">
        <v>0.11799999999999999</v>
      </c>
      <c r="H4831" s="35">
        <v>53</v>
      </c>
      <c r="I4831" s="37">
        <f t="shared" si="75"/>
        <v>1.2028295089028674E-4</v>
      </c>
      <c r="J4831" s="33"/>
    </row>
    <row r="4832" spans="1:10">
      <c r="A4832" s="33" t="s">
        <v>184</v>
      </c>
      <c r="B4832" s="34">
        <v>361.38299999999998</v>
      </c>
      <c r="C4832" s="35">
        <v>440627.7</v>
      </c>
      <c r="D4832" s="33" t="s">
        <v>269</v>
      </c>
      <c r="E4832" s="34">
        <v>361.50400000000002</v>
      </c>
      <c r="F4832" s="36">
        <v>0.121</v>
      </c>
      <c r="G4832" s="34">
        <v>0.121</v>
      </c>
      <c r="H4832" s="35">
        <v>14.1</v>
      </c>
      <c r="I4832" s="37">
        <f t="shared" si="75"/>
        <v>3.1999803916095148E-5</v>
      </c>
      <c r="J4832" s="33"/>
    </row>
    <row r="4833" spans="1:10">
      <c r="A4833" s="33" t="s">
        <v>184</v>
      </c>
      <c r="B4833" s="34">
        <v>361.38299999999998</v>
      </c>
      <c r="C4833" s="35">
        <v>440627.7</v>
      </c>
      <c r="D4833" s="33" t="s">
        <v>271</v>
      </c>
      <c r="E4833" s="34">
        <v>361.51299999999998</v>
      </c>
      <c r="F4833" s="36">
        <v>0.13</v>
      </c>
      <c r="G4833" s="34">
        <v>0.13</v>
      </c>
      <c r="H4833" s="35">
        <v>1585.5</v>
      </c>
      <c r="I4833" s="37">
        <f t="shared" si="75"/>
        <v>3.5982758233311252E-3</v>
      </c>
      <c r="J4833" s="33"/>
    </row>
    <row r="4834" spans="1:10">
      <c r="A4834" s="33" t="s">
        <v>184</v>
      </c>
      <c r="B4834" s="34">
        <v>361.38299999999998</v>
      </c>
      <c r="C4834" s="35">
        <v>440627.7</v>
      </c>
      <c r="D4834" s="33" t="s">
        <v>277</v>
      </c>
      <c r="E4834" s="34">
        <v>361.524</v>
      </c>
      <c r="F4834" s="36">
        <v>0.14099999999999999</v>
      </c>
      <c r="G4834" s="34">
        <v>0.14099999999999999</v>
      </c>
      <c r="H4834" s="35">
        <v>58.7</v>
      </c>
      <c r="I4834" s="37">
        <f t="shared" si="75"/>
        <v>1.3321904183509118E-4</v>
      </c>
      <c r="J4834" s="33"/>
    </row>
    <row r="4835" spans="1:10">
      <c r="A4835" s="33" t="s">
        <v>184</v>
      </c>
      <c r="B4835" s="34">
        <v>361.38299999999998</v>
      </c>
      <c r="C4835" s="35">
        <v>440627.7</v>
      </c>
      <c r="D4835" s="33" t="s">
        <v>97</v>
      </c>
      <c r="E4835" s="34">
        <v>361.524</v>
      </c>
      <c r="F4835" s="36">
        <v>0.14099999999999999</v>
      </c>
      <c r="G4835" s="34">
        <v>0.14099999999999999</v>
      </c>
      <c r="H4835" s="35">
        <v>0.6</v>
      </c>
      <c r="I4835" s="37">
        <f t="shared" si="75"/>
        <v>1.3616937836636234E-6</v>
      </c>
      <c r="J4835" s="33"/>
    </row>
    <row r="4836" spans="1:10">
      <c r="A4836" s="33" t="s">
        <v>184</v>
      </c>
      <c r="B4836" s="34">
        <v>361.38299999999998</v>
      </c>
      <c r="C4836" s="35">
        <v>440627.7</v>
      </c>
      <c r="D4836" s="33" t="s">
        <v>270</v>
      </c>
      <c r="E4836" s="34">
        <v>361.52600000000001</v>
      </c>
      <c r="F4836" s="36">
        <v>0.14299999999999999</v>
      </c>
      <c r="G4836" s="34">
        <v>0.14299999999999999</v>
      </c>
      <c r="H4836" s="35">
        <v>267.60000000000002</v>
      </c>
      <c r="I4836" s="37">
        <f t="shared" si="75"/>
        <v>6.0731542751397613E-4</v>
      </c>
      <c r="J4836" s="33"/>
    </row>
    <row r="4837" spans="1:10">
      <c r="A4837" s="33" t="s">
        <v>184</v>
      </c>
      <c r="B4837" s="34">
        <v>361.38299999999998</v>
      </c>
      <c r="C4837" s="35">
        <v>440627.7</v>
      </c>
      <c r="D4837" s="33" t="s">
        <v>54</v>
      </c>
      <c r="E4837" s="34">
        <v>361.53899999999999</v>
      </c>
      <c r="F4837" s="36">
        <v>0.156</v>
      </c>
      <c r="G4837" s="34">
        <v>0.156</v>
      </c>
      <c r="H4837" s="35">
        <v>8.9</v>
      </c>
      <c r="I4837" s="37">
        <f t="shared" si="75"/>
        <v>2.0198457791010414E-5</v>
      </c>
      <c r="J4837" s="33"/>
    </row>
    <row r="4838" spans="1:10">
      <c r="A4838" s="33" t="s">
        <v>184</v>
      </c>
      <c r="B4838" s="34">
        <v>361.38299999999998</v>
      </c>
      <c r="C4838" s="35">
        <v>440627.7</v>
      </c>
      <c r="D4838" s="33" t="s">
        <v>273</v>
      </c>
      <c r="E4838" s="34">
        <v>361.55</v>
      </c>
      <c r="F4838" s="36">
        <v>0.16700000000000001</v>
      </c>
      <c r="G4838" s="34">
        <v>0.16700000000000001</v>
      </c>
      <c r="H4838" s="35">
        <v>19.2</v>
      </c>
      <c r="I4838" s="37">
        <f t="shared" si="75"/>
        <v>4.357420107723595E-5</v>
      </c>
      <c r="J4838" s="33"/>
    </row>
    <row r="4839" spans="1:10">
      <c r="A4839" s="33" t="s">
        <v>184</v>
      </c>
      <c r="B4839" s="34">
        <v>361.38299999999998</v>
      </c>
      <c r="C4839" s="35">
        <v>440627.7</v>
      </c>
      <c r="D4839" s="33" t="s">
        <v>298</v>
      </c>
      <c r="E4839" s="34">
        <v>361.56</v>
      </c>
      <c r="F4839" s="36">
        <v>0.17699999999999999</v>
      </c>
      <c r="G4839" s="34">
        <v>0.17699999999999999</v>
      </c>
      <c r="H4839" s="35">
        <v>0.3</v>
      </c>
      <c r="I4839" s="37">
        <f t="shared" si="75"/>
        <v>6.8084689183181172E-7</v>
      </c>
      <c r="J4839" s="33"/>
    </row>
    <row r="4840" spans="1:10">
      <c r="A4840" s="33" t="s">
        <v>184</v>
      </c>
      <c r="B4840" s="34">
        <v>363.07400000000001</v>
      </c>
      <c r="C4840" s="35">
        <v>141065</v>
      </c>
      <c r="D4840" s="33" t="s">
        <v>133</v>
      </c>
      <c r="E4840" s="34">
        <v>362.88200000000001</v>
      </c>
      <c r="F4840" s="36">
        <v>-0.192</v>
      </c>
      <c r="G4840" s="34">
        <v>0.192</v>
      </c>
      <c r="H4840" s="35">
        <v>1615.7</v>
      </c>
      <c r="I4840" s="37">
        <f t="shared" si="75"/>
        <v>1.1453585226668558E-2</v>
      </c>
      <c r="J4840" s="33"/>
    </row>
    <row r="4841" spans="1:10">
      <c r="A4841" s="33" t="s">
        <v>184</v>
      </c>
      <c r="B4841" s="34">
        <v>363.07400000000001</v>
      </c>
      <c r="C4841" s="35">
        <v>141065</v>
      </c>
      <c r="D4841" s="33" t="s">
        <v>236</v>
      </c>
      <c r="E4841" s="34">
        <v>362.90199999999999</v>
      </c>
      <c r="F4841" s="36">
        <v>-0.17199999999999999</v>
      </c>
      <c r="G4841" s="34">
        <v>0.17199999999999999</v>
      </c>
      <c r="H4841" s="35">
        <v>52.9</v>
      </c>
      <c r="I4841" s="37">
        <f t="shared" si="75"/>
        <v>3.7500443058164674E-4</v>
      </c>
      <c r="J4841" s="33"/>
    </row>
    <row r="4842" spans="1:10">
      <c r="A4842" s="33" t="s">
        <v>184</v>
      </c>
      <c r="B4842" s="34">
        <v>363.07400000000001</v>
      </c>
      <c r="C4842" s="35">
        <v>141065</v>
      </c>
      <c r="D4842" s="33" t="s">
        <v>279</v>
      </c>
      <c r="E4842" s="34">
        <v>362.92</v>
      </c>
      <c r="F4842" s="36">
        <v>-0.154</v>
      </c>
      <c r="G4842" s="34">
        <v>0.154</v>
      </c>
      <c r="H4842" s="35">
        <v>0.7</v>
      </c>
      <c r="I4842" s="37">
        <f t="shared" si="75"/>
        <v>4.9622514443696168E-6</v>
      </c>
      <c r="J4842" s="33"/>
    </row>
    <row r="4843" spans="1:10">
      <c r="A4843" s="33" t="s">
        <v>184</v>
      </c>
      <c r="B4843" s="34">
        <v>363.07400000000001</v>
      </c>
      <c r="C4843" s="35">
        <v>141065</v>
      </c>
      <c r="D4843" s="33" t="s">
        <v>275</v>
      </c>
      <c r="E4843" s="34">
        <v>362.93</v>
      </c>
      <c r="F4843" s="36">
        <v>-0.14399999999999999</v>
      </c>
      <c r="G4843" s="34">
        <v>0.14399999999999999</v>
      </c>
      <c r="H4843" s="35">
        <v>14.4</v>
      </c>
      <c r="I4843" s="37">
        <f t="shared" si="75"/>
        <v>1.0208060114131783E-4</v>
      </c>
      <c r="J4843" s="33"/>
    </row>
    <row r="4844" spans="1:10">
      <c r="A4844" s="33" t="s">
        <v>184</v>
      </c>
      <c r="B4844" s="34">
        <v>363.07400000000001</v>
      </c>
      <c r="C4844" s="35">
        <v>141065</v>
      </c>
      <c r="D4844" s="33" t="s">
        <v>33</v>
      </c>
      <c r="E4844" s="34">
        <v>362.94200000000001</v>
      </c>
      <c r="F4844" s="36">
        <v>-0.13200000000000001</v>
      </c>
      <c r="G4844" s="34">
        <v>0.13200000000000001</v>
      </c>
      <c r="H4844" s="35">
        <v>1264.7</v>
      </c>
      <c r="I4844" s="37">
        <f t="shared" si="75"/>
        <v>8.9653705738489357E-3</v>
      </c>
      <c r="J4844" s="33" t="s">
        <v>116</v>
      </c>
    </row>
    <row r="4845" spans="1:10">
      <c r="A4845" s="33" t="s">
        <v>184</v>
      </c>
      <c r="B4845" s="34">
        <v>363.07400000000001</v>
      </c>
      <c r="C4845" s="35">
        <v>141065</v>
      </c>
      <c r="D4845" s="33" t="s">
        <v>201</v>
      </c>
      <c r="E4845" s="34">
        <v>362.94400000000002</v>
      </c>
      <c r="F4845" s="36">
        <v>-0.13</v>
      </c>
      <c r="G4845" s="34">
        <v>0.13</v>
      </c>
      <c r="H4845" s="35">
        <v>738</v>
      </c>
      <c r="I4845" s="37">
        <f t="shared" si="75"/>
        <v>5.2316308084925387E-3</v>
      </c>
      <c r="J4845" s="33"/>
    </row>
    <row r="4846" spans="1:10">
      <c r="A4846" s="33" t="s">
        <v>184</v>
      </c>
      <c r="B4846" s="34">
        <v>363.07400000000001</v>
      </c>
      <c r="C4846" s="35">
        <v>141065</v>
      </c>
      <c r="D4846" s="33" t="s">
        <v>36</v>
      </c>
      <c r="E4846" s="34">
        <v>362.95100000000002</v>
      </c>
      <c r="F4846" s="36">
        <v>-0.123</v>
      </c>
      <c r="G4846" s="34">
        <v>0.123</v>
      </c>
      <c r="H4846" s="35">
        <v>425.6</v>
      </c>
      <c r="I4846" s="37">
        <f t="shared" si="75"/>
        <v>3.0170488781767271E-3</v>
      </c>
      <c r="J4846" s="33" t="s">
        <v>116</v>
      </c>
    </row>
    <row r="4847" spans="1:10">
      <c r="A4847" s="33" t="s">
        <v>184</v>
      </c>
      <c r="B4847" s="34">
        <v>363.07400000000001</v>
      </c>
      <c r="C4847" s="35">
        <v>141065</v>
      </c>
      <c r="D4847" s="33" t="s">
        <v>27</v>
      </c>
      <c r="E4847" s="34">
        <v>362.959</v>
      </c>
      <c r="F4847" s="36">
        <v>-0.115</v>
      </c>
      <c r="G4847" s="34">
        <v>0.115</v>
      </c>
      <c r="H4847" s="35">
        <v>156.9</v>
      </c>
      <c r="I4847" s="37">
        <f t="shared" si="75"/>
        <v>1.1122532166022755E-3</v>
      </c>
      <c r="J4847" s="33" t="s">
        <v>116</v>
      </c>
    </row>
    <row r="4848" spans="1:10">
      <c r="A4848" s="33" t="s">
        <v>184</v>
      </c>
      <c r="B4848" s="34">
        <v>363.07400000000001</v>
      </c>
      <c r="C4848" s="35">
        <v>141065</v>
      </c>
      <c r="D4848" s="33" t="s">
        <v>240</v>
      </c>
      <c r="E4848" s="34">
        <v>362.97300000000001</v>
      </c>
      <c r="F4848" s="36">
        <v>-0.10100000000000001</v>
      </c>
      <c r="G4848" s="34">
        <v>0.10100000000000001</v>
      </c>
      <c r="H4848" s="35">
        <v>14.6</v>
      </c>
      <c r="I4848" s="37">
        <f t="shared" si="75"/>
        <v>1.0349838726828057E-4</v>
      </c>
      <c r="J4848" s="33"/>
    </row>
    <row r="4849" spans="1:10">
      <c r="A4849" s="33" t="s">
        <v>184</v>
      </c>
      <c r="B4849" s="34">
        <v>363.07400000000001</v>
      </c>
      <c r="C4849" s="35">
        <v>141065</v>
      </c>
      <c r="D4849" s="33" t="s">
        <v>165</v>
      </c>
      <c r="E4849" s="34">
        <v>362.99</v>
      </c>
      <c r="F4849" s="36">
        <v>-8.4000000000000005E-2</v>
      </c>
      <c r="G4849" s="34">
        <v>8.4000000000000005E-2</v>
      </c>
      <c r="H4849" s="35">
        <v>5</v>
      </c>
      <c r="I4849" s="37">
        <f t="shared" si="75"/>
        <v>3.5444653174068694E-5</v>
      </c>
      <c r="J4849" s="33"/>
    </row>
    <row r="4850" spans="1:10">
      <c r="A4850" s="33" t="s">
        <v>184</v>
      </c>
      <c r="B4850" s="34">
        <v>363.07400000000001</v>
      </c>
      <c r="C4850" s="35">
        <v>141065</v>
      </c>
      <c r="D4850" s="33" t="s">
        <v>27</v>
      </c>
      <c r="E4850" s="34">
        <v>362.99299999999999</v>
      </c>
      <c r="F4850" s="36">
        <v>-8.1000000000000003E-2</v>
      </c>
      <c r="G4850" s="34">
        <v>8.1000000000000003E-2</v>
      </c>
      <c r="H4850" s="35">
        <v>157.80000000000001</v>
      </c>
      <c r="I4850" s="37">
        <f t="shared" si="75"/>
        <v>1.1186332541736079E-3</v>
      </c>
      <c r="J4850" s="33" t="s">
        <v>116</v>
      </c>
    </row>
    <row r="4851" spans="1:10">
      <c r="A4851" s="33" t="s">
        <v>184</v>
      </c>
      <c r="B4851" s="34">
        <v>363.07400000000001</v>
      </c>
      <c r="C4851" s="35">
        <v>141065</v>
      </c>
      <c r="D4851" s="33" t="s">
        <v>236</v>
      </c>
      <c r="E4851" s="34">
        <v>363</v>
      </c>
      <c r="F4851" s="36">
        <v>-7.3999999999999996E-2</v>
      </c>
      <c r="G4851" s="34">
        <v>7.3999999999999996E-2</v>
      </c>
      <c r="H4851" s="35">
        <v>915.3</v>
      </c>
      <c r="I4851" s="37">
        <f t="shared" si="75"/>
        <v>6.488498210045014E-3</v>
      </c>
      <c r="J4851" s="33"/>
    </row>
    <row r="4852" spans="1:10">
      <c r="A4852" s="33" t="s">
        <v>184</v>
      </c>
      <c r="B4852" s="34">
        <v>363.07400000000001</v>
      </c>
      <c r="C4852" s="35">
        <v>141065</v>
      </c>
      <c r="D4852" s="33" t="s">
        <v>33</v>
      </c>
      <c r="E4852" s="34">
        <v>363.024</v>
      </c>
      <c r="F4852" s="36">
        <v>-0.05</v>
      </c>
      <c r="G4852" s="34">
        <v>0.05</v>
      </c>
      <c r="H4852" s="35">
        <v>3349.9</v>
      </c>
      <c r="I4852" s="37">
        <f t="shared" si="75"/>
        <v>2.3747208733562543E-2</v>
      </c>
      <c r="J4852" s="33" t="s">
        <v>116</v>
      </c>
    </row>
    <row r="4853" spans="1:10">
      <c r="A4853" s="33" t="s">
        <v>184</v>
      </c>
      <c r="B4853" s="34">
        <v>363.07400000000001</v>
      </c>
      <c r="C4853" s="35">
        <v>141065</v>
      </c>
      <c r="D4853" s="33" t="s">
        <v>36</v>
      </c>
      <c r="E4853" s="34">
        <v>363.02499999999998</v>
      </c>
      <c r="F4853" s="36">
        <v>-4.9000000000000002E-2</v>
      </c>
      <c r="G4853" s="34">
        <v>4.9000000000000002E-2</v>
      </c>
      <c r="H4853" s="35">
        <v>131.4</v>
      </c>
      <c r="I4853" s="37">
        <f t="shared" si="75"/>
        <v>9.3148548541452522E-4</v>
      </c>
      <c r="J4853" s="33" t="s">
        <v>116</v>
      </c>
    </row>
    <row r="4854" spans="1:10">
      <c r="A4854" s="33" t="s">
        <v>184</v>
      </c>
      <c r="B4854" s="34">
        <v>363.07400000000001</v>
      </c>
      <c r="C4854" s="35">
        <v>141065</v>
      </c>
      <c r="D4854" s="33" t="s">
        <v>97</v>
      </c>
      <c r="E4854" s="34">
        <v>363.03500000000003</v>
      </c>
      <c r="F4854" s="36">
        <v>-3.9E-2</v>
      </c>
      <c r="G4854" s="34">
        <v>3.9E-2</v>
      </c>
      <c r="H4854" s="35">
        <v>2.2000000000000002</v>
      </c>
      <c r="I4854" s="37">
        <f t="shared" si="75"/>
        <v>1.5595647396590227E-5</v>
      </c>
      <c r="J4854" s="33"/>
    </row>
    <row r="4855" spans="1:10">
      <c r="A4855" s="33" t="s">
        <v>184</v>
      </c>
      <c r="B4855" s="34">
        <v>363.07400000000001</v>
      </c>
      <c r="C4855" s="35">
        <v>141065</v>
      </c>
      <c r="D4855" s="33" t="s">
        <v>25</v>
      </c>
      <c r="E4855" s="34">
        <v>363.041</v>
      </c>
      <c r="F4855" s="36">
        <v>-3.3000000000000002E-2</v>
      </c>
      <c r="G4855" s="34">
        <v>3.3000000000000002E-2</v>
      </c>
      <c r="H4855" s="35">
        <v>58.9</v>
      </c>
      <c r="I4855" s="37">
        <f t="shared" si="75"/>
        <v>4.175380143905292E-4</v>
      </c>
      <c r="J4855" s="33" t="s">
        <v>116</v>
      </c>
    </row>
    <row r="4856" spans="1:10">
      <c r="A4856" s="33" t="s">
        <v>184</v>
      </c>
      <c r="B4856" s="34">
        <v>363.07400000000001</v>
      </c>
      <c r="C4856" s="35">
        <v>141065</v>
      </c>
      <c r="D4856" s="33" t="s">
        <v>273</v>
      </c>
      <c r="E4856" s="34">
        <v>363.06099999999998</v>
      </c>
      <c r="F4856" s="36">
        <v>-1.2999999999999999E-2</v>
      </c>
      <c r="G4856" s="34">
        <v>1.2999999999999999E-2</v>
      </c>
      <c r="H4856" s="35">
        <v>8.9</v>
      </c>
      <c r="I4856" s="37">
        <f t="shared" si="75"/>
        <v>6.3091482649842276E-5</v>
      </c>
      <c r="J4856" s="33"/>
    </row>
    <row r="4857" spans="1:10">
      <c r="A4857" s="33" t="s">
        <v>184</v>
      </c>
      <c r="B4857" s="34">
        <v>363.07400000000001</v>
      </c>
      <c r="C4857" s="35">
        <v>141065</v>
      </c>
      <c r="D4857" s="33" t="s">
        <v>288</v>
      </c>
      <c r="E4857" s="34">
        <v>363.06400000000002</v>
      </c>
      <c r="F4857" s="36">
        <v>-0.01</v>
      </c>
      <c r="G4857" s="34">
        <v>0.01</v>
      </c>
      <c r="H4857" s="35">
        <v>3.3</v>
      </c>
      <c r="I4857" s="37">
        <f t="shared" si="75"/>
        <v>2.3393471094885335E-5</v>
      </c>
      <c r="J4857" s="33"/>
    </row>
    <row r="4858" spans="1:10">
      <c r="A4858" s="33" t="s">
        <v>184</v>
      </c>
      <c r="B4858" s="34">
        <v>363.07400000000001</v>
      </c>
      <c r="C4858" s="35">
        <v>141065</v>
      </c>
      <c r="D4858" s="33" t="s">
        <v>270</v>
      </c>
      <c r="E4858" s="34">
        <v>363.06700000000001</v>
      </c>
      <c r="F4858" s="36">
        <v>-7.0000000000000001E-3</v>
      </c>
      <c r="G4858" s="34">
        <v>7.0000000000000001E-3</v>
      </c>
      <c r="H4858" s="35">
        <v>420.8</v>
      </c>
      <c r="I4858" s="37">
        <f t="shared" si="75"/>
        <v>2.9830220111296212E-3</v>
      </c>
      <c r="J4858" s="33"/>
    </row>
    <row r="4859" spans="1:10">
      <c r="A4859" s="33" t="s">
        <v>184</v>
      </c>
      <c r="B4859" s="34">
        <v>363.07400000000001</v>
      </c>
      <c r="C4859" s="35">
        <v>141065</v>
      </c>
      <c r="D4859" s="33" t="s">
        <v>277</v>
      </c>
      <c r="E4859" s="34">
        <v>363.07299999999998</v>
      </c>
      <c r="F4859" s="36">
        <v>-1E-3</v>
      </c>
      <c r="G4859" s="34">
        <v>1E-3</v>
      </c>
      <c r="H4859" s="35">
        <v>187.2</v>
      </c>
      <c r="I4859" s="37">
        <f t="shared" si="75"/>
        <v>1.3270478148371318E-3</v>
      </c>
      <c r="J4859" s="33"/>
    </row>
    <row r="4860" spans="1:10">
      <c r="A4860" s="33" t="s">
        <v>184</v>
      </c>
      <c r="B4860" s="34">
        <v>363.07400000000001</v>
      </c>
      <c r="C4860" s="35">
        <v>141065</v>
      </c>
      <c r="D4860" s="33" t="s">
        <v>238</v>
      </c>
      <c r="E4860" s="34">
        <v>363.07499999999999</v>
      </c>
      <c r="F4860" s="36">
        <v>1E-3</v>
      </c>
      <c r="G4860" s="34">
        <v>1E-3</v>
      </c>
      <c r="H4860" s="35">
        <v>58.1</v>
      </c>
      <c r="I4860" s="37">
        <f t="shared" si="75"/>
        <v>4.1186686988267819E-4</v>
      </c>
      <c r="J4860" s="33"/>
    </row>
    <row r="4861" spans="1:10">
      <c r="A4861" s="33" t="s">
        <v>184</v>
      </c>
      <c r="B4861" s="34">
        <v>363.07400000000001</v>
      </c>
      <c r="C4861" s="35">
        <v>141065</v>
      </c>
      <c r="D4861" s="33" t="s">
        <v>269</v>
      </c>
      <c r="E4861" s="34">
        <v>363.08699999999999</v>
      </c>
      <c r="F4861" s="36">
        <v>1.2999999999999999E-2</v>
      </c>
      <c r="G4861" s="34">
        <v>1.2999999999999999E-2</v>
      </c>
      <c r="H4861" s="35">
        <v>26.8</v>
      </c>
      <c r="I4861" s="37">
        <f t="shared" si="75"/>
        <v>1.8998334101300818E-4</v>
      </c>
      <c r="J4861" s="33"/>
    </row>
    <row r="4862" spans="1:10">
      <c r="A4862" s="33" t="s">
        <v>184</v>
      </c>
      <c r="B4862" s="34">
        <v>363.07400000000001</v>
      </c>
      <c r="C4862" s="35">
        <v>141065</v>
      </c>
      <c r="D4862" s="33" t="s">
        <v>36</v>
      </c>
      <c r="E4862" s="34">
        <v>363.08800000000002</v>
      </c>
      <c r="F4862" s="36">
        <v>1.4E-2</v>
      </c>
      <c r="G4862" s="34">
        <v>1.4E-2</v>
      </c>
      <c r="H4862" s="35">
        <v>177.6</v>
      </c>
      <c r="I4862" s="37">
        <f t="shared" si="75"/>
        <v>1.25899408074292E-3</v>
      </c>
      <c r="J4862" s="33" t="s">
        <v>116</v>
      </c>
    </row>
    <row r="4863" spans="1:10">
      <c r="A4863" s="33" t="s">
        <v>184</v>
      </c>
      <c r="B4863" s="34">
        <v>363.07400000000001</v>
      </c>
      <c r="C4863" s="35">
        <v>141065</v>
      </c>
      <c r="D4863" s="33" t="s">
        <v>173</v>
      </c>
      <c r="E4863" s="34">
        <v>363.09699999999998</v>
      </c>
      <c r="F4863" s="36">
        <v>2.3E-2</v>
      </c>
      <c r="G4863" s="34">
        <v>2.3E-2</v>
      </c>
      <c r="H4863" s="35">
        <v>290.7</v>
      </c>
      <c r="I4863" s="37">
        <f t="shared" si="75"/>
        <v>2.0607521355403536E-3</v>
      </c>
      <c r="J4863" s="33"/>
    </row>
    <row r="4864" spans="1:10">
      <c r="A4864" s="33" t="s">
        <v>184</v>
      </c>
      <c r="B4864" s="34">
        <v>363.07400000000001</v>
      </c>
      <c r="C4864" s="35">
        <v>141065</v>
      </c>
      <c r="D4864" s="33" t="s">
        <v>27</v>
      </c>
      <c r="E4864" s="34">
        <v>363.101</v>
      </c>
      <c r="F4864" s="36">
        <v>2.7E-2</v>
      </c>
      <c r="G4864" s="34">
        <v>2.7E-2</v>
      </c>
      <c r="H4864" s="35">
        <v>388</v>
      </c>
      <c r="I4864" s="37">
        <f t="shared" si="75"/>
        <v>2.7505050863077304E-3</v>
      </c>
      <c r="J4864" s="33" t="s">
        <v>116</v>
      </c>
    </row>
    <row r="4865" spans="1:10">
      <c r="A4865" s="33" t="s">
        <v>184</v>
      </c>
      <c r="B4865" s="34">
        <v>363.07400000000001</v>
      </c>
      <c r="C4865" s="35">
        <v>141065</v>
      </c>
      <c r="D4865" s="33" t="s">
        <v>270</v>
      </c>
      <c r="E4865" s="34">
        <v>363.11399999999998</v>
      </c>
      <c r="F4865" s="36">
        <v>0.04</v>
      </c>
      <c r="G4865" s="34">
        <v>0.04</v>
      </c>
      <c r="H4865" s="35">
        <v>1980.8</v>
      </c>
      <c r="I4865" s="37">
        <f t="shared" si="75"/>
        <v>1.4041753801439053E-2</v>
      </c>
      <c r="J4865" s="33"/>
    </row>
    <row r="4866" spans="1:10">
      <c r="A4866" s="33" t="s">
        <v>184</v>
      </c>
      <c r="B4866" s="34">
        <v>363.07400000000001</v>
      </c>
      <c r="C4866" s="35">
        <v>141065</v>
      </c>
      <c r="D4866" s="33" t="s">
        <v>25</v>
      </c>
      <c r="E4866" s="34">
        <v>363.12</v>
      </c>
      <c r="F4866" s="36">
        <v>4.5999999999999999E-2</v>
      </c>
      <c r="G4866" s="34">
        <v>4.5999999999999999E-2</v>
      </c>
      <c r="H4866" s="35">
        <v>280.3</v>
      </c>
      <c r="I4866" s="37">
        <f t="shared" ref="I4866:I4929" si="76">H4866/C4866</f>
        <v>1.9870272569382911E-3</v>
      </c>
      <c r="J4866" s="33" t="s">
        <v>116</v>
      </c>
    </row>
    <row r="4867" spans="1:10">
      <c r="A4867" s="33" t="s">
        <v>184</v>
      </c>
      <c r="B4867" s="34">
        <v>363.07400000000001</v>
      </c>
      <c r="C4867" s="35">
        <v>141065</v>
      </c>
      <c r="D4867" s="33" t="s">
        <v>54</v>
      </c>
      <c r="E4867" s="34">
        <v>363.13799999999998</v>
      </c>
      <c r="F4867" s="36">
        <v>6.4000000000000001E-2</v>
      </c>
      <c r="G4867" s="34">
        <v>6.4000000000000001E-2</v>
      </c>
      <c r="H4867" s="35">
        <v>23.9</v>
      </c>
      <c r="I4867" s="37">
        <f t="shared" si="76"/>
        <v>1.6942544217204834E-4</v>
      </c>
      <c r="J4867" s="33"/>
    </row>
    <row r="4868" spans="1:10">
      <c r="A4868" s="33" t="s">
        <v>184</v>
      </c>
      <c r="B4868" s="34">
        <v>363.07400000000001</v>
      </c>
      <c r="C4868" s="35">
        <v>141065</v>
      </c>
      <c r="D4868" s="33" t="s">
        <v>239</v>
      </c>
      <c r="E4868" s="34">
        <v>363.14600000000002</v>
      </c>
      <c r="F4868" s="36">
        <v>7.1999999999999995E-2</v>
      </c>
      <c r="G4868" s="34">
        <v>7.1999999999999995E-2</v>
      </c>
      <c r="H4868" s="35">
        <v>168.8</v>
      </c>
      <c r="I4868" s="37">
        <f t="shared" si="76"/>
        <v>1.1966114911565592E-3</v>
      </c>
      <c r="J4868" s="33"/>
    </row>
    <row r="4869" spans="1:10">
      <c r="A4869" s="33" t="s">
        <v>184</v>
      </c>
      <c r="B4869" s="34">
        <v>363.07400000000001</v>
      </c>
      <c r="C4869" s="35">
        <v>141065</v>
      </c>
      <c r="D4869" s="33" t="s">
        <v>97</v>
      </c>
      <c r="E4869" s="34">
        <v>363.14600000000002</v>
      </c>
      <c r="F4869" s="36">
        <v>7.1999999999999995E-2</v>
      </c>
      <c r="G4869" s="34">
        <v>7.1999999999999995E-2</v>
      </c>
      <c r="H4869" s="35">
        <v>465.5</v>
      </c>
      <c r="I4869" s="37">
        <f t="shared" si="76"/>
        <v>3.2998972105057951E-3</v>
      </c>
      <c r="J4869" s="33"/>
    </row>
    <row r="4870" spans="1:10">
      <c r="A4870" s="33" t="s">
        <v>184</v>
      </c>
      <c r="B4870" s="34">
        <v>363.07400000000001</v>
      </c>
      <c r="C4870" s="35">
        <v>141065</v>
      </c>
      <c r="D4870" s="33" t="s">
        <v>193</v>
      </c>
      <c r="E4870" s="34">
        <v>363.17099999999999</v>
      </c>
      <c r="F4870" s="36">
        <v>9.7000000000000003E-2</v>
      </c>
      <c r="G4870" s="34">
        <v>9.7000000000000003E-2</v>
      </c>
      <c r="H4870" s="35">
        <v>64.7</v>
      </c>
      <c r="I4870" s="37">
        <f t="shared" si="76"/>
        <v>4.5865381207244889E-4</v>
      </c>
      <c r="J4870" s="33"/>
    </row>
    <row r="4871" spans="1:10">
      <c r="A4871" s="33" t="s">
        <v>184</v>
      </c>
      <c r="B4871" s="34">
        <v>363.07400000000001</v>
      </c>
      <c r="C4871" s="35">
        <v>141065</v>
      </c>
      <c r="D4871" s="33" t="s">
        <v>268</v>
      </c>
      <c r="E4871" s="34">
        <v>363.17099999999999</v>
      </c>
      <c r="F4871" s="36">
        <v>9.7000000000000003E-2</v>
      </c>
      <c r="G4871" s="34">
        <v>9.7000000000000003E-2</v>
      </c>
      <c r="H4871" s="35">
        <v>8.6999999999999993</v>
      </c>
      <c r="I4871" s="37">
        <f t="shared" si="76"/>
        <v>6.1673696522879525E-5</v>
      </c>
      <c r="J4871" s="33"/>
    </row>
    <row r="4872" spans="1:10">
      <c r="A4872" s="33" t="s">
        <v>184</v>
      </c>
      <c r="B4872" s="34">
        <v>363.07400000000001</v>
      </c>
      <c r="C4872" s="35">
        <v>141065</v>
      </c>
      <c r="D4872" s="33" t="s">
        <v>94</v>
      </c>
      <c r="E4872" s="34">
        <v>363.17599999999999</v>
      </c>
      <c r="F4872" s="36">
        <v>0.10199999999999999</v>
      </c>
      <c r="G4872" s="34">
        <v>0.10199999999999999</v>
      </c>
      <c r="H4872" s="35">
        <v>929.4</v>
      </c>
      <c r="I4872" s="37">
        <f t="shared" si="76"/>
        <v>6.588452131995888E-3</v>
      </c>
      <c r="J4872" s="33" t="s">
        <v>116</v>
      </c>
    </row>
    <row r="4873" spans="1:10">
      <c r="A4873" s="33" t="s">
        <v>184</v>
      </c>
      <c r="B4873" s="34">
        <v>363.07400000000001</v>
      </c>
      <c r="C4873" s="35">
        <v>141065</v>
      </c>
      <c r="D4873" s="33" t="s">
        <v>54</v>
      </c>
      <c r="E4873" s="34">
        <v>363.19400000000002</v>
      </c>
      <c r="F4873" s="36">
        <v>0.12</v>
      </c>
      <c r="G4873" s="34">
        <v>0.12</v>
      </c>
      <c r="H4873" s="35">
        <v>1.6</v>
      </c>
      <c r="I4873" s="37">
        <f t="shared" si="76"/>
        <v>1.1342289015701981E-5</v>
      </c>
      <c r="J4873" s="33"/>
    </row>
    <row r="4874" spans="1:10">
      <c r="A4874" s="33" t="s">
        <v>184</v>
      </c>
      <c r="B4874" s="34">
        <v>363.07400000000001</v>
      </c>
      <c r="C4874" s="35">
        <v>141065</v>
      </c>
      <c r="D4874" s="33" t="s">
        <v>274</v>
      </c>
      <c r="E4874" s="34">
        <v>363.19499999999999</v>
      </c>
      <c r="F4874" s="36">
        <v>0.121</v>
      </c>
      <c r="G4874" s="34">
        <v>0.121</v>
      </c>
      <c r="H4874" s="35">
        <v>18.100000000000001</v>
      </c>
      <c r="I4874" s="37">
        <f t="shared" si="76"/>
        <v>1.2830964449012867E-4</v>
      </c>
      <c r="J4874" s="33"/>
    </row>
    <row r="4875" spans="1:10">
      <c r="A4875" s="33" t="s">
        <v>184</v>
      </c>
      <c r="B4875" s="34">
        <v>363.07400000000001</v>
      </c>
      <c r="C4875" s="35">
        <v>141065</v>
      </c>
      <c r="D4875" s="33" t="s">
        <v>84</v>
      </c>
      <c r="E4875" s="34">
        <v>363.209</v>
      </c>
      <c r="F4875" s="36">
        <v>0.13500000000000001</v>
      </c>
      <c r="G4875" s="34">
        <v>0.13500000000000001</v>
      </c>
      <c r="H4875" s="35">
        <v>1014.6</v>
      </c>
      <c r="I4875" s="37">
        <f t="shared" si="76"/>
        <v>7.1924290220820187E-3</v>
      </c>
      <c r="J4875" s="33" t="s">
        <v>116</v>
      </c>
    </row>
    <row r="4876" spans="1:10">
      <c r="A4876" s="33" t="s">
        <v>184</v>
      </c>
      <c r="B4876" s="34">
        <v>363.07400000000001</v>
      </c>
      <c r="C4876" s="35">
        <v>141065</v>
      </c>
      <c r="D4876" s="33" t="s">
        <v>25</v>
      </c>
      <c r="E4876" s="34">
        <v>363.209</v>
      </c>
      <c r="F4876" s="36">
        <v>0.13500000000000001</v>
      </c>
      <c r="G4876" s="34">
        <v>0.13500000000000001</v>
      </c>
      <c r="H4876" s="35">
        <v>171.1</v>
      </c>
      <c r="I4876" s="37">
        <f t="shared" si="76"/>
        <v>1.2129160316166306E-3</v>
      </c>
      <c r="J4876" s="33" t="s">
        <v>116</v>
      </c>
    </row>
    <row r="4877" spans="1:10">
      <c r="A4877" s="33" t="s">
        <v>184</v>
      </c>
      <c r="B4877" s="34">
        <v>363.07400000000001</v>
      </c>
      <c r="C4877" s="35">
        <v>141065</v>
      </c>
      <c r="D4877" s="33" t="s">
        <v>280</v>
      </c>
      <c r="E4877" s="34">
        <v>363.21800000000002</v>
      </c>
      <c r="F4877" s="36">
        <v>0.14399999999999999</v>
      </c>
      <c r="G4877" s="34">
        <v>0.14399999999999999</v>
      </c>
      <c r="H4877" s="35">
        <v>115.8</v>
      </c>
      <c r="I4877" s="37">
        <f t="shared" si="76"/>
        <v>8.2089816751143086E-4</v>
      </c>
      <c r="J4877" s="33"/>
    </row>
    <row r="4878" spans="1:10">
      <c r="A4878" s="33" t="s">
        <v>184</v>
      </c>
      <c r="B4878" s="34">
        <v>363.07400000000001</v>
      </c>
      <c r="C4878" s="35">
        <v>141065</v>
      </c>
      <c r="D4878" s="33" t="s">
        <v>271</v>
      </c>
      <c r="E4878" s="34">
        <v>363.26299999999998</v>
      </c>
      <c r="F4878" s="36">
        <v>0.189</v>
      </c>
      <c r="G4878" s="34">
        <v>0.189</v>
      </c>
      <c r="H4878" s="35">
        <v>107.4</v>
      </c>
      <c r="I4878" s="37">
        <f t="shared" si="76"/>
        <v>7.613511501789955E-4</v>
      </c>
      <c r="J4878" s="33"/>
    </row>
    <row r="4879" spans="1:10">
      <c r="A4879" s="33" t="s">
        <v>184</v>
      </c>
      <c r="B4879" s="34">
        <v>363.07400000000001</v>
      </c>
      <c r="C4879" s="35">
        <v>141065</v>
      </c>
      <c r="D4879" s="33" t="s">
        <v>287</v>
      </c>
      <c r="E4879" s="34">
        <v>363.26799999999997</v>
      </c>
      <c r="F4879" s="36">
        <v>0.19400000000000001</v>
      </c>
      <c r="G4879" s="34">
        <v>0.19400000000000001</v>
      </c>
      <c r="H4879" s="35">
        <v>2526</v>
      </c>
      <c r="I4879" s="37">
        <f t="shared" si="76"/>
        <v>1.7906638783539503E-2</v>
      </c>
      <c r="J4879" s="33"/>
    </row>
    <row r="4880" spans="1:10">
      <c r="A4880" s="33" t="s">
        <v>184</v>
      </c>
      <c r="B4880" s="34">
        <v>364.27800000000002</v>
      </c>
      <c r="C4880" s="35">
        <v>101270</v>
      </c>
      <c r="D4880" s="33" t="s">
        <v>271</v>
      </c>
      <c r="E4880" s="34">
        <v>364.11099999999999</v>
      </c>
      <c r="F4880" s="36">
        <v>-0.16700000000000001</v>
      </c>
      <c r="G4880" s="34">
        <v>0.16700000000000001</v>
      </c>
      <c r="H4880" s="35">
        <v>50.3</v>
      </c>
      <c r="I4880" s="37">
        <f t="shared" si="76"/>
        <v>4.9669201145452751E-4</v>
      </c>
      <c r="J4880" s="33"/>
    </row>
    <row r="4881" spans="1:10">
      <c r="A4881" s="33" t="s">
        <v>184</v>
      </c>
      <c r="B4881" s="34">
        <v>364.27800000000002</v>
      </c>
      <c r="C4881" s="35">
        <v>101270</v>
      </c>
      <c r="D4881" s="33" t="s">
        <v>84</v>
      </c>
      <c r="E4881" s="34">
        <v>364.12700000000001</v>
      </c>
      <c r="F4881" s="36">
        <v>-0.151</v>
      </c>
      <c r="G4881" s="34">
        <v>0.151</v>
      </c>
      <c r="H4881" s="35">
        <v>614.4</v>
      </c>
      <c r="I4881" s="37">
        <f t="shared" si="76"/>
        <v>6.0669497383232943E-3</v>
      </c>
      <c r="J4881" s="33" t="s">
        <v>116</v>
      </c>
    </row>
    <row r="4882" spans="1:10">
      <c r="A4882" s="33" t="s">
        <v>184</v>
      </c>
      <c r="B4882" s="34">
        <v>364.27800000000002</v>
      </c>
      <c r="C4882" s="35">
        <v>101270</v>
      </c>
      <c r="D4882" s="33" t="s">
        <v>273</v>
      </c>
      <c r="E4882" s="34">
        <v>364.12900000000002</v>
      </c>
      <c r="F4882" s="36">
        <v>-0.14899999999999999</v>
      </c>
      <c r="G4882" s="34">
        <v>0.14899999999999999</v>
      </c>
      <c r="H4882" s="35">
        <v>49.4</v>
      </c>
      <c r="I4882" s="37">
        <f t="shared" si="76"/>
        <v>4.8780487804878049E-4</v>
      </c>
      <c r="J4882" s="33"/>
    </row>
    <row r="4883" spans="1:10">
      <c r="A4883" s="33" t="s">
        <v>184</v>
      </c>
      <c r="B4883" s="34">
        <v>364.27800000000002</v>
      </c>
      <c r="C4883" s="35">
        <v>101270</v>
      </c>
      <c r="D4883" s="33" t="s">
        <v>237</v>
      </c>
      <c r="E4883" s="34">
        <v>364.13299999999998</v>
      </c>
      <c r="F4883" s="36">
        <v>-0.14499999999999999</v>
      </c>
      <c r="G4883" s="34">
        <v>0.14499999999999999</v>
      </c>
      <c r="H4883" s="35">
        <v>1423.9</v>
      </c>
      <c r="I4883" s="37">
        <f t="shared" si="76"/>
        <v>1.406043250715908E-2</v>
      </c>
      <c r="J4883" s="33"/>
    </row>
    <row r="4884" spans="1:10">
      <c r="A4884" s="33" t="s">
        <v>184</v>
      </c>
      <c r="B4884" s="34">
        <v>364.27800000000002</v>
      </c>
      <c r="C4884" s="35">
        <v>101270</v>
      </c>
      <c r="D4884" s="33" t="s">
        <v>36</v>
      </c>
      <c r="E4884" s="34">
        <v>364.14</v>
      </c>
      <c r="F4884" s="36">
        <v>-0.13800000000000001</v>
      </c>
      <c r="G4884" s="34">
        <v>0.13800000000000001</v>
      </c>
      <c r="H4884" s="35">
        <v>554.20000000000005</v>
      </c>
      <c r="I4884" s="37">
        <f t="shared" si="76"/>
        <v>5.4724992594055496E-3</v>
      </c>
      <c r="J4884" s="33" t="s">
        <v>116</v>
      </c>
    </row>
    <row r="4885" spans="1:10">
      <c r="A4885" s="33" t="s">
        <v>184</v>
      </c>
      <c r="B4885" s="34">
        <v>364.27800000000002</v>
      </c>
      <c r="C4885" s="35">
        <v>101270</v>
      </c>
      <c r="D4885" s="33" t="s">
        <v>240</v>
      </c>
      <c r="E4885" s="34">
        <v>364.14</v>
      </c>
      <c r="F4885" s="36">
        <v>-0.13800000000000001</v>
      </c>
      <c r="G4885" s="34">
        <v>0.13800000000000001</v>
      </c>
      <c r="H4885" s="35">
        <v>1.9</v>
      </c>
      <c r="I4885" s="37">
        <f t="shared" si="76"/>
        <v>1.876172607879925E-5</v>
      </c>
      <c r="J4885" s="33"/>
    </row>
    <row r="4886" spans="1:10">
      <c r="A4886" s="33" t="s">
        <v>184</v>
      </c>
      <c r="B4886" s="34">
        <v>364.27800000000002</v>
      </c>
      <c r="C4886" s="35">
        <v>101270</v>
      </c>
      <c r="D4886" s="33" t="s">
        <v>274</v>
      </c>
      <c r="E4886" s="34">
        <v>364.14100000000002</v>
      </c>
      <c r="F4886" s="36">
        <v>-0.13700000000000001</v>
      </c>
      <c r="G4886" s="34">
        <v>0.13700000000000001</v>
      </c>
      <c r="H4886" s="35">
        <v>163.1</v>
      </c>
      <c r="I4886" s="37">
        <f t="shared" si="76"/>
        <v>1.6105460649748198E-3</v>
      </c>
      <c r="J4886" s="33"/>
    </row>
    <row r="4887" spans="1:10">
      <c r="A4887" s="33" t="s">
        <v>184</v>
      </c>
      <c r="B4887" s="34">
        <v>364.27800000000002</v>
      </c>
      <c r="C4887" s="35">
        <v>101270</v>
      </c>
      <c r="D4887" s="33" t="s">
        <v>193</v>
      </c>
      <c r="E4887" s="34">
        <v>364.14699999999999</v>
      </c>
      <c r="F4887" s="36">
        <v>-0.13100000000000001</v>
      </c>
      <c r="G4887" s="34">
        <v>0.13100000000000001</v>
      </c>
      <c r="H4887" s="35">
        <v>11.4</v>
      </c>
      <c r="I4887" s="37">
        <f t="shared" si="76"/>
        <v>1.125703564727955E-4</v>
      </c>
      <c r="J4887" s="33"/>
    </row>
    <row r="4888" spans="1:10">
      <c r="A4888" s="33" t="s">
        <v>184</v>
      </c>
      <c r="B4888" s="34">
        <v>364.27800000000002</v>
      </c>
      <c r="C4888" s="35">
        <v>101270</v>
      </c>
      <c r="D4888" s="33" t="s">
        <v>27</v>
      </c>
      <c r="E4888" s="34">
        <v>364.15</v>
      </c>
      <c r="F4888" s="36">
        <v>-0.128</v>
      </c>
      <c r="G4888" s="34">
        <v>0.128</v>
      </c>
      <c r="H4888" s="35">
        <v>260.7</v>
      </c>
      <c r="I4888" s="37">
        <f t="shared" si="76"/>
        <v>2.5743063098647178E-3</v>
      </c>
      <c r="J4888" s="33" t="s">
        <v>116</v>
      </c>
    </row>
    <row r="4889" spans="1:10">
      <c r="A4889" s="33" t="s">
        <v>184</v>
      </c>
      <c r="B4889" s="34">
        <v>364.27800000000002</v>
      </c>
      <c r="C4889" s="35">
        <v>101270</v>
      </c>
      <c r="D4889" s="33" t="s">
        <v>201</v>
      </c>
      <c r="E4889" s="34">
        <v>364.16500000000002</v>
      </c>
      <c r="F4889" s="36">
        <v>-0.113</v>
      </c>
      <c r="G4889" s="34">
        <v>0.113</v>
      </c>
      <c r="H4889" s="35">
        <v>1269.4000000000001</v>
      </c>
      <c r="I4889" s="37">
        <f t="shared" si="76"/>
        <v>1.2534807939172511E-2</v>
      </c>
      <c r="J4889" s="33"/>
    </row>
    <row r="4890" spans="1:10">
      <c r="A4890" s="33" t="s">
        <v>184</v>
      </c>
      <c r="B4890" s="34">
        <v>364.27800000000002</v>
      </c>
      <c r="C4890" s="35">
        <v>101270</v>
      </c>
      <c r="D4890" s="33" t="s">
        <v>133</v>
      </c>
      <c r="E4890" s="34">
        <v>364.166</v>
      </c>
      <c r="F4890" s="36">
        <v>-0.112</v>
      </c>
      <c r="G4890" s="34">
        <v>0.112</v>
      </c>
      <c r="H4890" s="35">
        <v>192.9</v>
      </c>
      <c r="I4890" s="37">
        <f t="shared" si="76"/>
        <v>1.9048089266317765E-3</v>
      </c>
      <c r="J4890" s="33"/>
    </row>
    <row r="4891" spans="1:10">
      <c r="A4891" s="33" t="s">
        <v>184</v>
      </c>
      <c r="B4891" s="34">
        <v>364.27800000000002</v>
      </c>
      <c r="C4891" s="35">
        <v>101270</v>
      </c>
      <c r="D4891" s="33" t="s">
        <v>25</v>
      </c>
      <c r="E4891" s="34">
        <v>364.173</v>
      </c>
      <c r="F4891" s="36">
        <v>-0.105</v>
      </c>
      <c r="G4891" s="34">
        <v>0.105</v>
      </c>
      <c r="H4891" s="35">
        <v>109</v>
      </c>
      <c r="I4891" s="37">
        <f t="shared" si="76"/>
        <v>1.0763306013626937E-3</v>
      </c>
      <c r="J4891" s="33" t="s">
        <v>116</v>
      </c>
    </row>
    <row r="4892" spans="1:10">
      <c r="A4892" s="33" t="s">
        <v>184</v>
      </c>
      <c r="B4892" s="34">
        <v>364.27800000000002</v>
      </c>
      <c r="C4892" s="35">
        <v>101270</v>
      </c>
      <c r="D4892" s="33" t="s">
        <v>54</v>
      </c>
      <c r="E4892" s="34">
        <v>364.178</v>
      </c>
      <c r="F4892" s="36">
        <v>-0.1</v>
      </c>
      <c r="G4892" s="34">
        <v>0.1</v>
      </c>
      <c r="H4892" s="35">
        <v>7.6</v>
      </c>
      <c r="I4892" s="37">
        <f t="shared" si="76"/>
        <v>7.5046904315196998E-5</v>
      </c>
      <c r="J4892" s="33"/>
    </row>
    <row r="4893" spans="1:10">
      <c r="A4893" s="33" t="s">
        <v>184</v>
      </c>
      <c r="B4893" s="34">
        <v>364.27800000000002</v>
      </c>
      <c r="C4893" s="35">
        <v>101270</v>
      </c>
      <c r="D4893" s="33" t="s">
        <v>239</v>
      </c>
      <c r="E4893" s="34">
        <v>364.18400000000003</v>
      </c>
      <c r="F4893" s="36">
        <v>-9.4E-2</v>
      </c>
      <c r="G4893" s="34">
        <v>9.4E-2</v>
      </c>
      <c r="H4893" s="35">
        <v>38</v>
      </c>
      <c r="I4893" s="37">
        <f t="shared" si="76"/>
        <v>3.7523452157598499E-4</v>
      </c>
      <c r="J4893" s="33"/>
    </row>
    <row r="4894" spans="1:10">
      <c r="A4894" s="33" t="s">
        <v>184</v>
      </c>
      <c r="B4894" s="34">
        <v>364.27800000000002</v>
      </c>
      <c r="C4894" s="35">
        <v>101270</v>
      </c>
      <c r="D4894" s="33" t="s">
        <v>271</v>
      </c>
      <c r="E4894" s="34">
        <v>364.185</v>
      </c>
      <c r="F4894" s="36">
        <v>-9.2999999999999999E-2</v>
      </c>
      <c r="G4894" s="34">
        <v>9.2999999999999999E-2</v>
      </c>
      <c r="H4894" s="35">
        <v>60.8</v>
      </c>
      <c r="I4894" s="37">
        <f t="shared" si="76"/>
        <v>6.0037523452157598E-4</v>
      </c>
      <c r="J4894" s="33"/>
    </row>
    <row r="4895" spans="1:10">
      <c r="A4895" s="33" t="s">
        <v>184</v>
      </c>
      <c r="B4895" s="34">
        <v>364.27800000000002</v>
      </c>
      <c r="C4895" s="35">
        <v>101270</v>
      </c>
      <c r="D4895" s="33" t="s">
        <v>193</v>
      </c>
      <c r="E4895" s="34">
        <v>364.20499999999998</v>
      </c>
      <c r="F4895" s="36">
        <v>-7.2999999999999995E-2</v>
      </c>
      <c r="G4895" s="34">
        <v>7.2999999999999995E-2</v>
      </c>
      <c r="H4895" s="35">
        <v>35.299999999999997</v>
      </c>
      <c r="I4895" s="37">
        <f t="shared" si="76"/>
        <v>3.4857312135874393E-4</v>
      </c>
      <c r="J4895" s="33"/>
    </row>
    <row r="4896" spans="1:10">
      <c r="A4896" s="33" t="s">
        <v>184</v>
      </c>
      <c r="B4896" s="34">
        <v>364.27800000000002</v>
      </c>
      <c r="C4896" s="35">
        <v>101270</v>
      </c>
      <c r="D4896" s="33" t="s">
        <v>275</v>
      </c>
      <c r="E4896" s="34">
        <v>364.22</v>
      </c>
      <c r="F4896" s="36">
        <v>-5.8000000000000003E-2</v>
      </c>
      <c r="G4896" s="34">
        <v>5.8000000000000003E-2</v>
      </c>
      <c r="H4896" s="35">
        <v>4.2</v>
      </c>
      <c r="I4896" s="37">
        <f t="shared" si="76"/>
        <v>4.1473289226819395E-5</v>
      </c>
      <c r="J4896" s="33"/>
    </row>
    <row r="4897" spans="1:10">
      <c r="A4897" s="33" t="s">
        <v>184</v>
      </c>
      <c r="B4897" s="34">
        <v>364.27800000000002</v>
      </c>
      <c r="C4897" s="35">
        <v>101270</v>
      </c>
      <c r="D4897" s="33" t="s">
        <v>277</v>
      </c>
      <c r="E4897" s="34">
        <v>364.24299999999999</v>
      </c>
      <c r="F4897" s="36">
        <v>-3.5000000000000003E-2</v>
      </c>
      <c r="G4897" s="34">
        <v>3.5000000000000003E-2</v>
      </c>
      <c r="H4897" s="35">
        <v>53.8</v>
      </c>
      <c r="I4897" s="37">
        <f t="shared" si="76"/>
        <v>5.3125308581021026E-4</v>
      </c>
      <c r="J4897" s="33"/>
    </row>
    <row r="4898" spans="1:10">
      <c r="A4898" s="33" t="s">
        <v>184</v>
      </c>
      <c r="B4898" s="34">
        <v>364.27800000000002</v>
      </c>
      <c r="C4898" s="35">
        <v>101270</v>
      </c>
      <c r="D4898" s="33" t="s">
        <v>237</v>
      </c>
      <c r="E4898" s="34">
        <v>364.267</v>
      </c>
      <c r="F4898" s="36">
        <v>-1.0999999999999999E-2</v>
      </c>
      <c r="G4898" s="34">
        <v>1.0999999999999999E-2</v>
      </c>
      <c r="H4898" s="35">
        <v>1275</v>
      </c>
      <c r="I4898" s="37">
        <f t="shared" si="76"/>
        <v>1.2590105658141601E-2</v>
      </c>
      <c r="J4898" s="33"/>
    </row>
    <row r="4899" spans="1:10">
      <c r="A4899" s="33" t="s">
        <v>184</v>
      </c>
      <c r="B4899" s="34">
        <v>364.27800000000002</v>
      </c>
      <c r="C4899" s="35">
        <v>101270</v>
      </c>
      <c r="D4899" s="33" t="s">
        <v>270</v>
      </c>
      <c r="E4899" s="34">
        <v>364.274</v>
      </c>
      <c r="F4899" s="36">
        <v>-4.0000000000000001E-3</v>
      </c>
      <c r="G4899" s="34">
        <v>4.0000000000000001E-3</v>
      </c>
      <c r="H4899" s="35">
        <v>410.1</v>
      </c>
      <c r="I4899" s="37">
        <f t="shared" si="76"/>
        <v>4.0495704552187227E-3</v>
      </c>
      <c r="J4899" s="33"/>
    </row>
    <row r="4900" spans="1:10">
      <c r="A4900" s="33" t="s">
        <v>184</v>
      </c>
      <c r="B4900" s="34">
        <v>364.27800000000002</v>
      </c>
      <c r="C4900" s="35">
        <v>101270</v>
      </c>
      <c r="D4900" s="33" t="s">
        <v>25</v>
      </c>
      <c r="E4900" s="34">
        <v>364.28199999999998</v>
      </c>
      <c r="F4900" s="36">
        <v>4.0000000000000001E-3</v>
      </c>
      <c r="G4900" s="34">
        <v>4.0000000000000001E-3</v>
      </c>
      <c r="H4900" s="35">
        <v>69.5</v>
      </c>
      <c r="I4900" s="37">
        <f t="shared" si="76"/>
        <v>6.8628419077713043E-4</v>
      </c>
      <c r="J4900" s="33" t="s">
        <v>116</v>
      </c>
    </row>
    <row r="4901" spans="1:10">
      <c r="A4901" s="33" t="s">
        <v>184</v>
      </c>
      <c r="B4901" s="34">
        <v>364.27800000000002</v>
      </c>
      <c r="C4901" s="35">
        <v>101270</v>
      </c>
      <c r="D4901" s="33" t="s">
        <v>85</v>
      </c>
      <c r="E4901" s="34">
        <v>364.31200000000001</v>
      </c>
      <c r="F4901" s="36">
        <v>3.4000000000000002E-2</v>
      </c>
      <c r="G4901" s="34">
        <v>3.4000000000000002E-2</v>
      </c>
      <c r="H4901" s="35">
        <v>13.5</v>
      </c>
      <c r="I4901" s="37">
        <f t="shared" si="76"/>
        <v>1.333070010862052E-4</v>
      </c>
      <c r="J4901" s="33" t="s">
        <v>116</v>
      </c>
    </row>
    <row r="4902" spans="1:10">
      <c r="A4902" s="33" t="s">
        <v>184</v>
      </c>
      <c r="B4902" s="34">
        <v>364.27800000000002</v>
      </c>
      <c r="C4902" s="35">
        <v>101270</v>
      </c>
      <c r="D4902" s="33" t="s">
        <v>294</v>
      </c>
      <c r="E4902" s="34">
        <v>364.31700000000001</v>
      </c>
      <c r="F4902" s="36">
        <v>3.9E-2</v>
      </c>
      <c r="G4902" s="34">
        <v>3.9E-2</v>
      </c>
      <c r="H4902" s="35">
        <v>28.4</v>
      </c>
      <c r="I4902" s="37">
        <f t="shared" si="76"/>
        <v>2.8043843191468353E-4</v>
      </c>
      <c r="J4902" s="33"/>
    </row>
    <row r="4903" spans="1:10">
      <c r="A4903" s="33" t="s">
        <v>184</v>
      </c>
      <c r="B4903" s="34">
        <v>364.27800000000002</v>
      </c>
      <c r="C4903" s="35">
        <v>101270</v>
      </c>
      <c r="D4903" s="33" t="s">
        <v>54</v>
      </c>
      <c r="E4903" s="34">
        <v>364.31799999999998</v>
      </c>
      <c r="F4903" s="36">
        <v>0.04</v>
      </c>
      <c r="G4903" s="34">
        <v>0.04</v>
      </c>
      <c r="H4903" s="35">
        <v>14.8</v>
      </c>
      <c r="I4903" s="37">
        <f t="shared" si="76"/>
        <v>1.4614397156117312E-4</v>
      </c>
      <c r="J4903" s="33"/>
    </row>
    <row r="4904" spans="1:10">
      <c r="A4904" s="33" t="s">
        <v>184</v>
      </c>
      <c r="B4904" s="34">
        <v>364.27800000000002</v>
      </c>
      <c r="C4904" s="35">
        <v>101270</v>
      </c>
      <c r="D4904" s="33" t="s">
        <v>239</v>
      </c>
      <c r="E4904" s="34">
        <v>364.32</v>
      </c>
      <c r="F4904" s="36">
        <v>4.2000000000000003E-2</v>
      </c>
      <c r="G4904" s="34">
        <v>4.2000000000000003E-2</v>
      </c>
      <c r="H4904" s="35">
        <v>6.5</v>
      </c>
      <c r="I4904" s="37">
        <f t="shared" si="76"/>
        <v>6.4184852374839541E-5</v>
      </c>
      <c r="J4904" s="33"/>
    </row>
    <row r="4905" spans="1:10">
      <c r="A4905" s="33" t="s">
        <v>184</v>
      </c>
      <c r="B4905" s="34">
        <v>364.27800000000002</v>
      </c>
      <c r="C4905" s="35">
        <v>101270</v>
      </c>
      <c r="D4905" s="33" t="s">
        <v>273</v>
      </c>
      <c r="E4905" s="34">
        <v>364.334</v>
      </c>
      <c r="F4905" s="36">
        <v>5.6000000000000001E-2</v>
      </c>
      <c r="G4905" s="34">
        <v>5.6000000000000001E-2</v>
      </c>
      <c r="H4905" s="35">
        <v>4.7</v>
      </c>
      <c r="I4905" s="37">
        <f t="shared" si="76"/>
        <v>4.6410585563345511E-5</v>
      </c>
      <c r="J4905" s="33"/>
    </row>
    <row r="4906" spans="1:10">
      <c r="A4906" s="33" t="s">
        <v>184</v>
      </c>
      <c r="B4906" s="34">
        <v>364.27800000000002</v>
      </c>
      <c r="C4906" s="35">
        <v>101270</v>
      </c>
      <c r="D4906" s="33" t="s">
        <v>109</v>
      </c>
      <c r="E4906" s="34">
        <v>364.36500000000001</v>
      </c>
      <c r="F4906" s="36">
        <v>8.6999999999999994E-2</v>
      </c>
      <c r="G4906" s="34">
        <v>8.6999999999999994E-2</v>
      </c>
      <c r="H4906" s="35">
        <v>2638.4</v>
      </c>
      <c r="I4906" s="37">
        <f t="shared" si="76"/>
        <v>2.6053125308581022E-2</v>
      </c>
      <c r="J4906" s="33" t="s">
        <v>116</v>
      </c>
    </row>
    <row r="4907" spans="1:10">
      <c r="A4907" s="33" t="s">
        <v>184</v>
      </c>
      <c r="B4907" s="34">
        <v>364.27800000000002</v>
      </c>
      <c r="C4907" s="35">
        <v>101270</v>
      </c>
      <c r="D4907" s="33" t="s">
        <v>97</v>
      </c>
      <c r="E4907" s="34">
        <v>364.36799999999999</v>
      </c>
      <c r="F4907" s="36">
        <v>0.09</v>
      </c>
      <c r="G4907" s="34">
        <v>0.09</v>
      </c>
      <c r="H4907" s="35">
        <v>3.9</v>
      </c>
      <c r="I4907" s="37">
        <f t="shared" si="76"/>
        <v>3.8510911424903725E-5</v>
      </c>
      <c r="J4907" s="33"/>
    </row>
    <row r="4908" spans="1:10">
      <c r="A4908" s="33" t="s">
        <v>184</v>
      </c>
      <c r="B4908" s="34">
        <v>364.27800000000002</v>
      </c>
      <c r="C4908" s="35">
        <v>101270</v>
      </c>
      <c r="D4908" s="33" t="s">
        <v>273</v>
      </c>
      <c r="E4908" s="34">
        <v>364.37</v>
      </c>
      <c r="F4908" s="36">
        <v>9.1999999999999998E-2</v>
      </c>
      <c r="G4908" s="34">
        <v>9.1999999999999998E-2</v>
      </c>
      <c r="H4908" s="35">
        <v>9.6999999999999993</v>
      </c>
      <c r="I4908" s="37">
        <f t="shared" si="76"/>
        <v>9.5783548928606686E-5</v>
      </c>
      <c r="J4908" s="33"/>
    </row>
    <row r="4909" spans="1:10">
      <c r="A4909" s="33" t="s">
        <v>184</v>
      </c>
      <c r="B4909" s="34">
        <v>364.27800000000002</v>
      </c>
      <c r="C4909" s="35">
        <v>101270</v>
      </c>
      <c r="D4909" s="33" t="s">
        <v>184</v>
      </c>
      <c r="E4909" s="34">
        <v>364.37599999999998</v>
      </c>
      <c r="F4909" s="36">
        <v>9.8000000000000004E-2</v>
      </c>
      <c r="G4909" s="34">
        <v>9.8000000000000004E-2</v>
      </c>
      <c r="H4909" s="35">
        <v>89.9</v>
      </c>
      <c r="I4909" s="37">
        <f t="shared" si="76"/>
        <v>8.8772588130739611E-4</v>
      </c>
      <c r="J4909" s="33"/>
    </row>
    <row r="4910" spans="1:10">
      <c r="A4910" s="33" t="s">
        <v>184</v>
      </c>
      <c r="B4910" s="34">
        <v>364.27800000000002</v>
      </c>
      <c r="C4910" s="35">
        <v>101270</v>
      </c>
      <c r="D4910" s="33" t="s">
        <v>33</v>
      </c>
      <c r="E4910" s="34">
        <v>364.39299999999997</v>
      </c>
      <c r="F4910" s="36">
        <v>0.115</v>
      </c>
      <c r="G4910" s="34">
        <v>0.115</v>
      </c>
      <c r="H4910" s="35">
        <v>406</v>
      </c>
      <c r="I4910" s="37">
        <f t="shared" si="76"/>
        <v>4.0090846252592077E-3</v>
      </c>
      <c r="J4910" s="33" t="s">
        <v>116</v>
      </c>
    </row>
    <row r="4911" spans="1:10">
      <c r="A4911" s="33" t="s">
        <v>184</v>
      </c>
      <c r="B4911" s="34">
        <v>364.27800000000002</v>
      </c>
      <c r="C4911" s="35">
        <v>101270</v>
      </c>
      <c r="D4911" s="33" t="s">
        <v>271</v>
      </c>
      <c r="E4911" s="34">
        <v>364.435</v>
      </c>
      <c r="F4911" s="36">
        <v>0.157</v>
      </c>
      <c r="G4911" s="34">
        <v>0.157</v>
      </c>
      <c r="H4911" s="35">
        <v>78.2</v>
      </c>
      <c r="I4911" s="37">
        <f t="shared" si="76"/>
        <v>7.7219314703268498E-4</v>
      </c>
      <c r="J4911" s="33"/>
    </row>
    <row r="4912" spans="1:10">
      <c r="A4912" s="33" t="s">
        <v>184</v>
      </c>
      <c r="B4912" s="34">
        <v>364.27800000000002</v>
      </c>
      <c r="C4912" s="35">
        <v>101270</v>
      </c>
      <c r="D4912" s="33" t="s">
        <v>269</v>
      </c>
      <c r="E4912" s="34">
        <v>364.435</v>
      </c>
      <c r="F4912" s="36">
        <v>0.157</v>
      </c>
      <c r="G4912" s="34">
        <v>0.157</v>
      </c>
      <c r="H4912" s="35">
        <v>3073.1</v>
      </c>
      <c r="I4912" s="37">
        <f t="shared" si="76"/>
        <v>3.0345610743556826E-2</v>
      </c>
      <c r="J4912" s="33"/>
    </row>
    <row r="4913" spans="1:10">
      <c r="A4913" s="33" t="s">
        <v>184</v>
      </c>
      <c r="B4913" s="34">
        <v>364.27800000000002</v>
      </c>
      <c r="C4913" s="35">
        <v>101270</v>
      </c>
      <c r="D4913" s="33" t="s">
        <v>238</v>
      </c>
      <c r="E4913" s="34">
        <v>364.44099999999997</v>
      </c>
      <c r="F4913" s="36">
        <v>0.16300000000000001</v>
      </c>
      <c r="G4913" s="34">
        <v>0.16300000000000001</v>
      </c>
      <c r="H4913" s="35">
        <v>112.8</v>
      </c>
      <c r="I4913" s="37">
        <f t="shared" si="76"/>
        <v>1.1138540535202922E-3</v>
      </c>
      <c r="J4913" s="33"/>
    </row>
    <row r="4914" spans="1:10">
      <c r="A4914" s="33" t="s">
        <v>184</v>
      </c>
      <c r="B4914" s="34">
        <v>364.27800000000002</v>
      </c>
      <c r="C4914" s="35">
        <v>101270</v>
      </c>
      <c r="D4914" s="33" t="s">
        <v>271</v>
      </c>
      <c r="E4914" s="34">
        <v>364.471</v>
      </c>
      <c r="F4914" s="36">
        <v>0.193</v>
      </c>
      <c r="G4914" s="34">
        <v>0.193</v>
      </c>
      <c r="H4914" s="35">
        <v>38.799999999999997</v>
      </c>
      <c r="I4914" s="37">
        <f t="shared" si="76"/>
        <v>3.8313419571442674E-4</v>
      </c>
      <c r="J4914" s="33"/>
    </row>
    <row r="4915" spans="1:10">
      <c r="A4915" s="33" t="s">
        <v>184</v>
      </c>
      <c r="B4915" s="34">
        <v>364.27800000000002</v>
      </c>
      <c r="C4915" s="35">
        <v>101270</v>
      </c>
      <c r="D4915" s="33" t="s">
        <v>278</v>
      </c>
      <c r="E4915" s="34">
        <v>364.471</v>
      </c>
      <c r="F4915" s="36">
        <v>0.193</v>
      </c>
      <c r="G4915" s="34">
        <v>0.193</v>
      </c>
      <c r="H4915" s="35">
        <v>4.7</v>
      </c>
      <c r="I4915" s="37">
        <f t="shared" si="76"/>
        <v>4.6410585563345511E-5</v>
      </c>
      <c r="J4915" s="33"/>
    </row>
    <row r="4916" spans="1:10">
      <c r="A4916" s="33" t="s">
        <v>184</v>
      </c>
      <c r="B4916" s="34">
        <v>364.27800000000002</v>
      </c>
      <c r="C4916" s="35">
        <v>101270</v>
      </c>
      <c r="D4916" s="33" t="s">
        <v>239</v>
      </c>
      <c r="E4916" s="34">
        <v>364.47500000000002</v>
      </c>
      <c r="F4916" s="36">
        <v>0.19700000000000001</v>
      </c>
      <c r="G4916" s="34">
        <v>0.19700000000000001</v>
      </c>
      <c r="H4916" s="35">
        <v>11.9</v>
      </c>
      <c r="I4916" s="37">
        <f t="shared" si="76"/>
        <v>1.1750765280932161E-4</v>
      </c>
      <c r="J4916" s="33"/>
    </row>
    <row r="4917" spans="1:10">
      <c r="A4917" s="33" t="s">
        <v>184</v>
      </c>
      <c r="B4917" s="34">
        <v>364.27800000000002</v>
      </c>
      <c r="C4917" s="35">
        <v>101270</v>
      </c>
      <c r="D4917" s="33" t="s">
        <v>273</v>
      </c>
      <c r="E4917" s="34">
        <v>364.49299999999999</v>
      </c>
      <c r="F4917" s="36">
        <v>0.215</v>
      </c>
      <c r="G4917" s="34">
        <v>0.215</v>
      </c>
      <c r="H4917" s="35">
        <v>11.1</v>
      </c>
      <c r="I4917" s="37">
        <f t="shared" si="76"/>
        <v>1.0960797867087982E-4</v>
      </c>
      <c r="J4917" s="33"/>
    </row>
    <row r="4918" spans="1:10">
      <c r="A4918" s="33" t="s">
        <v>184</v>
      </c>
      <c r="B4918" s="34">
        <v>364.27800000000002</v>
      </c>
      <c r="C4918" s="35">
        <v>101270</v>
      </c>
      <c r="D4918" s="33" t="s">
        <v>277</v>
      </c>
      <c r="E4918" s="34">
        <v>364.50299999999999</v>
      </c>
      <c r="F4918" s="36">
        <v>0.22500000000000001</v>
      </c>
      <c r="G4918" s="34">
        <v>0.22500000000000001</v>
      </c>
      <c r="H4918" s="35">
        <v>133.69999999999999</v>
      </c>
      <c r="I4918" s="37">
        <f t="shared" si="76"/>
        <v>1.320233040387084E-3</v>
      </c>
      <c r="J4918" s="33"/>
    </row>
    <row r="4919" spans="1:10">
      <c r="A4919" s="33" t="s">
        <v>184</v>
      </c>
      <c r="B4919" s="34">
        <v>364.27800000000002</v>
      </c>
      <c r="C4919" s="35">
        <v>101270</v>
      </c>
      <c r="D4919" s="33" t="s">
        <v>97</v>
      </c>
      <c r="E4919" s="34">
        <v>364.50599999999997</v>
      </c>
      <c r="F4919" s="36">
        <v>0.22800000000000001</v>
      </c>
      <c r="G4919" s="34">
        <v>0.22800000000000001</v>
      </c>
      <c r="H4919" s="35">
        <v>1.3</v>
      </c>
      <c r="I4919" s="37">
        <f t="shared" si="76"/>
        <v>1.2836970474967908E-5</v>
      </c>
      <c r="J4919" s="33"/>
    </row>
    <row r="4920" spans="1:10">
      <c r="A4920" s="33" t="s">
        <v>184</v>
      </c>
      <c r="B4920" s="34">
        <v>424.68200000000002</v>
      </c>
      <c r="C4920" s="35">
        <v>263845</v>
      </c>
      <c r="D4920" s="33" t="s">
        <v>277</v>
      </c>
      <c r="E4920" s="34">
        <v>424.43700000000001</v>
      </c>
      <c r="F4920" s="36">
        <v>-0.245</v>
      </c>
      <c r="G4920" s="34">
        <v>0.245</v>
      </c>
      <c r="H4920" s="35">
        <v>779.7</v>
      </c>
      <c r="I4920" s="37">
        <f t="shared" si="76"/>
        <v>2.9551441187060587E-3</v>
      </c>
      <c r="J4920" s="33"/>
    </row>
    <row r="4921" spans="1:10">
      <c r="A4921" s="33" t="s">
        <v>184</v>
      </c>
      <c r="B4921" s="34">
        <v>424.68200000000002</v>
      </c>
      <c r="C4921" s="35">
        <v>263845</v>
      </c>
      <c r="D4921" s="33" t="s">
        <v>282</v>
      </c>
      <c r="E4921" s="34">
        <v>424.44400000000002</v>
      </c>
      <c r="F4921" s="36">
        <v>-0.23799999999999999</v>
      </c>
      <c r="G4921" s="34">
        <v>0.23799999999999999</v>
      </c>
      <c r="H4921" s="35">
        <v>4.4000000000000004</v>
      </c>
      <c r="I4921" s="37">
        <f t="shared" si="76"/>
        <v>1.6676457768765756E-5</v>
      </c>
      <c r="J4921" s="33"/>
    </row>
    <row r="4922" spans="1:10">
      <c r="A4922" s="33" t="s">
        <v>184</v>
      </c>
      <c r="B4922" s="34">
        <v>424.68200000000002</v>
      </c>
      <c r="C4922" s="35">
        <v>263845</v>
      </c>
      <c r="D4922" s="33" t="s">
        <v>270</v>
      </c>
      <c r="E4922" s="34">
        <v>424.47</v>
      </c>
      <c r="F4922" s="36">
        <v>-0.21199999999999999</v>
      </c>
      <c r="G4922" s="34">
        <v>0.21199999999999999</v>
      </c>
      <c r="H4922" s="35">
        <v>2544.6999999999998</v>
      </c>
      <c r="I4922" s="37">
        <f t="shared" si="76"/>
        <v>9.644677746404139E-3</v>
      </c>
      <c r="J4922" s="33"/>
    </row>
    <row r="4923" spans="1:10">
      <c r="A4923" s="33" t="s">
        <v>184</v>
      </c>
      <c r="B4923" s="34">
        <v>424.68200000000002</v>
      </c>
      <c r="C4923" s="35">
        <v>263845</v>
      </c>
      <c r="D4923" s="33" t="s">
        <v>280</v>
      </c>
      <c r="E4923" s="34">
        <v>424.47399999999999</v>
      </c>
      <c r="F4923" s="36">
        <v>-0.20799999999999999</v>
      </c>
      <c r="G4923" s="34">
        <v>0.20799999999999999</v>
      </c>
      <c r="H4923" s="35">
        <v>17.2</v>
      </c>
      <c r="I4923" s="37">
        <f t="shared" si="76"/>
        <v>6.5189789459720661E-5</v>
      </c>
      <c r="J4923" s="33"/>
    </row>
    <row r="4924" spans="1:10">
      <c r="A4924" s="33" t="s">
        <v>184</v>
      </c>
      <c r="B4924" s="34">
        <v>424.68200000000002</v>
      </c>
      <c r="C4924" s="35">
        <v>263845</v>
      </c>
      <c r="D4924" s="33" t="s">
        <v>275</v>
      </c>
      <c r="E4924" s="34">
        <v>424.47500000000002</v>
      </c>
      <c r="F4924" s="36">
        <v>-0.20699999999999999</v>
      </c>
      <c r="G4924" s="34">
        <v>0.20699999999999999</v>
      </c>
      <c r="H4924" s="35">
        <v>46.1</v>
      </c>
      <c r="I4924" s="37">
        <f t="shared" si="76"/>
        <v>1.7472379616820482E-4</v>
      </c>
      <c r="J4924" s="33"/>
    </row>
    <row r="4925" spans="1:10">
      <c r="A4925" s="33" t="s">
        <v>184</v>
      </c>
      <c r="B4925" s="34">
        <v>424.68200000000002</v>
      </c>
      <c r="C4925" s="35">
        <v>263845</v>
      </c>
      <c r="D4925" s="33" t="s">
        <v>268</v>
      </c>
      <c r="E4925" s="34">
        <v>424.483</v>
      </c>
      <c r="F4925" s="36">
        <v>-0.19900000000000001</v>
      </c>
      <c r="G4925" s="34">
        <v>0.19900000000000001</v>
      </c>
      <c r="H4925" s="35">
        <v>14.1</v>
      </c>
      <c r="I4925" s="37">
        <f t="shared" si="76"/>
        <v>5.3440466940817524E-5</v>
      </c>
      <c r="J4925" s="33"/>
    </row>
    <row r="4926" spans="1:10">
      <c r="A4926" s="33" t="s">
        <v>184</v>
      </c>
      <c r="B4926" s="34">
        <v>424.68200000000002</v>
      </c>
      <c r="C4926" s="35">
        <v>263845</v>
      </c>
      <c r="D4926" s="33" t="s">
        <v>25</v>
      </c>
      <c r="E4926" s="34">
        <v>424.49200000000002</v>
      </c>
      <c r="F4926" s="36">
        <v>-0.19</v>
      </c>
      <c r="G4926" s="34">
        <v>0.19</v>
      </c>
      <c r="H4926" s="35">
        <v>131</v>
      </c>
      <c r="I4926" s="37">
        <f t="shared" si="76"/>
        <v>4.9650362902461671E-4</v>
      </c>
      <c r="J4926" s="33" t="s">
        <v>116</v>
      </c>
    </row>
    <row r="4927" spans="1:10">
      <c r="A4927" s="33" t="s">
        <v>184</v>
      </c>
      <c r="B4927" s="34">
        <v>424.68200000000002</v>
      </c>
      <c r="C4927" s="35">
        <v>263845</v>
      </c>
      <c r="D4927" s="33" t="s">
        <v>300</v>
      </c>
      <c r="E4927" s="34">
        <v>424.49200000000002</v>
      </c>
      <c r="F4927" s="36">
        <v>-0.19</v>
      </c>
      <c r="G4927" s="34">
        <v>0.19</v>
      </c>
      <c r="H4927" s="35">
        <v>6.1</v>
      </c>
      <c r="I4927" s="37">
        <f t="shared" si="76"/>
        <v>2.3119634633970701E-5</v>
      </c>
      <c r="J4927" s="33"/>
    </row>
    <row r="4928" spans="1:10">
      <c r="A4928" s="33" t="s">
        <v>184</v>
      </c>
      <c r="B4928" s="34">
        <v>424.68200000000002</v>
      </c>
      <c r="C4928" s="35">
        <v>263845</v>
      </c>
      <c r="D4928" s="33" t="s">
        <v>27</v>
      </c>
      <c r="E4928" s="34">
        <v>424.49599999999998</v>
      </c>
      <c r="F4928" s="36">
        <v>-0.186</v>
      </c>
      <c r="G4928" s="34">
        <v>0.186</v>
      </c>
      <c r="H4928" s="35">
        <v>113.7</v>
      </c>
      <c r="I4928" s="37">
        <f t="shared" si="76"/>
        <v>4.3093482916106051E-4</v>
      </c>
      <c r="J4928" s="33" t="s">
        <v>116</v>
      </c>
    </row>
    <row r="4929" spans="1:10">
      <c r="A4929" s="33" t="s">
        <v>184</v>
      </c>
      <c r="B4929" s="34">
        <v>424.68200000000002</v>
      </c>
      <c r="C4929" s="35">
        <v>263845</v>
      </c>
      <c r="D4929" s="33" t="s">
        <v>270</v>
      </c>
      <c r="E4929" s="34">
        <v>424.517</v>
      </c>
      <c r="F4929" s="36">
        <v>-0.16500000000000001</v>
      </c>
      <c r="G4929" s="34">
        <v>0.16500000000000001</v>
      </c>
      <c r="H4929" s="35">
        <v>546.1</v>
      </c>
      <c r="I4929" s="37">
        <f t="shared" si="76"/>
        <v>2.0697758153461311E-3</v>
      </c>
      <c r="J4929" s="33"/>
    </row>
    <row r="4930" spans="1:10">
      <c r="A4930" s="33" t="s">
        <v>184</v>
      </c>
      <c r="B4930" s="34">
        <v>424.68200000000002</v>
      </c>
      <c r="C4930" s="35">
        <v>263845</v>
      </c>
      <c r="D4930" s="33" t="s">
        <v>193</v>
      </c>
      <c r="E4930" s="34">
        <v>424.53399999999999</v>
      </c>
      <c r="F4930" s="36">
        <v>-0.14799999999999999</v>
      </c>
      <c r="G4930" s="34">
        <v>0.14799999999999999</v>
      </c>
      <c r="H4930" s="35">
        <v>11.4</v>
      </c>
      <c r="I4930" s="37">
        <f t="shared" ref="I4930:I4993" si="77">H4930/C4930</f>
        <v>4.3207186037256721E-5</v>
      </c>
      <c r="J4930" s="33"/>
    </row>
    <row r="4931" spans="1:10">
      <c r="A4931" s="33" t="s">
        <v>184</v>
      </c>
      <c r="B4931" s="34">
        <v>424.68200000000002</v>
      </c>
      <c r="C4931" s="35">
        <v>263845</v>
      </c>
      <c r="D4931" s="33" t="s">
        <v>97</v>
      </c>
      <c r="E4931" s="34">
        <v>424.53399999999999</v>
      </c>
      <c r="F4931" s="36">
        <v>-0.14799999999999999</v>
      </c>
      <c r="G4931" s="34">
        <v>0.14799999999999999</v>
      </c>
      <c r="H4931" s="35">
        <v>3.8</v>
      </c>
      <c r="I4931" s="37">
        <f t="shared" si="77"/>
        <v>1.440239534575224E-5</v>
      </c>
      <c r="J4931" s="33"/>
    </row>
    <row r="4932" spans="1:10">
      <c r="A4932" s="33" t="s">
        <v>184</v>
      </c>
      <c r="B4932" s="34">
        <v>424.68200000000002</v>
      </c>
      <c r="C4932" s="35">
        <v>263845</v>
      </c>
      <c r="D4932" s="33" t="s">
        <v>269</v>
      </c>
      <c r="E4932" s="34">
        <v>424.584</v>
      </c>
      <c r="F4932" s="36">
        <v>-9.8000000000000004E-2</v>
      </c>
      <c r="G4932" s="34">
        <v>9.8000000000000004E-2</v>
      </c>
      <c r="H4932" s="35">
        <v>105.6</v>
      </c>
      <c r="I4932" s="37">
        <f t="shared" si="77"/>
        <v>4.0023498645037805E-4</v>
      </c>
      <c r="J4932" s="33"/>
    </row>
    <row r="4933" spans="1:10">
      <c r="A4933" s="33" t="s">
        <v>184</v>
      </c>
      <c r="B4933" s="34">
        <v>424.68200000000002</v>
      </c>
      <c r="C4933" s="35">
        <v>263845</v>
      </c>
      <c r="D4933" s="33" t="s">
        <v>25</v>
      </c>
      <c r="E4933" s="34">
        <v>424.58800000000002</v>
      </c>
      <c r="F4933" s="36">
        <v>-9.4E-2</v>
      </c>
      <c r="G4933" s="34">
        <v>9.4E-2</v>
      </c>
      <c r="H4933" s="35">
        <v>2149.5</v>
      </c>
      <c r="I4933" s="37">
        <f t="shared" si="77"/>
        <v>8.1468286304459056E-3</v>
      </c>
      <c r="J4933" s="33" t="s">
        <v>116</v>
      </c>
    </row>
    <row r="4934" spans="1:10">
      <c r="A4934" s="33" t="s">
        <v>184</v>
      </c>
      <c r="B4934" s="34">
        <v>424.68200000000002</v>
      </c>
      <c r="C4934" s="35">
        <v>263845</v>
      </c>
      <c r="D4934" s="33" t="s">
        <v>275</v>
      </c>
      <c r="E4934" s="34">
        <v>424.60199999999998</v>
      </c>
      <c r="F4934" s="36">
        <v>-0.08</v>
      </c>
      <c r="G4934" s="34">
        <v>0.08</v>
      </c>
      <c r="H4934" s="35">
        <v>25.3</v>
      </c>
      <c r="I4934" s="37">
        <f t="shared" si="77"/>
        <v>9.5889632170403078E-5</v>
      </c>
      <c r="J4934" s="33"/>
    </row>
    <row r="4935" spans="1:10">
      <c r="A4935" s="33" t="s">
        <v>184</v>
      </c>
      <c r="B4935" s="34">
        <v>424.68200000000002</v>
      </c>
      <c r="C4935" s="35">
        <v>263845</v>
      </c>
      <c r="D4935" s="33" t="s">
        <v>268</v>
      </c>
      <c r="E4935" s="34">
        <v>424.63400000000001</v>
      </c>
      <c r="F4935" s="36">
        <v>-4.8000000000000001E-2</v>
      </c>
      <c r="G4935" s="34">
        <v>4.8000000000000001E-2</v>
      </c>
      <c r="H4935" s="35">
        <v>20.6</v>
      </c>
      <c r="I4935" s="37">
        <f t="shared" si="77"/>
        <v>7.8076143190130572E-5</v>
      </c>
      <c r="J4935" s="33"/>
    </row>
    <row r="4936" spans="1:10">
      <c r="A4936" s="33" t="s">
        <v>184</v>
      </c>
      <c r="B4936" s="34">
        <v>424.68200000000002</v>
      </c>
      <c r="C4936" s="35">
        <v>263845</v>
      </c>
      <c r="D4936" s="33" t="s">
        <v>109</v>
      </c>
      <c r="E4936" s="34">
        <v>424.63900000000001</v>
      </c>
      <c r="F4936" s="36">
        <v>-4.2999999999999997E-2</v>
      </c>
      <c r="G4936" s="34">
        <v>4.2999999999999997E-2</v>
      </c>
      <c r="H4936" s="35">
        <v>167.3</v>
      </c>
      <c r="I4936" s="37">
        <f t="shared" si="77"/>
        <v>6.3408440561693417E-4</v>
      </c>
      <c r="J4936" s="33" t="s">
        <v>116</v>
      </c>
    </row>
    <row r="4937" spans="1:10">
      <c r="A4937" s="33" t="s">
        <v>184</v>
      </c>
      <c r="B4937" s="34">
        <v>424.68200000000002</v>
      </c>
      <c r="C4937" s="35">
        <v>263845</v>
      </c>
      <c r="D4937" s="33" t="s">
        <v>36</v>
      </c>
      <c r="E4937" s="34">
        <v>424.65699999999998</v>
      </c>
      <c r="F4937" s="36">
        <v>-2.5000000000000001E-2</v>
      </c>
      <c r="G4937" s="34">
        <v>2.5000000000000001E-2</v>
      </c>
      <c r="H4937" s="35">
        <v>651</v>
      </c>
      <c r="I4937" s="37">
        <f t="shared" si="77"/>
        <v>2.4673577289696601E-3</v>
      </c>
      <c r="J4937" s="33" t="s">
        <v>116</v>
      </c>
    </row>
    <row r="4938" spans="1:10">
      <c r="A4938" s="33" t="s">
        <v>184</v>
      </c>
      <c r="B4938" s="34">
        <v>424.68200000000002</v>
      </c>
      <c r="C4938" s="35">
        <v>263845</v>
      </c>
      <c r="D4938" s="33" t="s">
        <v>25</v>
      </c>
      <c r="E4938" s="34">
        <v>424.67099999999999</v>
      </c>
      <c r="F4938" s="36">
        <v>-1.0999999999999999E-2</v>
      </c>
      <c r="G4938" s="34">
        <v>1.0999999999999999E-2</v>
      </c>
      <c r="H4938" s="35">
        <v>1528</v>
      </c>
      <c r="I4938" s="37">
        <f t="shared" si="77"/>
        <v>5.791278970607743E-3</v>
      </c>
      <c r="J4938" s="33" t="s">
        <v>116</v>
      </c>
    </row>
    <row r="4939" spans="1:10">
      <c r="A4939" s="33" t="s">
        <v>184</v>
      </c>
      <c r="B4939" s="34">
        <v>424.68200000000002</v>
      </c>
      <c r="C4939" s="35">
        <v>263845</v>
      </c>
      <c r="D4939" s="33" t="s">
        <v>268</v>
      </c>
      <c r="E4939" s="34">
        <v>424.67399999999998</v>
      </c>
      <c r="F4939" s="36">
        <v>-8.0000000000000002E-3</v>
      </c>
      <c r="G4939" s="34">
        <v>8.0000000000000002E-3</v>
      </c>
      <c r="H4939" s="35">
        <v>43.5</v>
      </c>
      <c r="I4939" s="37">
        <f t="shared" si="77"/>
        <v>1.6486952566847961E-4</v>
      </c>
      <c r="J4939" s="33"/>
    </row>
    <row r="4940" spans="1:10">
      <c r="A4940" s="33" t="s">
        <v>184</v>
      </c>
      <c r="B4940" s="34">
        <v>424.68200000000002</v>
      </c>
      <c r="C4940" s="35">
        <v>263845</v>
      </c>
      <c r="D4940" s="33" t="s">
        <v>279</v>
      </c>
      <c r="E4940" s="34">
        <v>424.68200000000002</v>
      </c>
      <c r="F4940" s="36">
        <v>0</v>
      </c>
      <c r="G4940" s="34">
        <v>0</v>
      </c>
      <c r="H4940" s="35">
        <v>4.9000000000000004</v>
      </c>
      <c r="I4940" s="37">
        <f t="shared" si="77"/>
        <v>1.8571509787943679E-5</v>
      </c>
      <c r="J4940" s="33"/>
    </row>
    <row r="4941" spans="1:10">
      <c r="A4941" s="33" t="s">
        <v>184</v>
      </c>
      <c r="B4941" s="34">
        <v>424.68200000000002</v>
      </c>
      <c r="C4941" s="35">
        <v>263845</v>
      </c>
      <c r="D4941" s="33" t="s">
        <v>27</v>
      </c>
      <c r="E4941" s="34">
        <v>424.68900000000002</v>
      </c>
      <c r="F4941" s="36">
        <v>7.0000000000000001E-3</v>
      </c>
      <c r="G4941" s="34">
        <v>7.0000000000000001E-3</v>
      </c>
      <c r="H4941" s="35">
        <v>223.2</v>
      </c>
      <c r="I4941" s="37">
        <f t="shared" si="77"/>
        <v>8.4595122136102636E-4</v>
      </c>
      <c r="J4941" s="33" t="s">
        <v>116</v>
      </c>
    </row>
    <row r="4942" spans="1:10">
      <c r="A4942" s="33" t="s">
        <v>184</v>
      </c>
      <c r="B4942" s="34">
        <v>424.68200000000002</v>
      </c>
      <c r="C4942" s="35">
        <v>263845</v>
      </c>
      <c r="D4942" s="33" t="s">
        <v>280</v>
      </c>
      <c r="E4942" s="34">
        <v>424.70600000000002</v>
      </c>
      <c r="F4942" s="36">
        <v>2.4E-2</v>
      </c>
      <c r="G4942" s="34">
        <v>2.4E-2</v>
      </c>
      <c r="H4942" s="35">
        <v>166.8</v>
      </c>
      <c r="I4942" s="37">
        <f t="shared" si="77"/>
        <v>6.3218935359775634E-4</v>
      </c>
      <c r="J4942" s="33"/>
    </row>
    <row r="4943" spans="1:10">
      <c r="A4943" s="33" t="s">
        <v>184</v>
      </c>
      <c r="B4943" s="34">
        <v>424.68200000000002</v>
      </c>
      <c r="C4943" s="35">
        <v>263845</v>
      </c>
      <c r="D4943" s="33" t="s">
        <v>277</v>
      </c>
      <c r="E4943" s="34">
        <v>424.714</v>
      </c>
      <c r="F4943" s="36">
        <v>3.2000000000000001E-2</v>
      </c>
      <c r="G4943" s="34">
        <v>3.2000000000000001E-2</v>
      </c>
      <c r="H4943" s="35">
        <v>81</v>
      </c>
      <c r="I4943" s="37">
        <f t="shared" si="77"/>
        <v>3.0699842710682409E-4</v>
      </c>
      <c r="J4943" s="33"/>
    </row>
    <row r="4944" spans="1:10">
      <c r="A4944" s="33" t="s">
        <v>184</v>
      </c>
      <c r="B4944" s="34">
        <v>424.68200000000002</v>
      </c>
      <c r="C4944" s="35">
        <v>263845</v>
      </c>
      <c r="D4944" s="33" t="s">
        <v>33</v>
      </c>
      <c r="E4944" s="34">
        <v>424.73399999999998</v>
      </c>
      <c r="F4944" s="36">
        <v>5.1999999999999998E-2</v>
      </c>
      <c r="G4944" s="34">
        <v>5.1999999999999998E-2</v>
      </c>
      <c r="H4944" s="35">
        <v>520.70000000000005</v>
      </c>
      <c r="I4944" s="37">
        <f t="shared" si="77"/>
        <v>1.9735071727718929E-3</v>
      </c>
      <c r="J4944" s="33" t="s">
        <v>116</v>
      </c>
    </row>
    <row r="4945" spans="1:10">
      <c r="A4945" s="33" t="s">
        <v>184</v>
      </c>
      <c r="B4945" s="34">
        <v>424.68200000000002</v>
      </c>
      <c r="C4945" s="35">
        <v>263845</v>
      </c>
      <c r="D4945" s="33" t="s">
        <v>27</v>
      </c>
      <c r="E4945" s="34">
        <v>424.73599999999999</v>
      </c>
      <c r="F4945" s="36">
        <v>5.3999999999999999E-2</v>
      </c>
      <c r="G4945" s="34">
        <v>5.3999999999999999E-2</v>
      </c>
      <c r="H4945" s="35">
        <v>6112.5</v>
      </c>
      <c r="I4945" s="37">
        <f t="shared" si="77"/>
        <v>2.3167010934450151E-2</v>
      </c>
      <c r="J4945" s="33" t="s">
        <v>116</v>
      </c>
    </row>
    <row r="4946" spans="1:10">
      <c r="A4946" s="33" t="s">
        <v>184</v>
      </c>
      <c r="B4946" s="34">
        <v>424.68200000000002</v>
      </c>
      <c r="C4946" s="35">
        <v>263845</v>
      </c>
      <c r="D4946" s="33" t="s">
        <v>270</v>
      </c>
      <c r="E4946" s="34">
        <v>424.73899999999998</v>
      </c>
      <c r="F4946" s="36">
        <v>5.7000000000000002E-2</v>
      </c>
      <c r="G4946" s="34">
        <v>5.7000000000000002E-2</v>
      </c>
      <c r="H4946" s="35">
        <v>175.2</v>
      </c>
      <c r="I4946" s="37">
        <f t="shared" si="77"/>
        <v>6.6402622751994534E-4</v>
      </c>
      <c r="J4946" s="33"/>
    </row>
    <row r="4947" spans="1:10">
      <c r="A4947" s="33" t="s">
        <v>184</v>
      </c>
      <c r="B4947" s="34">
        <v>424.68200000000002</v>
      </c>
      <c r="C4947" s="35">
        <v>263845</v>
      </c>
      <c r="D4947" s="33" t="s">
        <v>97</v>
      </c>
      <c r="E4947" s="34">
        <v>424.74299999999999</v>
      </c>
      <c r="F4947" s="36">
        <v>6.0999999999999999E-2</v>
      </c>
      <c r="G4947" s="34">
        <v>6.0999999999999999E-2</v>
      </c>
      <c r="H4947" s="35">
        <v>15.3</v>
      </c>
      <c r="I4947" s="37">
        <f t="shared" si="77"/>
        <v>5.7988591786844552E-5</v>
      </c>
      <c r="J4947" s="33"/>
    </row>
    <row r="4948" spans="1:10">
      <c r="A4948" s="33" t="s">
        <v>184</v>
      </c>
      <c r="B4948" s="34">
        <v>424.68200000000002</v>
      </c>
      <c r="C4948" s="35">
        <v>263845</v>
      </c>
      <c r="D4948" s="33" t="s">
        <v>173</v>
      </c>
      <c r="E4948" s="34">
        <v>424.76400000000001</v>
      </c>
      <c r="F4948" s="36">
        <v>8.2000000000000003E-2</v>
      </c>
      <c r="G4948" s="34">
        <v>8.2000000000000003E-2</v>
      </c>
      <c r="H4948" s="35">
        <v>2251.9</v>
      </c>
      <c r="I4948" s="37">
        <f t="shared" si="77"/>
        <v>8.5349352839735448E-3</v>
      </c>
      <c r="J4948" s="33"/>
    </row>
    <row r="4949" spans="1:10">
      <c r="A4949" s="33" t="s">
        <v>184</v>
      </c>
      <c r="B4949" s="34">
        <v>424.68200000000002</v>
      </c>
      <c r="C4949" s="35">
        <v>263845</v>
      </c>
      <c r="D4949" s="33" t="s">
        <v>280</v>
      </c>
      <c r="E4949" s="34">
        <v>424.78300000000002</v>
      </c>
      <c r="F4949" s="36">
        <v>0.10100000000000001</v>
      </c>
      <c r="G4949" s="34">
        <v>0.10100000000000001</v>
      </c>
      <c r="H4949" s="35">
        <v>650.6</v>
      </c>
      <c r="I4949" s="37">
        <f t="shared" si="77"/>
        <v>2.4658416873543179E-3</v>
      </c>
      <c r="J4949" s="33"/>
    </row>
    <row r="4950" spans="1:10">
      <c r="A4950" s="33" t="s">
        <v>184</v>
      </c>
      <c r="B4950" s="34">
        <v>424.68200000000002</v>
      </c>
      <c r="C4950" s="35">
        <v>263845</v>
      </c>
      <c r="D4950" s="33" t="s">
        <v>271</v>
      </c>
      <c r="E4950" s="34">
        <v>424.79899999999998</v>
      </c>
      <c r="F4950" s="36">
        <v>0.11700000000000001</v>
      </c>
      <c r="G4950" s="34">
        <v>0.11700000000000001</v>
      </c>
      <c r="H4950" s="35">
        <v>621.5</v>
      </c>
      <c r="I4950" s="37">
        <f t="shared" si="77"/>
        <v>2.3555496598381626E-3</v>
      </c>
      <c r="J4950" s="33"/>
    </row>
    <row r="4951" spans="1:10">
      <c r="A4951" s="33" t="s">
        <v>184</v>
      </c>
      <c r="B4951" s="34">
        <v>424.68200000000002</v>
      </c>
      <c r="C4951" s="35">
        <v>263845</v>
      </c>
      <c r="D4951" s="33" t="s">
        <v>25</v>
      </c>
      <c r="E4951" s="34">
        <v>424.80900000000003</v>
      </c>
      <c r="F4951" s="36">
        <v>0.127</v>
      </c>
      <c r="G4951" s="34">
        <v>0.127</v>
      </c>
      <c r="H4951" s="35">
        <v>199.9</v>
      </c>
      <c r="I4951" s="37">
        <f t="shared" si="77"/>
        <v>7.5764179726733503E-4</v>
      </c>
      <c r="J4951" s="33" t="s">
        <v>116</v>
      </c>
    </row>
    <row r="4952" spans="1:10">
      <c r="A4952" s="33" t="s">
        <v>184</v>
      </c>
      <c r="B4952" s="34">
        <v>424.68200000000002</v>
      </c>
      <c r="C4952" s="35">
        <v>263845</v>
      </c>
      <c r="D4952" s="33" t="s">
        <v>268</v>
      </c>
      <c r="E4952" s="34">
        <v>424.81400000000002</v>
      </c>
      <c r="F4952" s="36">
        <v>0.13200000000000001</v>
      </c>
      <c r="G4952" s="34">
        <v>0.13200000000000001</v>
      </c>
      <c r="H4952" s="35">
        <v>2.8</v>
      </c>
      <c r="I4952" s="37">
        <f t="shared" si="77"/>
        <v>1.0612291307396387E-5</v>
      </c>
      <c r="J4952" s="33"/>
    </row>
    <row r="4953" spans="1:10">
      <c r="A4953" s="33" t="s">
        <v>184</v>
      </c>
      <c r="B4953" s="34">
        <v>424.68200000000002</v>
      </c>
      <c r="C4953" s="35">
        <v>263845</v>
      </c>
      <c r="D4953" s="33" t="s">
        <v>97</v>
      </c>
      <c r="E4953" s="34">
        <v>424.822</v>
      </c>
      <c r="F4953" s="36">
        <v>0.14000000000000001</v>
      </c>
      <c r="G4953" s="34">
        <v>0.14000000000000001</v>
      </c>
      <c r="H4953" s="35">
        <v>1.7</v>
      </c>
      <c r="I4953" s="37">
        <f t="shared" si="77"/>
        <v>6.4431768652049496E-6</v>
      </c>
      <c r="J4953" s="33"/>
    </row>
    <row r="4954" spans="1:10">
      <c r="A4954" s="33" t="s">
        <v>184</v>
      </c>
      <c r="B4954" s="34">
        <v>424.68200000000002</v>
      </c>
      <c r="C4954" s="35">
        <v>263845</v>
      </c>
      <c r="D4954" s="33" t="s">
        <v>33</v>
      </c>
      <c r="E4954" s="34">
        <v>424.846</v>
      </c>
      <c r="F4954" s="36">
        <v>0.16400000000000001</v>
      </c>
      <c r="G4954" s="34">
        <v>0.16400000000000001</v>
      </c>
      <c r="H4954" s="35">
        <v>184.3</v>
      </c>
      <c r="I4954" s="37">
        <f t="shared" si="77"/>
        <v>6.9851617426898373E-4</v>
      </c>
      <c r="J4954" s="33" t="s">
        <v>116</v>
      </c>
    </row>
    <row r="4955" spans="1:10">
      <c r="A4955" s="33" t="s">
        <v>184</v>
      </c>
      <c r="B4955" s="34">
        <v>424.68200000000002</v>
      </c>
      <c r="C4955" s="35">
        <v>263845</v>
      </c>
      <c r="D4955" s="33" t="s">
        <v>25</v>
      </c>
      <c r="E4955" s="34">
        <v>424.86700000000002</v>
      </c>
      <c r="F4955" s="36">
        <v>0.185</v>
      </c>
      <c r="G4955" s="34">
        <v>0.185</v>
      </c>
      <c r="H4955" s="35">
        <v>3899.9</v>
      </c>
      <c r="I4955" s="37">
        <f t="shared" si="77"/>
        <v>1.4781026739183991E-2</v>
      </c>
      <c r="J4955" s="33" t="s">
        <v>116</v>
      </c>
    </row>
    <row r="4956" spans="1:10">
      <c r="A4956" s="33" t="s">
        <v>184</v>
      </c>
      <c r="B4956" s="34">
        <v>424.68200000000002</v>
      </c>
      <c r="C4956" s="35">
        <v>263845</v>
      </c>
      <c r="D4956" s="33" t="s">
        <v>288</v>
      </c>
      <c r="E4956" s="34">
        <v>424.87700000000001</v>
      </c>
      <c r="F4956" s="36">
        <v>0.19500000000000001</v>
      </c>
      <c r="G4956" s="34">
        <v>0.19500000000000001</v>
      </c>
      <c r="H4956" s="35">
        <v>67.5</v>
      </c>
      <c r="I4956" s="37">
        <f t="shared" si="77"/>
        <v>2.5583202258902006E-4</v>
      </c>
      <c r="J4956" s="33"/>
    </row>
    <row r="4957" spans="1:10">
      <c r="A4957" s="33" t="s">
        <v>184</v>
      </c>
      <c r="B4957" s="34">
        <v>424.68200000000002</v>
      </c>
      <c r="C4957" s="35">
        <v>263845</v>
      </c>
      <c r="D4957" s="33" t="s">
        <v>286</v>
      </c>
      <c r="E4957" s="34">
        <v>424.89600000000002</v>
      </c>
      <c r="F4957" s="36">
        <v>0.214</v>
      </c>
      <c r="G4957" s="34">
        <v>0.214</v>
      </c>
      <c r="H4957" s="35">
        <v>3.7</v>
      </c>
      <c r="I4957" s="37">
        <f t="shared" si="77"/>
        <v>1.4023384941916656E-5</v>
      </c>
      <c r="J4957" s="33"/>
    </row>
    <row r="4958" spans="1:10">
      <c r="A4958" s="33" t="s">
        <v>184</v>
      </c>
      <c r="B4958" s="34">
        <v>424.68200000000002</v>
      </c>
      <c r="C4958" s="35">
        <v>263845</v>
      </c>
      <c r="D4958" s="33" t="s">
        <v>269</v>
      </c>
      <c r="E4958" s="34">
        <v>424.93900000000002</v>
      </c>
      <c r="F4958" s="36">
        <v>0.25700000000000001</v>
      </c>
      <c r="G4958" s="34">
        <v>0.25700000000000001</v>
      </c>
      <c r="H4958" s="35">
        <v>176.6</v>
      </c>
      <c r="I4958" s="37">
        <f t="shared" si="77"/>
        <v>6.6933237317364359E-4</v>
      </c>
      <c r="J4958" s="33"/>
    </row>
    <row r="4959" spans="1:10">
      <c r="A4959" s="33" t="s">
        <v>184</v>
      </c>
      <c r="B4959" s="34">
        <v>424.68200000000002</v>
      </c>
      <c r="C4959" s="35">
        <v>263845</v>
      </c>
      <c r="D4959" s="33" t="s">
        <v>184</v>
      </c>
      <c r="E4959" s="34">
        <v>424.94200000000001</v>
      </c>
      <c r="F4959" s="36">
        <v>0.26</v>
      </c>
      <c r="G4959" s="34">
        <v>0.26</v>
      </c>
      <c r="H4959" s="35">
        <v>164.9</v>
      </c>
      <c r="I4959" s="37">
        <f t="shared" si="77"/>
        <v>6.2498815592488014E-4</v>
      </c>
      <c r="J4959" s="33"/>
    </row>
    <row r="4960" spans="1:10">
      <c r="A4960" s="33" t="s">
        <v>193</v>
      </c>
      <c r="B4960" s="34">
        <v>226.142</v>
      </c>
      <c r="C4960" s="35">
        <v>3278.3</v>
      </c>
      <c r="D4960" s="33" t="s">
        <v>237</v>
      </c>
      <c r="E4960" s="34">
        <v>225.93199999999999</v>
      </c>
      <c r="F4960" s="36">
        <v>0.21000000000000801</v>
      </c>
      <c r="G4960" s="34">
        <v>0.21000000000000801</v>
      </c>
      <c r="H4960" s="35">
        <v>22</v>
      </c>
      <c r="I4960" s="37">
        <f t="shared" si="77"/>
        <v>6.7107952292346637E-3</v>
      </c>
      <c r="J4960" s="33"/>
    </row>
    <row r="4961" spans="1:10">
      <c r="A4961" s="33" t="s">
        <v>193</v>
      </c>
      <c r="B4961" s="34">
        <v>226.142</v>
      </c>
      <c r="C4961" s="35">
        <v>3278.3</v>
      </c>
      <c r="D4961" s="33" t="s">
        <v>268</v>
      </c>
      <c r="E4961" s="34">
        <v>225.952</v>
      </c>
      <c r="F4961" s="36">
        <v>0.189999999999998</v>
      </c>
      <c r="G4961" s="34">
        <v>0.189999999999998</v>
      </c>
      <c r="H4961" s="35">
        <v>35.4</v>
      </c>
      <c r="I4961" s="37">
        <f t="shared" si="77"/>
        <v>1.0798279596132141E-2</v>
      </c>
      <c r="J4961" s="33"/>
    </row>
    <row r="4962" spans="1:10">
      <c r="A4962" s="33" t="s">
        <v>193</v>
      </c>
      <c r="B4962" s="34">
        <v>226.142</v>
      </c>
      <c r="C4962" s="35">
        <v>3278.3</v>
      </c>
      <c r="D4962" s="33" t="s">
        <v>193</v>
      </c>
      <c r="E4962" s="34">
        <v>225.95500000000001</v>
      </c>
      <c r="F4962" s="36">
        <v>0.18699999999998301</v>
      </c>
      <c r="G4962" s="34">
        <v>0.18699999999998301</v>
      </c>
      <c r="H4962" s="35">
        <v>310.60000000000002</v>
      </c>
      <c r="I4962" s="37">
        <f t="shared" si="77"/>
        <v>9.4744227190922126E-2</v>
      </c>
      <c r="J4962" s="33"/>
    </row>
    <row r="4963" spans="1:10">
      <c r="A4963" s="33" t="s">
        <v>193</v>
      </c>
      <c r="B4963" s="34">
        <v>226.142</v>
      </c>
      <c r="C4963" s="35">
        <v>3278.3</v>
      </c>
      <c r="D4963" s="33" t="s">
        <v>165</v>
      </c>
      <c r="E4963" s="34">
        <v>225.95599999999999</v>
      </c>
      <c r="F4963" s="36">
        <v>0.18600000000000699</v>
      </c>
      <c r="G4963" s="34">
        <v>0.18600000000000699</v>
      </c>
      <c r="H4963" s="35">
        <v>443</v>
      </c>
      <c r="I4963" s="37">
        <f t="shared" si="77"/>
        <v>0.13513101302504346</v>
      </c>
      <c r="J4963" s="33"/>
    </row>
    <row r="4964" spans="1:10">
      <c r="A4964" s="33" t="s">
        <v>193</v>
      </c>
      <c r="B4964" s="34">
        <v>226.142</v>
      </c>
      <c r="C4964" s="35">
        <v>3278.3</v>
      </c>
      <c r="D4964" s="33" t="s">
        <v>97</v>
      </c>
      <c r="E4964" s="34">
        <v>225.958</v>
      </c>
      <c r="F4964" s="36">
        <v>0.183999999999998</v>
      </c>
      <c r="G4964" s="34">
        <v>0.183999999999998</v>
      </c>
      <c r="H4964" s="35">
        <v>37</v>
      </c>
      <c r="I4964" s="37">
        <f t="shared" si="77"/>
        <v>1.1286337430985571E-2</v>
      </c>
      <c r="J4964" s="33"/>
    </row>
    <row r="4965" spans="1:10">
      <c r="A4965" s="33" t="s">
        <v>193</v>
      </c>
      <c r="B4965" s="34">
        <v>226.142</v>
      </c>
      <c r="C4965" s="35">
        <v>3278.3</v>
      </c>
      <c r="D4965" s="33" t="s">
        <v>293</v>
      </c>
      <c r="E4965" s="34">
        <v>225.958</v>
      </c>
      <c r="F4965" s="36">
        <v>0.183999999999998</v>
      </c>
      <c r="G4965" s="34">
        <v>0.183999999999998</v>
      </c>
      <c r="H4965" s="35">
        <v>11.4</v>
      </c>
      <c r="I4965" s="37">
        <f t="shared" si="77"/>
        <v>3.4774120733306896E-3</v>
      </c>
      <c r="J4965" s="33"/>
    </row>
    <row r="4966" spans="1:10">
      <c r="A4966" s="33" t="s">
        <v>193</v>
      </c>
      <c r="B4966" s="34">
        <v>226.142</v>
      </c>
      <c r="C4966" s="35">
        <v>3278.3</v>
      </c>
      <c r="D4966" s="33" t="s">
        <v>54</v>
      </c>
      <c r="E4966" s="34">
        <v>226</v>
      </c>
      <c r="F4966" s="36">
        <v>0.14199999999999599</v>
      </c>
      <c r="G4966" s="34">
        <v>0.14199999999999599</v>
      </c>
      <c r="H4966" s="35">
        <v>235.6</v>
      </c>
      <c r="I4966" s="37">
        <f t="shared" si="77"/>
        <v>7.1866516182167578E-2</v>
      </c>
      <c r="J4966" s="33"/>
    </row>
    <row r="4967" spans="1:10">
      <c r="A4967" s="33" t="s">
        <v>193</v>
      </c>
      <c r="B4967" s="34">
        <v>226.142</v>
      </c>
      <c r="C4967" s="35">
        <v>3278.3</v>
      </c>
      <c r="D4967" s="33" t="s">
        <v>268</v>
      </c>
      <c r="E4967" s="34">
        <v>226.00299999999999</v>
      </c>
      <c r="F4967" s="36">
        <v>0.13900000000001</v>
      </c>
      <c r="G4967" s="34">
        <v>0.13900000000001</v>
      </c>
      <c r="H4967" s="35">
        <v>5.9</v>
      </c>
      <c r="I4967" s="37">
        <f t="shared" si="77"/>
        <v>1.7997132660220235E-3</v>
      </c>
      <c r="J4967" s="33"/>
    </row>
    <row r="4968" spans="1:10">
      <c r="A4968" s="33" t="s">
        <v>193</v>
      </c>
      <c r="B4968" s="34">
        <v>226.142</v>
      </c>
      <c r="C4968" s="35">
        <v>3278.3</v>
      </c>
      <c r="D4968" s="33" t="s">
        <v>275</v>
      </c>
      <c r="E4968" s="34">
        <v>226.006</v>
      </c>
      <c r="F4968" s="36">
        <v>0.13599999999999601</v>
      </c>
      <c r="G4968" s="34">
        <v>0.13599999999999601</v>
      </c>
      <c r="H4968" s="35">
        <v>100</v>
      </c>
      <c r="I4968" s="37">
        <f t="shared" si="77"/>
        <v>3.0503614678339383E-2</v>
      </c>
      <c r="J4968" s="33"/>
    </row>
    <row r="4969" spans="1:10">
      <c r="A4969" s="33" t="s">
        <v>193</v>
      </c>
      <c r="B4969" s="34">
        <v>226.142</v>
      </c>
      <c r="C4969" s="35">
        <v>3278.3</v>
      </c>
      <c r="D4969" s="33" t="s">
        <v>97</v>
      </c>
      <c r="E4969" s="34">
        <v>226.00800000000001</v>
      </c>
      <c r="F4969" s="36">
        <v>0.13399999999998599</v>
      </c>
      <c r="G4969" s="34">
        <v>0.13399999999998599</v>
      </c>
      <c r="H4969" s="35">
        <v>228.4</v>
      </c>
      <c r="I4969" s="37">
        <f t="shared" si="77"/>
        <v>6.9670255925327149E-2</v>
      </c>
      <c r="J4969" s="33"/>
    </row>
    <row r="4970" spans="1:10">
      <c r="A4970" s="33" t="s">
        <v>193</v>
      </c>
      <c r="B4970" s="34">
        <v>226.142</v>
      </c>
      <c r="C4970" s="35">
        <v>3278.3</v>
      </c>
      <c r="D4970" s="33" t="s">
        <v>284</v>
      </c>
      <c r="E4970" s="34">
        <v>226.011</v>
      </c>
      <c r="F4970" s="36">
        <v>0.13100000000000001</v>
      </c>
      <c r="G4970" s="34">
        <v>0.13100000000000001</v>
      </c>
      <c r="H4970" s="35">
        <v>15.2</v>
      </c>
      <c r="I4970" s="37">
        <f t="shared" si="77"/>
        <v>4.6365494311075856E-3</v>
      </c>
      <c r="J4970" s="33"/>
    </row>
    <row r="4971" spans="1:10">
      <c r="A4971" s="33" t="s">
        <v>193</v>
      </c>
      <c r="B4971" s="34">
        <v>226.142</v>
      </c>
      <c r="C4971" s="35">
        <v>3278.3</v>
      </c>
      <c r="D4971" s="33" t="s">
        <v>97</v>
      </c>
      <c r="E4971" s="34">
        <v>226.024</v>
      </c>
      <c r="F4971" s="36">
        <v>0.117999999999995</v>
      </c>
      <c r="G4971" s="34">
        <v>0.117999999999995</v>
      </c>
      <c r="H4971" s="35">
        <v>35.299999999999997</v>
      </c>
      <c r="I4971" s="37">
        <f t="shared" si="77"/>
        <v>1.07677759814538E-2</v>
      </c>
      <c r="J4971" s="33"/>
    </row>
    <row r="4972" spans="1:10">
      <c r="A4972" s="33" t="s">
        <v>193</v>
      </c>
      <c r="B4972" s="34">
        <v>226.142</v>
      </c>
      <c r="C4972" s="35">
        <v>3278.3</v>
      </c>
      <c r="D4972" s="33" t="s">
        <v>296</v>
      </c>
      <c r="E4972" s="34">
        <v>226.02600000000001</v>
      </c>
      <c r="F4972" s="36">
        <v>0.115999999999985</v>
      </c>
      <c r="G4972" s="34">
        <v>0.115999999999985</v>
      </c>
      <c r="H4972" s="35">
        <v>0.7</v>
      </c>
      <c r="I4972" s="37">
        <f t="shared" si="77"/>
        <v>2.1352530274837566E-4</v>
      </c>
      <c r="J4972" s="33"/>
    </row>
    <row r="4973" spans="1:10">
      <c r="A4973" s="33" t="s">
        <v>193</v>
      </c>
      <c r="B4973" s="34">
        <v>226.142</v>
      </c>
      <c r="C4973" s="35">
        <v>3278.3</v>
      </c>
      <c r="D4973" s="33" t="s">
        <v>193</v>
      </c>
      <c r="E4973" s="34">
        <v>226.02600000000001</v>
      </c>
      <c r="F4973" s="36">
        <v>0.115999999999985</v>
      </c>
      <c r="G4973" s="34">
        <v>0.115999999999985</v>
      </c>
      <c r="H4973" s="35">
        <v>131.1</v>
      </c>
      <c r="I4973" s="37">
        <f t="shared" si="77"/>
        <v>3.9990238843302925E-2</v>
      </c>
      <c r="J4973" s="33"/>
    </row>
    <row r="4974" spans="1:10">
      <c r="A4974" s="33" t="s">
        <v>193</v>
      </c>
      <c r="B4974" s="34">
        <v>226.142</v>
      </c>
      <c r="C4974" s="35">
        <v>3278.3</v>
      </c>
      <c r="D4974" s="33" t="s">
        <v>286</v>
      </c>
      <c r="E4974" s="34">
        <v>226.053</v>
      </c>
      <c r="F4974" s="36">
        <v>8.8999999999998594E-2</v>
      </c>
      <c r="G4974" s="34">
        <v>8.8999999999998594E-2</v>
      </c>
      <c r="H4974" s="35">
        <v>43</v>
      </c>
      <c r="I4974" s="37">
        <f t="shared" si="77"/>
        <v>1.3116554311685935E-2</v>
      </c>
      <c r="J4974" s="33"/>
    </row>
    <row r="4975" spans="1:10">
      <c r="A4975" s="33" t="s">
        <v>193</v>
      </c>
      <c r="B4975" s="34">
        <v>226.142</v>
      </c>
      <c r="C4975" s="35">
        <v>3278.3</v>
      </c>
      <c r="D4975" s="33" t="s">
        <v>193</v>
      </c>
      <c r="E4975" s="34">
        <v>226.05699999999999</v>
      </c>
      <c r="F4975" s="36">
        <v>8.5000000000008E-2</v>
      </c>
      <c r="G4975" s="34">
        <v>8.5000000000008E-2</v>
      </c>
      <c r="H4975" s="35">
        <v>125.6</v>
      </c>
      <c r="I4975" s="37">
        <f t="shared" si="77"/>
        <v>3.8312540035994262E-2</v>
      </c>
      <c r="J4975" s="33"/>
    </row>
    <row r="4976" spans="1:10">
      <c r="A4976" s="33" t="s">
        <v>193</v>
      </c>
      <c r="B4976" s="34">
        <v>226.142</v>
      </c>
      <c r="C4976" s="35">
        <v>3278.3</v>
      </c>
      <c r="D4976" s="33" t="s">
        <v>290</v>
      </c>
      <c r="E4976" s="34">
        <v>226.065</v>
      </c>
      <c r="F4976" s="36">
        <v>7.6999999999998195E-2</v>
      </c>
      <c r="G4976" s="34">
        <v>7.6999999999998195E-2</v>
      </c>
      <c r="H4976" s="35">
        <v>49.6</v>
      </c>
      <c r="I4976" s="37">
        <f t="shared" si="77"/>
        <v>1.5129792880456334E-2</v>
      </c>
      <c r="J4976" s="33"/>
    </row>
    <row r="4977" spans="1:10">
      <c r="A4977" s="33" t="s">
        <v>193</v>
      </c>
      <c r="B4977" s="34">
        <v>226.142</v>
      </c>
      <c r="C4977" s="35">
        <v>3278.3</v>
      </c>
      <c r="D4977" s="33" t="s">
        <v>97</v>
      </c>
      <c r="E4977" s="34">
        <v>226.089</v>
      </c>
      <c r="F4977" s="36">
        <v>5.2999999999997299E-2</v>
      </c>
      <c r="G4977" s="34">
        <v>5.2999999999997299E-2</v>
      </c>
      <c r="H4977" s="35">
        <v>27</v>
      </c>
      <c r="I4977" s="37">
        <f t="shared" si="77"/>
        <v>8.2359759631516326E-3</v>
      </c>
      <c r="J4977" s="33"/>
    </row>
    <row r="4978" spans="1:10">
      <c r="A4978" s="33" t="s">
        <v>193</v>
      </c>
      <c r="B4978" s="34">
        <v>226.142</v>
      </c>
      <c r="C4978" s="35">
        <v>3278.3</v>
      </c>
      <c r="D4978" s="33" t="s">
        <v>278</v>
      </c>
      <c r="E4978" s="34">
        <v>226.108</v>
      </c>
      <c r="F4978" s="36">
        <v>3.3999999999991801E-2</v>
      </c>
      <c r="G4978" s="34">
        <v>3.3999999999991801E-2</v>
      </c>
      <c r="H4978" s="35">
        <v>33.4</v>
      </c>
      <c r="I4978" s="37">
        <f t="shared" si="77"/>
        <v>1.0188207302565352E-2</v>
      </c>
      <c r="J4978" s="33"/>
    </row>
    <row r="4979" spans="1:10">
      <c r="A4979" s="33" t="s">
        <v>193</v>
      </c>
      <c r="B4979" s="34">
        <v>226.142</v>
      </c>
      <c r="C4979" s="35">
        <v>3278.3</v>
      </c>
      <c r="D4979" s="33" t="s">
        <v>237</v>
      </c>
      <c r="E4979" s="34">
        <v>226.12</v>
      </c>
      <c r="F4979" s="36">
        <v>2.1999999999991401E-2</v>
      </c>
      <c r="G4979" s="34">
        <v>2.1999999999991401E-2</v>
      </c>
      <c r="H4979" s="35">
        <v>895.8</v>
      </c>
      <c r="I4979" s="37">
        <f t="shared" si="77"/>
        <v>0.27325138028856416</v>
      </c>
      <c r="J4979" s="33"/>
    </row>
    <row r="4980" spans="1:10">
      <c r="A4980" s="33" t="s">
        <v>193</v>
      </c>
      <c r="B4980" s="34">
        <v>226.142</v>
      </c>
      <c r="C4980" s="35">
        <v>3278.3</v>
      </c>
      <c r="D4980" s="33" t="s">
        <v>165</v>
      </c>
      <c r="E4980" s="34">
        <v>226.143</v>
      </c>
      <c r="F4980" s="36">
        <v>1.0000000000047801E-3</v>
      </c>
      <c r="G4980" s="34">
        <v>1.0000000000047801E-3</v>
      </c>
      <c r="H4980" s="35">
        <v>55</v>
      </c>
      <c r="I4980" s="37">
        <f t="shared" si="77"/>
        <v>1.6776988073086661E-2</v>
      </c>
      <c r="J4980" s="33"/>
    </row>
    <row r="4981" spans="1:10">
      <c r="A4981" s="33" t="s">
        <v>193</v>
      </c>
      <c r="B4981" s="34">
        <v>226.142</v>
      </c>
      <c r="C4981" s="35">
        <v>3278.3</v>
      </c>
      <c r="D4981" s="33" t="s">
        <v>193</v>
      </c>
      <c r="E4981" s="34">
        <v>226.161</v>
      </c>
      <c r="F4981" s="36">
        <v>1.9000000000005499E-2</v>
      </c>
      <c r="G4981" s="34">
        <v>1.9000000000005499E-2</v>
      </c>
      <c r="H4981" s="35">
        <v>1584.2</v>
      </c>
      <c r="I4981" s="37">
        <f t="shared" si="77"/>
        <v>0.48323826373425249</v>
      </c>
      <c r="J4981" s="33"/>
    </row>
    <row r="4982" spans="1:10">
      <c r="A4982" s="33" t="s">
        <v>193</v>
      </c>
      <c r="B4982" s="34">
        <v>226.142</v>
      </c>
      <c r="C4982" s="35">
        <v>3278.3</v>
      </c>
      <c r="D4982" s="33" t="s">
        <v>237</v>
      </c>
      <c r="E4982" s="34">
        <v>226.16200000000001</v>
      </c>
      <c r="F4982" s="36">
        <v>2.0000000000010201E-2</v>
      </c>
      <c r="G4982" s="34">
        <v>2.0000000000010201E-2</v>
      </c>
      <c r="H4982" s="35">
        <v>14.7</v>
      </c>
      <c r="I4982" s="37">
        <f t="shared" si="77"/>
        <v>4.4840313577158885E-3</v>
      </c>
      <c r="J4982" s="33"/>
    </row>
    <row r="4983" spans="1:10">
      <c r="A4983" s="33" t="s">
        <v>193</v>
      </c>
      <c r="B4983" s="34">
        <v>226.142</v>
      </c>
      <c r="C4983" s="35">
        <v>3278.3</v>
      </c>
      <c r="D4983" s="33" t="s">
        <v>239</v>
      </c>
      <c r="E4983" s="34">
        <v>226.16399999999999</v>
      </c>
      <c r="F4983" s="36">
        <v>2.1999999999991401E-2</v>
      </c>
      <c r="G4983" s="34">
        <v>2.1999999999991401E-2</v>
      </c>
      <c r="H4983" s="35">
        <v>1.4</v>
      </c>
      <c r="I4983" s="37">
        <f t="shared" si="77"/>
        <v>4.2705060549675132E-4</v>
      </c>
      <c r="J4983" s="33"/>
    </row>
    <row r="4984" spans="1:10">
      <c r="A4984" s="33" t="s">
        <v>193</v>
      </c>
      <c r="B4984" s="34">
        <v>226.142</v>
      </c>
      <c r="C4984" s="35">
        <v>3278.3</v>
      </c>
      <c r="D4984" s="33" t="s">
        <v>293</v>
      </c>
      <c r="E4984" s="34">
        <v>226.16900000000001</v>
      </c>
      <c r="F4984" s="36">
        <v>2.7000000000015199E-2</v>
      </c>
      <c r="G4984" s="34">
        <v>2.7000000000015199E-2</v>
      </c>
      <c r="H4984" s="35">
        <v>1.2</v>
      </c>
      <c r="I4984" s="37">
        <f t="shared" si="77"/>
        <v>3.6604337614007257E-4</v>
      </c>
      <c r="J4984" s="33"/>
    </row>
    <row r="4985" spans="1:10">
      <c r="A4985" s="33" t="s">
        <v>193</v>
      </c>
      <c r="B4985" s="34">
        <v>226.142</v>
      </c>
      <c r="C4985" s="35">
        <v>3278.3</v>
      </c>
      <c r="D4985" s="33" t="s">
        <v>284</v>
      </c>
      <c r="E4985" s="34">
        <v>226.173</v>
      </c>
      <c r="F4985" s="36">
        <v>3.1000000000005901E-2</v>
      </c>
      <c r="G4985" s="34">
        <v>3.1000000000005901E-2</v>
      </c>
      <c r="H4985" s="35">
        <v>417</v>
      </c>
      <c r="I4985" s="37">
        <f t="shared" si="77"/>
        <v>0.12720007320867521</v>
      </c>
      <c r="J4985" s="33"/>
    </row>
    <row r="4986" spans="1:10">
      <c r="A4986" s="33" t="s">
        <v>193</v>
      </c>
      <c r="B4986" s="34">
        <v>226.142</v>
      </c>
      <c r="C4986" s="35">
        <v>3278.3</v>
      </c>
      <c r="D4986" s="33" t="s">
        <v>275</v>
      </c>
      <c r="E4986" s="34">
        <v>226.19800000000001</v>
      </c>
      <c r="F4986" s="36">
        <v>5.6000000000011603E-2</v>
      </c>
      <c r="G4986" s="34">
        <v>5.6000000000011603E-2</v>
      </c>
      <c r="H4986" s="35">
        <v>40.299999999999997</v>
      </c>
      <c r="I4986" s="37">
        <f t="shared" si="77"/>
        <v>1.229295671537077E-2</v>
      </c>
      <c r="J4986" s="33"/>
    </row>
    <row r="4987" spans="1:10">
      <c r="A4987" s="33" t="s">
        <v>193</v>
      </c>
      <c r="B4987" s="34">
        <v>226.142</v>
      </c>
      <c r="C4987" s="35">
        <v>3278.3</v>
      </c>
      <c r="D4987" s="33" t="s">
        <v>273</v>
      </c>
      <c r="E4987" s="34">
        <v>226.21299999999999</v>
      </c>
      <c r="F4987" s="36">
        <v>7.0999999999997995E-2</v>
      </c>
      <c r="G4987" s="34">
        <v>7.0999999999997995E-2</v>
      </c>
      <c r="H4987" s="35">
        <v>76.400000000000006</v>
      </c>
      <c r="I4987" s="37">
        <f t="shared" si="77"/>
        <v>2.3304761614251289E-2</v>
      </c>
      <c r="J4987" s="33"/>
    </row>
    <row r="4988" spans="1:10">
      <c r="A4988" s="33" t="s">
        <v>193</v>
      </c>
      <c r="B4988" s="34">
        <v>226.142</v>
      </c>
      <c r="C4988" s="35">
        <v>3278.3</v>
      </c>
      <c r="D4988" s="33" t="s">
        <v>296</v>
      </c>
      <c r="E4988" s="34">
        <v>226.22300000000001</v>
      </c>
      <c r="F4988" s="36">
        <v>8.1000000000017294E-2</v>
      </c>
      <c r="G4988" s="34">
        <v>8.1000000000017294E-2</v>
      </c>
      <c r="H4988" s="35">
        <v>1</v>
      </c>
      <c r="I4988" s="37">
        <f t="shared" si="77"/>
        <v>3.0503614678339383E-4</v>
      </c>
      <c r="J4988" s="33"/>
    </row>
    <row r="4989" spans="1:10">
      <c r="A4989" s="33" t="s">
        <v>193</v>
      </c>
      <c r="B4989" s="34">
        <v>226.142</v>
      </c>
      <c r="C4989" s="35">
        <v>3278.3</v>
      </c>
      <c r="D4989" s="33" t="s">
        <v>184</v>
      </c>
      <c r="E4989" s="34">
        <v>226.22900000000001</v>
      </c>
      <c r="F4989" s="36">
        <v>8.7000000000017494E-2</v>
      </c>
      <c r="G4989" s="34">
        <v>8.7000000000017494E-2</v>
      </c>
      <c r="H4989" s="35">
        <v>3.4</v>
      </c>
      <c r="I4989" s="37">
        <f t="shared" si="77"/>
        <v>1.037122899063539E-3</v>
      </c>
      <c r="J4989" s="33"/>
    </row>
    <row r="4990" spans="1:10">
      <c r="A4990" s="33" t="s">
        <v>193</v>
      </c>
      <c r="B4990" s="34">
        <v>226.142</v>
      </c>
      <c r="C4990" s="35">
        <v>3278.3</v>
      </c>
      <c r="D4990" s="33" t="s">
        <v>193</v>
      </c>
      <c r="E4990" s="34">
        <v>226.23</v>
      </c>
      <c r="F4990" s="36">
        <v>8.7999999999993903E-2</v>
      </c>
      <c r="G4990" s="34">
        <v>8.7999999999993903E-2</v>
      </c>
      <c r="H4990" s="35">
        <v>3305.6</v>
      </c>
      <c r="I4990" s="37">
        <f t="shared" si="77"/>
        <v>1.0083274868071865</v>
      </c>
      <c r="J4990" s="33"/>
    </row>
    <row r="4991" spans="1:10">
      <c r="A4991" s="33" t="s">
        <v>193</v>
      </c>
      <c r="B4991" s="34">
        <v>226.142</v>
      </c>
      <c r="C4991" s="35">
        <v>3278.3</v>
      </c>
      <c r="D4991" s="33" t="s">
        <v>291</v>
      </c>
      <c r="E4991" s="34">
        <v>226.25</v>
      </c>
      <c r="F4991" s="36">
        <v>0.108000000000004</v>
      </c>
      <c r="G4991" s="34">
        <v>0.108000000000004</v>
      </c>
      <c r="H4991" s="35">
        <v>53.3</v>
      </c>
      <c r="I4991" s="37">
        <f t="shared" si="77"/>
        <v>1.6258426623554891E-2</v>
      </c>
      <c r="J4991" s="33"/>
    </row>
    <row r="4992" spans="1:10">
      <c r="A4992" s="33" t="s">
        <v>193</v>
      </c>
      <c r="B4992" s="34">
        <v>226.142</v>
      </c>
      <c r="C4992" s="35">
        <v>3278.3</v>
      </c>
      <c r="D4992" s="33" t="s">
        <v>54</v>
      </c>
      <c r="E4992" s="34">
        <v>226.26</v>
      </c>
      <c r="F4992" s="36">
        <v>0.117999999999995</v>
      </c>
      <c r="G4992" s="34">
        <v>0.117999999999995</v>
      </c>
      <c r="H4992" s="35">
        <v>5.3</v>
      </c>
      <c r="I4992" s="37">
        <f t="shared" si="77"/>
        <v>1.6166915779519872E-3</v>
      </c>
      <c r="J4992" s="33"/>
    </row>
    <row r="4993" spans="1:10">
      <c r="A4993" s="33" t="s">
        <v>193</v>
      </c>
      <c r="B4993" s="34">
        <v>226.142</v>
      </c>
      <c r="C4993" s="35">
        <v>3278.3</v>
      </c>
      <c r="D4993" s="33" t="s">
        <v>97</v>
      </c>
      <c r="E4993" s="34">
        <v>226.26900000000001</v>
      </c>
      <c r="F4993" s="36">
        <v>0.12700000000000999</v>
      </c>
      <c r="G4993" s="34">
        <v>0.12700000000000999</v>
      </c>
      <c r="H4993" s="35">
        <v>39</v>
      </c>
      <c r="I4993" s="37">
        <f t="shared" si="77"/>
        <v>1.1896409724552359E-2</v>
      </c>
      <c r="J4993" s="33"/>
    </row>
    <row r="4994" spans="1:10">
      <c r="A4994" s="33" t="s">
        <v>193</v>
      </c>
      <c r="B4994" s="34">
        <v>226.142</v>
      </c>
      <c r="C4994" s="35">
        <v>3278.3</v>
      </c>
      <c r="D4994" s="33" t="s">
        <v>165</v>
      </c>
      <c r="E4994" s="34">
        <v>226.29</v>
      </c>
      <c r="F4994" s="36">
        <v>0.147999999999996</v>
      </c>
      <c r="G4994" s="34">
        <v>0.147999999999996</v>
      </c>
      <c r="H4994" s="35">
        <v>5.0999999999999996</v>
      </c>
      <c r="I4994" s="37">
        <f t="shared" ref="I4994:I5057" si="78">H4994/C4994</f>
        <v>1.5556843485953083E-3</v>
      </c>
      <c r="J4994" s="33"/>
    </row>
    <row r="4995" spans="1:10">
      <c r="A4995" s="33" t="s">
        <v>193</v>
      </c>
      <c r="B4995" s="34">
        <v>226.142</v>
      </c>
      <c r="C4995" s="35">
        <v>3278.3</v>
      </c>
      <c r="D4995" s="33" t="s">
        <v>286</v>
      </c>
      <c r="E4995" s="34">
        <v>226.30799999999999</v>
      </c>
      <c r="F4995" s="36">
        <v>0.16599999999999701</v>
      </c>
      <c r="G4995" s="34">
        <v>0.16599999999999701</v>
      </c>
      <c r="H4995" s="35">
        <v>3993</v>
      </c>
      <c r="I4995" s="37">
        <f t="shared" si="78"/>
        <v>1.2180093341060916</v>
      </c>
      <c r="J4995" s="33"/>
    </row>
    <row r="4996" spans="1:10">
      <c r="A4996" s="33" t="s">
        <v>193</v>
      </c>
      <c r="B4996" s="34">
        <v>226.142</v>
      </c>
      <c r="C4996" s="35">
        <v>3278.3</v>
      </c>
      <c r="D4996" s="33" t="s">
        <v>97</v>
      </c>
      <c r="E4996" s="34">
        <v>226.32300000000001</v>
      </c>
      <c r="F4996" s="36">
        <v>0.18100000000001201</v>
      </c>
      <c r="G4996" s="34">
        <v>0.18100000000001201</v>
      </c>
      <c r="H4996" s="35">
        <v>13.3</v>
      </c>
      <c r="I4996" s="37">
        <f t="shared" si="78"/>
        <v>4.0569807522191376E-3</v>
      </c>
      <c r="J4996" s="33"/>
    </row>
    <row r="4997" spans="1:10">
      <c r="A4997" s="33" t="s">
        <v>193</v>
      </c>
      <c r="B4997" s="34">
        <v>226.142</v>
      </c>
      <c r="C4997" s="35">
        <v>3278.3</v>
      </c>
      <c r="D4997" s="33" t="s">
        <v>273</v>
      </c>
      <c r="E4997" s="34">
        <v>226.33099999999999</v>
      </c>
      <c r="F4997" s="36">
        <v>0.18899999999999301</v>
      </c>
      <c r="G4997" s="34">
        <v>0.18899999999999301</v>
      </c>
      <c r="H4997" s="35">
        <v>59.7</v>
      </c>
      <c r="I4997" s="37">
        <f t="shared" si="78"/>
        <v>1.8210657962968613E-2</v>
      </c>
      <c r="J4997" s="33"/>
    </row>
    <row r="4998" spans="1:10">
      <c r="A4998" s="33" t="s">
        <v>193</v>
      </c>
      <c r="B4998" s="34">
        <v>226.142</v>
      </c>
      <c r="C4998" s="35">
        <v>3278.3</v>
      </c>
      <c r="D4998" s="33" t="s">
        <v>284</v>
      </c>
      <c r="E4998" s="34">
        <v>226.33699999999999</v>
      </c>
      <c r="F4998" s="36">
        <v>0.19499999999999301</v>
      </c>
      <c r="G4998" s="34">
        <v>0.19499999999999301</v>
      </c>
      <c r="H4998" s="35">
        <v>7.2</v>
      </c>
      <c r="I4998" s="37">
        <f t="shared" si="78"/>
        <v>2.1962602568404354E-3</v>
      </c>
      <c r="J4998" s="33"/>
    </row>
    <row r="4999" spans="1:10">
      <c r="A4999" s="33" t="s">
        <v>193</v>
      </c>
      <c r="B4999" s="34">
        <v>226.23</v>
      </c>
      <c r="C4999" s="35">
        <v>3305.6</v>
      </c>
      <c r="D4999" s="33" t="s">
        <v>296</v>
      </c>
      <c r="E4999" s="34">
        <v>226.02600000000001</v>
      </c>
      <c r="F4999" s="36">
        <v>0.203999999999979</v>
      </c>
      <c r="G4999" s="34">
        <v>0.203999999999979</v>
      </c>
      <c r="H4999" s="35">
        <v>0.7</v>
      </c>
      <c r="I4999" s="37">
        <f t="shared" si="78"/>
        <v>2.1176185866408518E-4</v>
      </c>
      <c r="J4999" s="33"/>
    </row>
    <row r="5000" spans="1:10">
      <c r="A5000" s="33" t="s">
        <v>193</v>
      </c>
      <c r="B5000" s="34">
        <v>226.23</v>
      </c>
      <c r="C5000" s="35">
        <v>3305.6</v>
      </c>
      <c r="D5000" s="33" t="s">
        <v>193</v>
      </c>
      <c r="E5000" s="34">
        <v>226.02600000000001</v>
      </c>
      <c r="F5000" s="36">
        <v>0.203999999999979</v>
      </c>
      <c r="G5000" s="34">
        <v>0.203999999999979</v>
      </c>
      <c r="H5000" s="35">
        <v>131.1</v>
      </c>
      <c r="I5000" s="37">
        <f t="shared" si="78"/>
        <v>3.9659970958373668E-2</v>
      </c>
      <c r="J5000" s="33"/>
    </row>
    <row r="5001" spans="1:10">
      <c r="A5001" s="33" t="s">
        <v>193</v>
      </c>
      <c r="B5001" s="34">
        <v>226.23</v>
      </c>
      <c r="C5001" s="35">
        <v>3305.6</v>
      </c>
      <c r="D5001" s="33" t="s">
        <v>286</v>
      </c>
      <c r="E5001" s="34">
        <v>226.053</v>
      </c>
      <c r="F5001" s="36">
        <v>0.176999999999993</v>
      </c>
      <c r="G5001" s="34">
        <v>0.176999999999993</v>
      </c>
      <c r="H5001" s="35">
        <v>43</v>
      </c>
      <c r="I5001" s="37">
        <f t="shared" si="78"/>
        <v>1.3008228460793804E-2</v>
      </c>
      <c r="J5001" s="33"/>
    </row>
    <row r="5002" spans="1:10">
      <c r="A5002" s="33" t="s">
        <v>193</v>
      </c>
      <c r="B5002" s="34">
        <v>226.23</v>
      </c>
      <c r="C5002" s="35">
        <v>3305.6</v>
      </c>
      <c r="D5002" s="33" t="s">
        <v>193</v>
      </c>
      <c r="E5002" s="34">
        <v>226.05699999999999</v>
      </c>
      <c r="F5002" s="36">
        <v>0.17300000000000201</v>
      </c>
      <c r="G5002" s="34">
        <v>0.17300000000000201</v>
      </c>
      <c r="H5002" s="35">
        <v>125.6</v>
      </c>
      <c r="I5002" s="37">
        <f t="shared" si="78"/>
        <v>3.7996127783155857E-2</v>
      </c>
      <c r="J5002" s="33"/>
    </row>
    <row r="5003" spans="1:10">
      <c r="A5003" s="33" t="s">
        <v>193</v>
      </c>
      <c r="B5003" s="34">
        <v>226.23</v>
      </c>
      <c r="C5003" s="35">
        <v>3305.6</v>
      </c>
      <c r="D5003" s="33" t="s">
        <v>290</v>
      </c>
      <c r="E5003" s="34">
        <v>226.065</v>
      </c>
      <c r="F5003" s="36">
        <v>0.16499999999999199</v>
      </c>
      <c r="G5003" s="34">
        <v>0.16499999999999199</v>
      </c>
      <c r="H5003" s="35">
        <v>49.6</v>
      </c>
      <c r="I5003" s="37">
        <f t="shared" si="78"/>
        <v>1.500484027105518E-2</v>
      </c>
      <c r="J5003" s="33"/>
    </row>
    <row r="5004" spans="1:10">
      <c r="A5004" s="33" t="s">
        <v>193</v>
      </c>
      <c r="B5004" s="34">
        <v>226.23</v>
      </c>
      <c r="C5004" s="35">
        <v>3305.6</v>
      </c>
      <c r="D5004" s="33" t="s">
        <v>97</v>
      </c>
      <c r="E5004" s="34">
        <v>226.089</v>
      </c>
      <c r="F5004" s="36">
        <v>0.14099999999999099</v>
      </c>
      <c r="G5004" s="34">
        <v>0.14099999999999099</v>
      </c>
      <c r="H5004" s="35">
        <v>27</v>
      </c>
      <c r="I5004" s="37">
        <f t="shared" si="78"/>
        <v>8.1679574056147154E-3</v>
      </c>
      <c r="J5004" s="33"/>
    </row>
    <row r="5005" spans="1:10">
      <c r="A5005" s="33" t="s">
        <v>193</v>
      </c>
      <c r="B5005" s="34">
        <v>226.23</v>
      </c>
      <c r="C5005" s="35">
        <v>3305.6</v>
      </c>
      <c r="D5005" s="33" t="s">
        <v>278</v>
      </c>
      <c r="E5005" s="34">
        <v>226.108</v>
      </c>
      <c r="F5005" s="36">
        <v>0.12199999999998599</v>
      </c>
      <c r="G5005" s="34">
        <v>0.12199999999998599</v>
      </c>
      <c r="H5005" s="35">
        <v>33.4</v>
      </c>
      <c r="I5005" s="37">
        <f t="shared" si="78"/>
        <v>1.0104065827686351E-2</v>
      </c>
      <c r="J5005" s="33"/>
    </row>
    <row r="5006" spans="1:10">
      <c r="A5006" s="33" t="s">
        <v>193</v>
      </c>
      <c r="B5006" s="34">
        <v>226.23</v>
      </c>
      <c r="C5006" s="35">
        <v>3305.6</v>
      </c>
      <c r="D5006" s="33" t="s">
        <v>237</v>
      </c>
      <c r="E5006" s="34">
        <v>226.12</v>
      </c>
      <c r="F5006" s="36">
        <v>0.109999999999985</v>
      </c>
      <c r="G5006" s="34">
        <v>0.109999999999985</v>
      </c>
      <c r="H5006" s="35">
        <v>895.8</v>
      </c>
      <c r="I5006" s="37">
        <f t="shared" si="78"/>
        <v>0.27099467570183927</v>
      </c>
      <c r="J5006" s="33"/>
    </row>
    <row r="5007" spans="1:10">
      <c r="A5007" s="33" t="s">
        <v>193</v>
      </c>
      <c r="B5007" s="34">
        <v>226.23</v>
      </c>
      <c r="C5007" s="35">
        <v>3305.6</v>
      </c>
      <c r="D5007" s="33" t="s">
        <v>193</v>
      </c>
      <c r="E5007" s="34">
        <v>226.142</v>
      </c>
      <c r="F5007" s="36">
        <v>8.7999999999993903E-2</v>
      </c>
      <c r="G5007" s="34">
        <v>8.7999999999993903E-2</v>
      </c>
      <c r="H5007" s="35">
        <v>3278.3</v>
      </c>
      <c r="I5007" s="37">
        <f t="shared" si="78"/>
        <v>0.99174128751210078</v>
      </c>
      <c r="J5007" s="33"/>
    </row>
    <row r="5008" spans="1:10">
      <c r="A5008" s="33" t="s">
        <v>193</v>
      </c>
      <c r="B5008" s="34">
        <v>226.23</v>
      </c>
      <c r="C5008" s="35">
        <v>3305.6</v>
      </c>
      <c r="D5008" s="33" t="s">
        <v>165</v>
      </c>
      <c r="E5008" s="34">
        <v>226.143</v>
      </c>
      <c r="F5008" s="36">
        <v>8.69999999999891E-2</v>
      </c>
      <c r="G5008" s="34">
        <v>8.69999999999891E-2</v>
      </c>
      <c r="H5008" s="35">
        <v>55</v>
      </c>
      <c r="I5008" s="37">
        <f t="shared" si="78"/>
        <v>1.6638431752178124E-2</v>
      </c>
      <c r="J5008" s="33"/>
    </row>
    <row r="5009" spans="1:10">
      <c r="A5009" s="33" t="s">
        <v>193</v>
      </c>
      <c r="B5009" s="34">
        <v>226.23</v>
      </c>
      <c r="C5009" s="35">
        <v>3305.6</v>
      </c>
      <c r="D5009" s="33" t="s">
        <v>193</v>
      </c>
      <c r="E5009" s="34">
        <v>226.161</v>
      </c>
      <c r="F5009" s="36">
        <v>6.8999999999988404E-2</v>
      </c>
      <c r="G5009" s="34">
        <v>6.8999999999988404E-2</v>
      </c>
      <c r="H5009" s="35">
        <v>1584.2</v>
      </c>
      <c r="I5009" s="37">
        <f t="shared" si="78"/>
        <v>0.47924733785091966</v>
      </c>
      <c r="J5009" s="33"/>
    </row>
    <row r="5010" spans="1:10">
      <c r="A5010" s="33" t="s">
        <v>193</v>
      </c>
      <c r="B5010" s="34">
        <v>226.23</v>
      </c>
      <c r="C5010" s="35">
        <v>3305.6</v>
      </c>
      <c r="D5010" s="33" t="s">
        <v>237</v>
      </c>
      <c r="E5010" s="34">
        <v>226.16200000000001</v>
      </c>
      <c r="F5010" s="36">
        <v>6.7999999999983601E-2</v>
      </c>
      <c r="G5010" s="34">
        <v>6.7999999999983601E-2</v>
      </c>
      <c r="H5010" s="35">
        <v>14.7</v>
      </c>
      <c r="I5010" s="37">
        <f t="shared" si="78"/>
        <v>4.446999031945789E-3</v>
      </c>
      <c r="J5010" s="33"/>
    </row>
    <row r="5011" spans="1:10">
      <c r="A5011" s="33" t="s">
        <v>193</v>
      </c>
      <c r="B5011" s="34">
        <v>226.23</v>
      </c>
      <c r="C5011" s="35">
        <v>3305.6</v>
      </c>
      <c r="D5011" s="33" t="s">
        <v>239</v>
      </c>
      <c r="E5011" s="34">
        <v>226.16399999999999</v>
      </c>
      <c r="F5011" s="36">
        <v>6.6000000000002501E-2</v>
      </c>
      <c r="G5011" s="34">
        <v>6.6000000000002501E-2</v>
      </c>
      <c r="H5011" s="35">
        <v>1.4</v>
      </c>
      <c r="I5011" s="37">
        <f t="shared" si="78"/>
        <v>4.2352371732817036E-4</v>
      </c>
      <c r="J5011" s="33"/>
    </row>
    <row r="5012" spans="1:10">
      <c r="A5012" s="33" t="s">
        <v>193</v>
      </c>
      <c r="B5012" s="34">
        <v>226.23</v>
      </c>
      <c r="C5012" s="35">
        <v>3305.6</v>
      </c>
      <c r="D5012" s="33" t="s">
        <v>293</v>
      </c>
      <c r="E5012" s="34">
        <v>226.16900000000001</v>
      </c>
      <c r="F5012" s="36">
        <v>6.0999999999978599E-2</v>
      </c>
      <c r="G5012" s="34">
        <v>6.0999999999978599E-2</v>
      </c>
      <c r="H5012" s="35">
        <v>1.2</v>
      </c>
      <c r="I5012" s="37">
        <f t="shared" si="78"/>
        <v>3.6302032913843176E-4</v>
      </c>
      <c r="J5012" s="33"/>
    </row>
    <row r="5013" spans="1:10">
      <c r="A5013" s="33" t="s">
        <v>193</v>
      </c>
      <c r="B5013" s="34">
        <v>226.23</v>
      </c>
      <c r="C5013" s="35">
        <v>3305.6</v>
      </c>
      <c r="D5013" s="33" t="s">
        <v>284</v>
      </c>
      <c r="E5013" s="34">
        <v>226.173</v>
      </c>
      <c r="F5013" s="36">
        <v>5.6999999999987998E-2</v>
      </c>
      <c r="G5013" s="34">
        <v>5.6999999999987998E-2</v>
      </c>
      <c r="H5013" s="35">
        <v>417</v>
      </c>
      <c r="I5013" s="37">
        <f t="shared" si="78"/>
        <v>0.12614956437560504</v>
      </c>
      <c r="J5013" s="33"/>
    </row>
    <row r="5014" spans="1:10">
      <c r="A5014" s="33" t="s">
        <v>193</v>
      </c>
      <c r="B5014" s="34">
        <v>226.23</v>
      </c>
      <c r="C5014" s="35">
        <v>3305.6</v>
      </c>
      <c r="D5014" s="33" t="s">
        <v>275</v>
      </c>
      <c r="E5014" s="34">
        <v>226.19800000000001</v>
      </c>
      <c r="F5014" s="36">
        <v>3.19999999999823E-2</v>
      </c>
      <c r="G5014" s="34">
        <v>3.19999999999823E-2</v>
      </c>
      <c r="H5014" s="35">
        <v>40.299999999999997</v>
      </c>
      <c r="I5014" s="37">
        <f t="shared" si="78"/>
        <v>1.2191432720232332E-2</v>
      </c>
      <c r="J5014" s="33"/>
    </row>
    <row r="5015" spans="1:10">
      <c r="A5015" s="33" t="s">
        <v>193</v>
      </c>
      <c r="B5015" s="34">
        <v>226.23</v>
      </c>
      <c r="C5015" s="35">
        <v>3305.6</v>
      </c>
      <c r="D5015" s="33" t="s">
        <v>273</v>
      </c>
      <c r="E5015" s="34">
        <v>226.21299999999999</v>
      </c>
      <c r="F5015" s="36">
        <v>1.69999999999959E-2</v>
      </c>
      <c r="G5015" s="34">
        <v>1.69999999999959E-2</v>
      </c>
      <c r="H5015" s="35">
        <v>76.400000000000006</v>
      </c>
      <c r="I5015" s="37">
        <f t="shared" si="78"/>
        <v>2.3112294288480158E-2</v>
      </c>
      <c r="J5015" s="33"/>
    </row>
    <row r="5016" spans="1:10">
      <c r="A5016" s="33" t="s">
        <v>193</v>
      </c>
      <c r="B5016" s="34">
        <v>226.23</v>
      </c>
      <c r="C5016" s="35">
        <v>3305.6</v>
      </c>
      <c r="D5016" s="33" t="s">
        <v>296</v>
      </c>
      <c r="E5016" s="34">
        <v>226.22300000000001</v>
      </c>
      <c r="F5016" s="36">
        <v>6.9999999999765796E-3</v>
      </c>
      <c r="G5016" s="34">
        <v>6.9999999999765796E-3</v>
      </c>
      <c r="H5016" s="35">
        <v>1</v>
      </c>
      <c r="I5016" s="37">
        <f t="shared" si="78"/>
        <v>3.0251694094869311E-4</v>
      </c>
      <c r="J5016" s="33"/>
    </row>
    <row r="5017" spans="1:10">
      <c r="A5017" s="33" t="s">
        <v>193</v>
      </c>
      <c r="B5017" s="34">
        <v>226.23</v>
      </c>
      <c r="C5017" s="35">
        <v>3305.6</v>
      </c>
      <c r="D5017" s="33" t="s">
        <v>184</v>
      </c>
      <c r="E5017" s="34">
        <v>226.22900000000001</v>
      </c>
      <c r="F5017" s="36">
        <v>9.9999999997635292E-4</v>
      </c>
      <c r="G5017" s="34">
        <v>9.9999999997635292E-4</v>
      </c>
      <c r="H5017" s="35">
        <v>3.4</v>
      </c>
      <c r="I5017" s="37">
        <f t="shared" si="78"/>
        <v>1.0285575992255566E-3</v>
      </c>
      <c r="J5017" s="33"/>
    </row>
    <row r="5018" spans="1:10">
      <c r="A5018" s="33" t="s">
        <v>193</v>
      </c>
      <c r="B5018" s="34">
        <v>226.23</v>
      </c>
      <c r="C5018" s="35">
        <v>3305.6</v>
      </c>
      <c r="D5018" s="33" t="s">
        <v>291</v>
      </c>
      <c r="E5018" s="34">
        <v>226.25</v>
      </c>
      <c r="F5018" s="36">
        <v>2.0000000000010201E-2</v>
      </c>
      <c r="G5018" s="34">
        <v>2.0000000000010201E-2</v>
      </c>
      <c r="H5018" s="35">
        <v>53.3</v>
      </c>
      <c r="I5018" s="37">
        <f t="shared" si="78"/>
        <v>1.6124152952565342E-2</v>
      </c>
      <c r="J5018" s="33"/>
    </row>
    <row r="5019" spans="1:10">
      <c r="A5019" s="33" t="s">
        <v>193</v>
      </c>
      <c r="B5019" s="34">
        <v>226.23</v>
      </c>
      <c r="C5019" s="35">
        <v>3305.6</v>
      </c>
      <c r="D5019" s="33" t="s">
        <v>54</v>
      </c>
      <c r="E5019" s="34">
        <v>226.26</v>
      </c>
      <c r="F5019" s="36">
        <v>3.0000000000001099E-2</v>
      </c>
      <c r="G5019" s="34">
        <v>3.0000000000001099E-2</v>
      </c>
      <c r="H5019" s="35">
        <v>5.3</v>
      </c>
      <c r="I5019" s="37">
        <f t="shared" si="78"/>
        <v>1.6033397870280736E-3</v>
      </c>
      <c r="J5019" s="33"/>
    </row>
    <row r="5020" spans="1:10">
      <c r="A5020" s="33" t="s">
        <v>193</v>
      </c>
      <c r="B5020" s="34">
        <v>226.23</v>
      </c>
      <c r="C5020" s="35">
        <v>3305.6</v>
      </c>
      <c r="D5020" s="33" t="s">
        <v>97</v>
      </c>
      <c r="E5020" s="34">
        <v>226.26900000000001</v>
      </c>
      <c r="F5020" s="36">
        <v>3.9000000000015703E-2</v>
      </c>
      <c r="G5020" s="34">
        <v>3.9000000000015703E-2</v>
      </c>
      <c r="H5020" s="35">
        <v>39</v>
      </c>
      <c r="I5020" s="37">
        <f t="shared" si="78"/>
        <v>1.1798160696999032E-2</v>
      </c>
      <c r="J5020" s="33"/>
    </row>
    <row r="5021" spans="1:10">
      <c r="A5021" s="33" t="s">
        <v>193</v>
      </c>
      <c r="B5021" s="34">
        <v>226.23</v>
      </c>
      <c r="C5021" s="35">
        <v>3305.6</v>
      </c>
      <c r="D5021" s="33" t="s">
        <v>165</v>
      </c>
      <c r="E5021" s="34">
        <v>226.29</v>
      </c>
      <c r="F5021" s="36">
        <v>6.0000000000002301E-2</v>
      </c>
      <c r="G5021" s="34">
        <v>6.0000000000002301E-2</v>
      </c>
      <c r="H5021" s="35">
        <v>5.0999999999999996</v>
      </c>
      <c r="I5021" s="37">
        <f t="shared" si="78"/>
        <v>1.5428363988383349E-3</v>
      </c>
      <c r="J5021" s="33"/>
    </row>
    <row r="5022" spans="1:10">
      <c r="A5022" s="33" t="s">
        <v>193</v>
      </c>
      <c r="B5022" s="34">
        <v>226.23</v>
      </c>
      <c r="C5022" s="35">
        <v>3305.6</v>
      </c>
      <c r="D5022" s="33" t="s">
        <v>286</v>
      </c>
      <c r="E5022" s="34">
        <v>226.30799999999999</v>
      </c>
      <c r="F5022" s="36">
        <v>7.8000000000002997E-2</v>
      </c>
      <c r="G5022" s="34">
        <v>7.8000000000002997E-2</v>
      </c>
      <c r="H5022" s="35">
        <v>3993</v>
      </c>
      <c r="I5022" s="37">
        <f t="shared" si="78"/>
        <v>1.2079501452081316</v>
      </c>
      <c r="J5022" s="33"/>
    </row>
    <row r="5023" spans="1:10">
      <c r="A5023" s="33" t="s">
        <v>193</v>
      </c>
      <c r="B5023" s="34">
        <v>226.23</v>
      </c>
      <c r="C5023" s="35">
        <v>3305.6</v>
      </c>
      <c r="D5023" s="33" t="s">
        <v>97</v>
      </c>
      <c r="E5023" s="34">
        <v>226.32300000000001</v>
      </c>
      <c r="F5023" s="36">
        <v>9.3000000000017694E-2</v>
      </c>
      <c r="G5023" s="34">
        <v>9.3000000000017694E-2</v>
      </c>
      <c r="H5023" s="35">
        <v>13.3</v>
      </c>
      <c r="I5023" s="37">
        <f t="shared" si="78"/>
        <v>4.0234753146176187E-3</v>
      </c>
      <c r="J5023" s="33"/>
    </row>
    <row r="5024" spans="1:10">
      <c r="A5024" s="33" t="s">
        <v>193</v>
      </c>
      <c r="B5024" s="34">
        <v>226.23</v>
      </c>
      <c r="C5024" s="35">
        <v>3305.6</v>
      </c>
      <c r="D5024" s="33" t="s">
        <v>273</v>
      </c>
      <c r="E5024" s="34">
        <v>226.33099999999999</v>
      </c>
      <c r="F5024" s="36">
        <v>0.10099999999999899</v>
      </c>
      <c r="G5024" s="34">
        <v>0.10099999999999899</v>
      </c>
      <c r="H5024" s="35">
        <v>59.7</v>
      </c>
      <c r="I5024" s="37">
        <f t="shared" si="78"/>
        <v>1.8060261374636982E-2</v>
      </c>
      <c r="J5024" s="33"/>
    </row>
    <row r="5025" spans="1:10">
      <c r="A5025" s="33" t="s">
        <v>193</v>
      </c>
      <c r="B5025" s="34">
        <v>226.23</v>
      </c>
      <c r="C5025" s="35">
        <v>3305.6</v>
      </c>
      <c r="D5025" s="33" t="s">
        <v>284</v>
      </c>
      <c r="E5025" s="34">
        <v>226.33699999999999</v>
      </c>
      <c r="F5025" s="36">
        <v>0.106999999999999</v>
      </c>
      <c r="G5025" s="34">
        <v>0.106999999999999</v>
      </c>
      <c r="H5025" s="35">
        <v>7.2</v>
      </c>
      <c r="I5025" s="37">
        <f t="shared" si="78"/>
        <v>2.1781219748305907E-3</v>
      </c>
      <c r="J5025" s="33"/>
    </row>
    <row r="5026" spans="1:10">
      <c r="A5026" s="33" t="s">
        <v>193</v>
      </c>
      <c r="B5026" s="34">
        <v>226.23</v>
      </c>
      <c r="C5026" s="35">
        <v>3305.6</v>
      </c>
      <c r="D5026" s="33" t="s">
        <v>271</v>
      </c>
      <c r="E5026" s="34">
        <v>226.34100000000001</v>
      </c>
      <c r="F5026" s="36">
        <v>0.111000000000018</v>
      </c>
      <c r="G5026" s="34">
        <v>0.111000000000018</v>
      </c>
      <c r="H5026" s="35">
        <v>123.3</v>
      </c>
      <c r="I5026" s="37">
        <f t="shared" si="78"/>
        <v>3.7300338818973863E-2</v>
      </c>
      <c r="J5026" s="33"/>
    </row>
    <row r="5027" spans="1:10">
      <c r="A5027" s="33" t="s">
        <v>193</v>
      </c>
      <c r="B5027" s="34">
        <v>226.23</v>
      </c>
      <c r="C5027" s="35">
        <v>3305.6</v>
      </c>
      <c r="D5027" s="33" t="s">
        <v>282</v>
      </c>
      <c r="E5027" s="34">
        <v>226.34299999999999</v>
      </c>
      <c r="F5027" s="36">
        <v>0.113</v>
      </c>
      <c r="G5027" s="34">
        <v>0.113</v>
      </c>
      <c r="H5027" s="35">
        <v>206.3</v>
      </c>
      <c r="I5027" s="37">
        <f t="shared" si="78"/>
        <v>6.2409244917715399E-2</v>
      </c>
      <c r="J5027" s="33"/>
    </row>
    <row r="5028" spans="1:10">
      <c r="A5028" s="33" t="s">
        <v>193</v>
      </c>
      <c r="B5028" s="34">
        <v>226.23</v>
      </c>
      <c r="C5028" s="35">
        <v>3305.6</v>
      </c>
      <c r="D5028" s="33" t="s">
        <v>283</v>
      </c>
      <c r="E5028" s="34">
        <v>226.346</v>
      </c>
      <c r="F5028" s="36">
        <v>0.11600000000001399</v>
      </c>
      <c r="G5028" s="34">
        <v>0.11600000000001399</v>
      </c>
      <c r="H5028" s="35">
        <v>645.1</v>
      </c>
      <c r="I5028" s="37">
        <f t="shared" si="78"/>
        <v>0.19515367860600194</v>
      </c>
      <c r="J5028" s="33"/>
    </row>
    <row r="5029" spans="1:10">
      <c r="A5029" s="33" t="s">
        <v>193</v>
      </c>
      <c r="B5029" s="34">
        <v>226.23</v>
      </c>
      <c r="C5029" s="35">
        <v>3305.6</v>
      </c>
      <c r="D5029" s="33" t="s">
        <v>97</v>
      </c>
      <c r="E5029" s="34">
        <v>226.34700000000001</v>
      </c>
      <c r="F5029" s="36">
        <v>0.11700000000001901</v>
      </c>
      <c r="G5029" s="34">
        <v>0.11700000000001901</v>
      </c>
      <c r="H5029" s="35">
        <v>1</v>
      </c>
      <c r="I5029" s="37">
        <f t="shared" si="78"/>
        <v>3.0251694094869311E-4</v>
      </c>
      <c r="J5029" s="33"/>
    </row>
    <row r="5030" spans="1:10">
      <c r="A5030" s="33" t="s">
        <v>193</v>
      </c>
      <c r="B5030" s="34">
        <v>226.23</v>
      </c>
      <c r="C5030" s="35">
        <v>3305.6</v>
      </c>
      <c r="D5030" s="33" t="s">
        <v>268</v>
      </c>
      <c r="E5030" s="34">
        <v>226.35</v>
      </c>
      <c r="F5030" s="36">
        <v>0.12000000000000501</v>
      </c>
      <c r="G5030" s="34">
        <v>0.12000000000000501</v>
      </c>
      <c r="H5030" s="35">
        <v>196.1</v>
      </c>
      <c r="I5030" s="37">
        <f t="shared" si="78"/>
        <v>5.932357212003872E-2</v>
      </c>
      <c r="J5030" s="33"/>
    </row>
    <row r="5031" spans="1:10">
      <c r="A5031" s="33" t="s">
        <v>193</v>
      </c>
      <c r="B5031" s="34">
        <v>226.23</v>
      </c>
      <c r="C5031" s="35">
        <v>3305.6</v>
      </c>
      <c r="D5031" s="33" t="s">
        <v>274</v>
      </c>
      <c r="E5031" s="34">
        <v>226.35300000000001</v>
      </c>
      <c r="F5031" s="36">
        <v>0.123000000000019</v>
      </c>
      <c r="G5031" s="34">
        <v>0.123000000000019</v>
      </c>
      <c r="H5031" s="35">
        <v>225.8</v>
      </c>
      <c r="I5031" s="37">
        <f t="shared" si="78"/>
        <v>6.8308325266214914E-2</v>
      </c>
      <c r="J5031" s="33"/>
    </row>
    <row r="5032" spans="1:10">
      <c r="A5032" s="33" t="s">
        <v>193</v>
      </c>
      <c r="B5032" s="34">
        <v>226.23</v>
      </c>
      <c r="C5032" s="35">
        <v>3305.6</v>
      </c>
      <c r="D5032" s="33" t="s">
        <v>237</v>
      </c>
      <c r="E5032" s="34">
        <v>226.40199999999999</v>
      </c>
      <c r="F5032" s="36">
        <v>0.17199999999999699</v>
      </c>
      <c r="G5032" s="34">
        <v>0.17199999999999699</v>
      </c>
      <c r="H5032" s="35">
        <v>16.100000000000001</v>
      </c>
      <c r="I5032" s="37">
        <f t="shared" si="78"/>
        <v>4.8705227492739601E-3</v>
      </c>
      <c r="J5032" s="33"/>
    </row>
    <row r="5033" spans="1:10">
      <c r="A5033" s="33" t="s">
        <v>193</v>
      </c>
      <c r="B5033" s="34">
        <v>226.23</v>
      </c>
      <c r="C5033" s="35">
        <v>3305.6</v>
      </c>
      <c r="D5033" s="33" t="s">
        <v>282</v>
      </c>
      <c r="E5033" s="34">
        <v>226.41399999999999</v>
      </c>
      <c r="F5033" s="36">
        <v>0.183999999999998</v>
      </c>
      <c r="G5033" s="34">
        <v>0.183999999999998</v>
      </c>
      <c r="H5033" s="35">
        <v>182.1</v>
      </c>
      <c r="I5033" s="37">
        <f t="shared" si="78"/>
        <v>5.5088334946757016E-2</v>
      </c>
      <c r="J5033" s="33"/>
    </row>
    <row r="5034" spans="1:10">
      <c r="A5034" s="33" t="s">
        <v>193</v>
      </c>
      <c r="B5034" s="34">
        <v>226.23</v>
      </c>
      <c r="C5034" s="35">
        <v>3305.6</v>
      </c>
      <c r="D5034" s="33" t="s">
        <v>285</v>
      </c>
      <c r="E5034" s="34">
        <v>226.428</v>
      </c>
      <c r="F5034" s="36">
        <v>0.198000000000008</v>
      </c>
      <c r="G5034" s="34">
        <v>0.198000000000008</v>
      </c>
      <c r="H5034" s="35">
        <v>106.9</v>
      </c>
      <c r="I5034" s="37">
        <f t="shared" si="78"/>
        <v>3.2339060987415298E-2</v>
      </c>
      <c r="J5034" s="33"/>
    </row>
    <row r="5035" spans="1:10">
      <c r="A5035" s="33" t="s">
        <v>193</v>
      </c>
      <c r="B5035" s="34">
        <v>226.23</v>
      </c>
      <c r="C5035" s="35">
        <v>3305.6</v>
      </c>
      <c r="D5035" s="33" t="s">
        <v>275</v>
      </c>
      <c r="E5035" s="34">
        <v>226.435</v>
      </c>
      <c r="F5035" s="36">
        <v>0.20500000000001301</v>
      </c>
      <c r="G5035" s="34">
        <v>0.20500000000001301</v>
      </c>
      <c r="H5035" s="35">
        <v>27.5</v>
      </c>
      <c r="I5035" s="37">
        <f t="shared" si="78"/>
        <v>8.319215876089062E-3</v>
      </c>
      <c r="J5035" s="33"/>
    </row>
    <row r="5036" spans="1:10">
      <c r="A5036" s="33" t="s">
        <v>193</v>
      </c>
      <c r="B5036" s="34">
        <v>226.23</v>
      </c>
      <c r="C5036" s="35">
        <v>3305.6</v>
      </c>
      <c r="D5036" s="33" t="s">
        <v>97</v>
      </c>
      <c r="E5036" s="34">
        <v>226.43899999999999</v>
      </c>
      <c r="F5036" s="36">
        <v>0.20900000000000299</v>
      </c>
      <c r="G5036" s="34">
        <v>0.20900000000000299</v>
      </c>
      <c r="H5036" s="35">
        <v>13.4</v>
      </c>
      <c r="I5036" s="37">
        <f t="shared" si="78"/>
        <v>4.0537270087124882E-3</v>
      </c>
      <c r="J5036" s="33"/>
    </row>
    <row r="5037" spans="1:10">
      <c r="A5037" s="33" t="s">
        <v>193</v>
      </c>
      <c r="B5037" s="34">
        <v>226.23</v>
      </c>
      <c r="C5037" s="35">
        <v>3305.6</v>
      </c>
      <c r="D5037" s="33" t="s">
        <v>279</v>
      </c>
      <c r="E5037" s="34">
        <v>226.43899999999999</v>
      </c>
      <c r="F5037" s="36">
        <v>0.20900000000000299</v>
      </c>
      <c r="G5037" s="34">
        <v>0.20900000000000299</v>
      </c>
      <c r="H5037" s="35">
        <v>257.2</v>
      </c>
      <c r="I5037" s="37">
        <f t="shared" si="78"/>
        <v>7.7807357212003866E-2</v>
      </c>
      <c r="J5037" s="33"/>
    </row>
    <row r="5038" spans="1:10">
      <c r="A5038" s="33" t="s">
        <v>193</v>
      </c>
      <c r="B5038" s="34">
        <v>233.19800000000001</v>
      </c>
      <c r="C5038" s="35">
        <v>3011.9</v>
      </c>
      <c r="D5038" s="33" t="s">
        <v>278</v>
      </c>
      <c r="E5038" s="34">
        <v>232.952</v>
      </c>
      <c r="F5038" s="36">
        <v>0.24600000000000899</v>
      </c>
      <c r="G5038" s="34">
        <v>0.24600000000000899</v>
      </c>
      <c r="H5038" s="35">
        <v>3.9</v>
      </c>
      <c r="I5038" s="37">
        <f t="shared" si="78"/>
        <v>1.2948637072943989E-3</v>
      </c>
      <c r="J5038" s="33"/>
    </row>
    <row r="5039" spans="1:10">
      <c r="A5039" s="33" t="s">
        <v>193</v>
      </c>
      <c r="B5039" s="34">
        <v>233.19800000000001</v>
      </c>
      <c r="C5039" s="35">
        <v>3011.9</v>
      </c>
      <c r="D5039" s="33" t="s">
        <v>97</v>
      </c>
      <c r="E5039" s="34">
        <v>232.964</v>
      </c>
      <c r="F5039" s="36">
        <v>0.23400000000000901</v>
      </c>
      <c r="G5039" s="34">
        <v>0.23400000000000901</v>
      </c>
      <c r="H5039" s="35">
        <v>0.6</v>
      </c>
      <c r="I5039" s="37">
        <f t="shared" si="78"/>
        <v>1.9920980112221519E-4</v>
      </c>
      <c r="J5039" s="33"/>
    </row>
    <row r="5040" spans="1:10">
      <c r="A5040" s="33" t="s">
        <v>193</v>
      </c>
      <c r="B5040" s="34">
        <v>233.19800000000001</v>
      </c>
      <c r="C5040" s="35">
        <v>3011.9</v>
      </c>
      <c r="D5040" s="33" t="s">
        <v>275</v>
      </c>
      <c r="E5040" s="34">
        <v>232.96899999999999</v>
      </c>
      <c r="F5040" s="36">
        <v>0.229000000000013</v>
      </c>
      <c r="G5040" s="34">
        <v>0.229000000000013</v>
      </c>
      <c r="H5040" s="35">
        <v>119.2</v>
      </c>
      <c r="I5040" s="37">
        <f t="shared" si="78"/>
        <v>3.9576347156280091E-2</v>
      </c>
      <c r="J5040" s="33"/>
    </row>
    <row r="5041" spans="1:10">
      <c r="A5041" s="33" t="s">
        <v>193</v>
      </c>
      <c r="B5041" s="34">
        <v>233.19800000000001</v>
      </c>
      <c r="C5041" s="35">
        <v>3011.9</v>
      </c>
      <c r="D5041" s="33" t="s">
        <v>274</v>
      </c>
      <c r="E5041" s="34">
        <v>232.96899999999999</v>
      </c>
      <c r="F5041" s="36">
        <v>0.229000000000013</v>
      </c>
      <c r="G5041" s="34">
        <v>0.229000000000013</v>
      </c>
      <c r="H5041" s="35">
        <v>56.4</v>
      </c>
      <c r="I5041" s="37">
        <f t="shared" si="78"/>
        <v>1.8725721305488229E-2</v>
      </c>
      <c r="J5041" s="33"/>
    </row>
    <row r="5042" spans="1:10">
      <c r="A5042" s="33" t="s">
        <v>193</v>
      </c>
      <c r="B5042" s="34">
        <v>233.19800000000001</v>
      </c>
      <c r="C5042" s="35">
        <v>3011.9</v>
      </c>
      <c r="D5042" s="33" t="s">
        <v>165</v>
      </c>
      <c r="E5042" s="34">
        <v>232.99700000000001</v>
      </c>
      <c r="F5042" s="36">
        <v>0.20099999999999299</v>
      </c>
      <c r="G5042" s="34">
        <v>0.20099999999999299</v>
      </c>
      <c r="H5042" s="35">
        <v>835.6</v>
      </c>
      <c r="I5042" s="37">
        <f t="shared" si="78"/>
        <v>0.27743284969620507</v>
      </c>
      <c r="J5042" s="33"/>
    </row>
    <row r="5043" spans="1:10">
      <c r="A5043" s="33" t="s">
        <v>193</v>
      </c>
      <c r="B5043" s="34">
        <v>233.19800000000001</v>
      </c>
      <c r="C5043" s="35">
        <v>3011.9</v>
      </c>
      <c r="D5043" s="33" t="s">
        <v>239</v>
      </c>
      <c r="E5043" s="34">
        <v>233.00200000000001</v>
      </c>
      <c r="F5043" s="36">
        <v>0.19599999999999801</v>
      </c>
      <c r="G5043" s="34">
        <v>0.19599999999999801</v>
      </c>
      <c r="H5043" s="35">
        <v>1</v>
      </c>
      <c r="I5043" s="37">
        <f t="shared" si="78"/>
        <v>3.3201633520369203E-4</v>
      </c>
      <c r="J5043" s="33"/>
    </row>
    <row r="5044" spans="1:10">
      <c r="A5044" s="33" t="s">
        <v>193</v>
      </c>
      <c r="B5044" s="34">
        <v>233.19800000000001</v>
      </c>
      <c r="C5044" s="35">
        <v>3011.9</v>
      </c>
      <c r="D5044" s="33" t="s">
        <v>275</v>
      </c>
      <c r="E5044" s="34">
        <v>233.005</v>
      </c>
      <c r="F5044" s="36">
        <v>0.193000000000012</v>
      </c>
      <c r="G5044" s="34">
        <v>0.193000000000012</v>
      </c>
      <c r="H5044" s="35">
        <v>14.7</v>
      </c>
      <c r="I5044" s="37">
        <f t="shared" si="78"/>
        <v>4.8806401274942724E-3</v>
      </c>
      <c r="J5044" s="33"/>
    </row>
    <row r="5045" spans="1:10">
      <c r="A5045" s="33" t="s">
        <v>193</v>
      </c>
      <c r="B5045" s="34">
        <v>233.19800000000001</v>
      </c>
      <c r="C5045" s="35">
        <v>3011.9</v>
      </c>
      <c r="D5045" s="33" t="s">
        <v>54</v>
      </c>
      <c r="E5045" s="34">
        <v>233.036</v>
      </c>
      <c r="F5045" s="36">
        <v>0.162000000000006</v>
      </c>
      <c r="G5045" s="34">
        <v>0.162000000000006</v>
      </c>
      <c r="H5045" s="35">
        <v>1806.5</v>
      </c>
      <c r="I5045" s="37">
        <f t="shared" si="78"/>
        <v>0.59978750954546967</v>
      </c>
      <c r="J5045" s="33"/>
    </row>
    <row r="5046" spans="1:10">
      <c r="A5046" s="33" t="s">
        <v>193</v>
      </c>
      <c r="B5046" s="34">
        <v>233.19800000000001</v>
      </c>
      <c r="C5046" s="35">
        <v>3011.9</v>
      </c>
      <c r="D5046" s="33" t="s">
        <v>236</v>
      </c>
      <c r="E5046" s="34">
        <v>233.036</v>
      </c>
      <c r="F5046" s="36">
        <v>0.162000000000006</v>
      </c>
      <c r="G5046" s="34">
        <v>0.162000000000006</v>
      </c>
      <c r="H5046" s="35">
        <v>328.7</v>
      </c>
      <c r="I5046" s="37">
        <f t="shared" si="78"/>
        <v>0.10913376938145355</v>
      </c>
      <c r="J5046" s="33"/>
    </row>
    <row r="5047" spans="1:10">
      <c r="A5047" s="33" t="s">
        <v>193</v>
      </c>
      <c r="B5047" s="34">
        <v>233.19800000000001</v>
      </c>
      <c r="C5047" s="35">
        <v>3011.9</v>
      </c>
      <c r="D5047" s="33" t="s">
        <v>275</v>
      </c>
      <c r="E5047" s="34">
        <v>233.04599999999999</v>
      </c>
      <c r="F5047" s="36">
        <v>0.15200000000001501</v>
      </c>
      <c r="G5047" s="34">
        <v>0.15200000000001501</v>
      </c>
      <c r="H5047" s="35">
        <v>43.1</v>
      </c>
      <c r="I5047" s="37">
        <f t="shared" si="78"/>
        <v>1.4309904047279127E-2</v>
      </c>
      <c r="J5047" s="33"/>
    </row>
    <row r="5048" spans="1:10">
      <c r="A5048" s="33" t="s">
        <v>193</v>
      </c>
      <c r="B5048" s="34">
        <v>233.19800000000001</v>
      </c>
      <c r="C5048" s="35">
        <v>3011.9</v>
      </c>
      <c r="D5048" s="33" t="s">
        <v>239</v>
      </c>
      <c r="E5048" s="34">
        <v>233.071</v>
      </c>
      <c r="F5048" s="36">
        <v>0.12700000000000999</v>
      </c>
      <c r="G5048" s="34">
        <v>0.12700000000000999</v>
      </c>
      <c r="H5048" s="35">
        <v>1.3</v>
      </c>
      <c r="I5048" s="37">
        <f t="shared" si="78"/>
        <v>4.3162123576479964E-4</v>
      </c>
      <c r="J5048" s="33"/>
    </row>
    <row r="5049" spans="1:10">
      <c r="A5049" s="33" t="s">
        <v>193</v>
      </c>
      <c r="B5049" s="34">
        <v>233.19800000000001</v>
      </c>
      <c r="C5049" s="35">
        <v>3011.9</v>
      </c>
      <c r="D5049" s="33" t="s">
        <v>193</v>
      </c>
      <c r="E5049" s="34">
        <v>233.07900000000001</v>
      </c>
      <c r="F5049" s="36">
        <v>0.11899999999999999</v>
      </c>
      <c r="G5049" s="34">
        <v>0.11899999999999999</v>
      </c>
      <c r="H5049" s="35">
        <v>65.3</v>
      </c>
      <c r="I5049" s="37">
        <f t="shared" si="78"/>
        <v>2.1680666688801087E-2</v>
      </c>
      <c r="J5049" s="33"/>
    </row>
    <row r="5050" spans="1:10">
      <c r="A5050" s="33" t="s">
        <v>193</v>
      </c>
      <c r="B5050" s="34">
        <v>233.19800000000001</v>
      </c>
      <c r="C5050" s="35">
        <v>3011.9</v>
      </c>
      <c r="D5050" s="33" t="s">
        <v>275</v>
      </c>
      <c r="E5050" s="34">
        <v>233.119</v>
      </c>
      <c r="F5050" s="36">
        <v>7.9000000000007703E-2</v>
      </c>
      <c r="G5050" s="34">
        <v>7.9000000000007703E-2</v>
      </c>
      <c r="H5050" s="35">
        <v>53.3</v>
      </c>
      <c r="I5050" s="37">
        <f t="shared" si="78"/>
        <v>1.7696470666356785E-2</v>
      </c>
      <c r="J5050" s="33"/>
    </row>
    <row r="5051" spans="1:10">
      <c r="A5051" s="33" t="s">
        <v>193</v>
      </c>
      <c r="B5051" s="34">
        <v>233.19800000000001</v>
      </c>
      <c r="C5051" s="35">
        <v>3011.9</v>
      </c>
      <c r="D5051" s="33" t="s">
        <v>193</v>
      </c>
      <c r="E5051" s="34">
        <v>233.12899999999999</v>
      </c>
      <c r="F5051" s="36">
        <v>6.9000000000016798E-2</v>
      </c>
      <c r="G5051" s="34">
        <v>6.9000000000016798E-2</v>
      </c>
      <c r="H5051" s="35">
        <v>170.8</v>
      </c>
      <c r="I5051" s="37">
        <f t="shared" si="78"/>
        <v>5.6708390052790603E-2</v>
      </c>
      <c r="J5051" s="33"/>
    </row>
    <row r="5052" spans="1:10">
      <c r="A5052" s="33" t="s">
        <v>193</v>
      </c>
      <c r="B5052" s="34">
        <v>233.19800000000001</v>
      </c>
      <c r="C5052" s="35">
        <v>3011.9</v>
      </c>
      <c r="D5052" s="33" t="s">
        <v>274</v>
      </c>
      <c r="E5052" s="34">
        <v>233.13</v>
      </c>
      <c r="F5052" s="36">
        <v>6.8000000000012106E-2</v>
      </c>
      <c r="G5052" s="34">
        <v>6.8000000000012106E-2</v>
      </c>
      <c r="H5052" s="35">
        <v>36.700000000000003</v>
      </c>
      <c r="I5052" s="37">
        <f t="shared" si="78"/>
        <v>1.2184999501975498E-2</v>
      </c>
      <c r="J5052" s="33"/>
    </row>
    <row r="5053" spans="1:10">
      <c r="A5053" s="33" t="s">
        <v>193</v>
      </c>
      <c r="B5053" s="34">
        <v>233.19800000000001</v>
      </c>
      <c r="C5053" s="35">
        <v>3011.9</v>
      </c>
      <c r="D5053" s="33" t="s">
        <v>97</v>
      </c>
      <c r="E5053" s="34">
        <v>233.131</v>
      </c>
      <c r="F5053" s="36">
        <v>6.7000000000007304E-2</v>
      </c>
      <c r="G5053" s="34">
        <v>6.7000000000007304E-2</v>
      </c>
      <c r="H5053" s="35">
        <v>1803.1</v>
      </c>
      <c r="I5053" s="37">
        <f t="shared" si="78"/>
        <v>0.598658654005777</v>
      </c>
      <c r="J5053" s="33"/>
    </row>
    <row r="5054" spans="1:10">
      <c r="A5054" s="33" t="s">
        <v>193</v>
      </c>
      <c r="B5054" s="34">
        <v>233.19800000000001</v>
      </c>
      <c r="C5054" s="35">
        <v>3011.9</v>
      </c>
      <c r="D5054" s="33" t="s">
        <v>295</v>
      </c>
      <c r="E5054" s="34">
        <v>233.137</v>
      </c>
      <c r="F5054" s="36">
        <v>6.1000000000007097E-2</v>
      </c>
      <c r="G5054" s="34">
        <v>6.1000000000007097E-2</v>
      </c>
      <c r="H5054" s="35">
        <v>174.2</v>
      </c>
      <c r="I5054" s="37">
        <f t="shared" si="78"/>
        <v>5.7837245592483141E-2</v>
      </c>
      <c r="J5054" s="33"/>
    </row>
    <row r="5055" spans="1:10">
      <c r="A5055" s="33" t="s">
        <v>193</v>
      </c>
      <c r="B5055" s="34">
        <v>233.19800000000001</v>
      </c>
      <c r="C5055" s="35">
        <v>3011.9</v>
      </c>
      <c r="D5055" s="33" t="s">
        <v>165</v>
      </c>
      <c r="E5055" s="34">
        <v>233.17</v>
      </c>
      <c r="F5055" s="36">
        <v>2.8000000000019998E-2</v>
      </c>
      <c r="G5055" s="34">
        <v>2.8000000000019998E-2</v>
      </c>
      <c r="H5055" s="35">
        <v>28.1</v>
      </c>
      <c r="I5055" s="37">
        <f t="shared" si="78"/>
        <v>9.3296590192237464E-3</v>
      </c>
      <c r="J5055" s="33"/>
    </row>
    <row r="5056" spans="1:10">
      <c r="A5056" s="33" t="s">
        <v>193</v>
      </c>
      <c r="B5056" s="34">
        <v>233.19800000000001</v>
      </c>
      <c r="C5056" s="35">
        <v>3011.9</v>
      </c>
      <c r="D5056" s="33" t="s">
        <v>275</v>
      </c>
      <c r="E5056" s="34">
        <v>233.21299999999999</v>
      </c>
      <c r="F5056" s="36">
        <v>1.4999999999986399E-2</v>
      </c>
      <c r="G5056" s="34">
        <v>1.4999999999986399E-2</v>
      </c>
      <c r="H5056" s="35">
        <v>57.2</v>
      </c>
      <c r="I5056" s="37">
        <f t="shared" si="78"/>
        <v>1.8991334373651185E-2</v>
      </c>
      <c r="J5056" s="33"/>
    </row>
    <row r="5057" spans="1:10">
      <c r="A5057" s="33" t="s">
        <v>193</v>
      </c>
      <c r="B5057" s="34">
        <v>233.19800000000001</v>
      </c>
      <c r="C5057" s="35">
        <v>3011.9</v>
      </c>
      <c r="D5057" s="33" t="s">
        <v>284</v>
      </c>
      <c r="E5057" s="34">
        <v>233.214</v>
      </c>
      <c r="F5057" s="36">
        <v>1.5999999999991101E-2</v>
      </c>
      <c r="G5057" s="34">
        <v>1.5999999999991101E-2</v>
      </c>
      <c r="H5057" s="35">
        <v>0.9</v>
      </c>
      <c r="I5057" s="37">
        <f t="shared" si="78"/>
        <v>2.9881470168332283E-4</v>
      </c>
      <c r="J5057" s="33"/>
    </row>
    <row r="5058" spans="1:10">
      <c r="A5058" s="33" t="s">
        <v>193</v>
      </c>
      <c r="B5058" s="34">
        <v>233.19800000000001</v>
      </c>
      <c r="C5058" s="35">
        <v>3011.9</v>
      </c>
      <c r="D5058" s="33" t="s">
        <v>193</v>
      </c>
      <c r="E5058" s="34">
        <v>233.21799999999999</v>
      </c>
      <c r="F5058" s="36">
        <v>1.99999999999818E-2</v>
      </c>
      <c r="G5058" s="34">
        <v>1.99999999999818E-2</v>
      </c>
      <c r="H5058" s="35">
        <v>1929.7</v>
      </c>
      <c r="I5058" s="37">
        <f t="shared" ref="I5058:I5121" si="79">H5058/C5058</f>
        <v>0.64069192204256453</v>
      </c>
      <c r="J5058" s="33"/>
    </row>
    <row r="5059" spans="1:10">
      <c r="A5059" s="33" t="s">
        <v>193</v>
      </c>
      <c r="B5059" s="34">
        <v>233.19800000000001</v>
      </c>
      <c r="C5059" s="35">
        <v>3011.9</v>
      </c>
      <c r="D5059" s="33" t="s">
        <v>290</v>
      </c>
      <c r="E5059" s="34">
        <v>233.22399999999999</v>
      </c>
      <c r="F5059" s="36">
        <v>2.5999999999981999E-2</v>
      </c>
      <c r="G5059" s="34">
        <v>2.5999999999981999E-2</v>
      </c>
      <c r="H5059" s="35">
        <v>3.5</v>
      </c>
      <c r="I5059" s="37">
        <f t="shared" si="79"/>
        <v>1.1620571732129221E-3</v>
      </c>
      <c r="J5059" s="33"/>
    </row>
    <row r="5060" spans="1:10">
      <c r="A5060" s="33" t="s">
        <v>193</v>
      </c>
      <c r="B5060" s="34">
        <v>233.19800000000001</v>
      </c>
      <c r="C5060" s="35">
        <v>3011.9</v>
      </c>
      <c r="D5060" s="33" t="s">
        <v>300</v>
      </c>
      <c r="E5060" s="34">
        <v>233.24199999999999</v>
      </c>
      <c r="F5060" s="36">
        <v>4.3999999999982699E-2</v>
      </c>
      <c r="G5060" s="34">
        <v>4.3999999999982699E-2</v>
      </c>
      <c r="H5060" s="35">
        <v>12.1</v>
      </c>
      <c r="I5060" s="37">
        <f t="shared" si="79"/>
        <v>4.017397655964673E-3</v>
      </c>
      <c r="J5060" s="33"/>
    </row>
    <row r="5061" spans="1:10">
      <c r="A5061" s="33" t="s">
        <v>193</v>
      </c>
      <c r="B5061" s="34">
        <v>233.19800000000001</v>
      </c>
      <c r="C5061" s="35">
        <v>3011.9</v>
      </c>
      <c r="D5061" s="33" t="s">
        <v>269</v>
      </c>
      <c r="E5061" s="34">
        <v>233.245</v>
      </c>
      <c r="F5061" s="36">
        <v>4.6999999999997003E-2</v>
      </c>
      <c r="G5061" s="34">
        <v>4.6999999999997003E-2</v>
      </c>
      <c r="H5061" s="35">
        <v>70.2</v>
      </c>
      <c r="I5061" s="37">
        <f t="shared" si="79"/>
        <v>2.3307546731299179E-2</v>
      </c>
      <c r="J5061" s="33"/>
    </row>
    <row r="5062" spans="1:10">
      <c r="A5062" s="33" t="s">
        <v>193</v>
      </c>
      <c r="B5062" s="34">
        <v>233.19800000000001</v>
      </c>
      <c r="C5062" s="35">
        <v>3011.9</v>
      </c>
      <c r="D5062" s="33" t="s">
        <v>301</v>
      </c>
      <c r="E5062" s="34">
        <v>233.27600000000001</v>
      </c>
      <c r="F5062" s="36">
        <v>7.8000000000002997E-2</v>
      </c>
      <c r="G5062" s="34">
        <v>7.8000000000002997E-2</v>
      </c>
      <c r="H5062" s="35">
        <v>0.4</v>
      </c>
      <c r="I5062" s="37">
        <f t="shared" si="79"/>
        <v>1.3280653408147681E-4</v>
      </c>
      <c r="J5062" s="33"/>
    </row>
    <row r="5063" spans="1:10">
      <c r="A5063" s="33" t="s">
        <v>193</v>
      </c>
      <c r="B5063" s="34">
        <v>233.19800000000001</v>
      </c>
      <c r="C5063" s="35">
        <v>3011.9</v>
      </c>
      <c r="D5063" s="33" t="s">
        <v>97</v>
      </c>
      <c r="E5063" s="34">
        <v>233.28</v>
      </c>
      <c r="F5063" s="36">
        <v>8.1999999999993606E-2</v>
      </c>
      <c r="G5063" s="34">
        <v>8.1999999999993606E-2</v>
      </c>
      <c r="H5063" s="35">
        <v>6295</v>
      </c>
      <c r="I5063" s="37">
        <f t="shared" si="79"/>
        <v>2.0900428301072411</v>
      </c>
      <c r="J5063" s="33"/>
    </row>
    <row r="5064" spans="1:10">
      <c r="A5064" s="33" t="s">
        <v>193</v>
      </c>
      <c r="B5064" s="34">
        <v>233.19800000000001</v>
      </c>
      <c r="C5064" s="35">
        <v>3011.9</v>
      </c>
      <c r="D5064" s="33" t="s">
        <v>54</v>
      </c>
      <c r="E5064" s="34">
        <v>233.285</v>
      </c>
      <c r="F5064" s="36">
        <v>8.69999999999891E-2</v>
      </c>
      <c r="G5064" s="34">
        <v>8.69999999999891E-2</v>
      </c>
      <c r="H5064" s="35">
        <v>79</v>
      </c>
      <c r="I5064" s="37">
        <f t="shared" si="79"/>
        <v>2.6229290481091669E-2</v>
      </c>
      <c r="J5064" s="33"/>
    </row>
    <row r="5065" spans="1:10">
      <c r="A5065" s="33" t="s">
        <v>193</v>
      </c>
      <c r="B5065" s="34">
        <v>233.19800000000001</v>
      </c>
      <c r="C5065" s="35">
        <v>3011.9</v>
      </c>
      <c r="D5065" s="33" t="s">
        <v>269</v>
      </c>
      <c r="E5065" s="34">
        <v>233.297</v>
      </c>
      <c r="F5065" s="36">
        <v>9.8999999999989499E-2</v>
      </c>
      <c r="G5065" s="34">
        <v>9.8999999999989499E-2</v>
      </c>
      <c r="H5065" s="35">
        <v>1019.9</v>
      </c>
      <c r="I5065" s="37">
        <f t="shared" si="79"/>
        <v>0.3386234602742455</v>
      </c>
      <c r="J5065" s="33"/>
    </row>
    <row r="5066" spans="1:10">
      <c r="A5066" s="33" t="s">
        <v>193</v>
      </c>
      <c r="B5066" s="34">
        <v>233.19800000000001</v>
      </c>
      <c r="C5066" s="35">
        <v>3011.9</v>
      </c>
      <c r="D5066" s="33" t="s">
        <v>239</v>
      </c>
      <c r="E5066" s="34">
        <v>233.29900000000001</v>
      </c>
      <c r="F5066" s="36">
        <v>0.10099999999999899</v>
      </c>
      <c r="G5066" s="34">
        <v>0.10099999999999899</v>
      </c>
      <c r="H5066" s="35">
        <v>1.4</v>
      </c>
      <c r="I5066" s="37">
        <f t="shared" si="79"/>
        <v>4.6482286928516879E-4</v>
      </c>
      <c r="J5066" s="33"/>
    </row>
    <row r="5067" spans="1:10">
      <c r="A5067" s="33" t="s">
        <v>193</v>
      </c>
      <c r="B5067" s="34">
        <v>233.19800000000001</v>
      </c>
      <c r="C5067" s="35">
        <v>3011.9</v>
      </c>
      <c r="D5067" s="33" t="s">
        <v>54</v>
      </c>
      <c r="E5067" s="34">
        <v>233.30799999999999</v>
      </c>
      <c r="F5067" s="36">
        <v>0.109999999999985</v>
      </c>
      <c r="G5067" s="34">
        <v>0.109999999999985</v>
      </c>
      <c r="H5067" s="35">
        <v>79</v>
      </c>
      <c r="I5067" s="37">
        <f t="shared" si="79"/>
        <v>2.6229290481091669E-2</v>
      </c>
      <c r="J5067" s="33"/>
    </row>
    <row r="5068" spans="1:10">
      <c r="A5068" s="33" t="s">
        <v>193</v>
      </c>
      <c r="B5068" s="34">
        <v>233.19800000000001</v>
      </c>
      <c r="C5068" s="35">
        <v>3011.9</v>
      </c>
      <c r="D5068" s="33" t="s">
        <v>274</v>
      </c>
      <c r="E5068" s="34">
        <v>233.315</v>
      </c>
      <c r="F5068" s="36">
        <v>0.11699999999999</v>
      </c>
      <c r="G5068" s="34">
        <v>0.11699999999999</v>
      </c>
      <c r="H5068" s="35">
        <v>83.1</v>
      </c>
      <c r="I5068" s="37">
        <f t="shared" si="79"/>
        <v>2.7590557455426806E-2</v>
      </c>
      <c r="J5068" s="33"/>
    </row>
    <row r="5069" spans="1:10">
      <c r="A5069" s="33" t="s">
        <v>193</v>
      </c>
      <c r="B5069" s="34">
        <v>233.19800000000001</v>
      </c>
      <c r="C5069" s="35">
        <v>3011.9</v>
      </c>
      <c r="D5069" s="33" t="s">
        <v>290</v>
      </c>
      <c r="E5069" s="34">
        <v>233.33</v>
      </c>
      <c r="F5069" s="36">
        <v>0.132000000000005</v>
      </c>
      <c r="G5069" s="34">
        <v>0.132000000000005</v>
      </c>
      <c r="H5069" s="35">
        <v>28.3</v>
      </c>
      <c r="I5069" s="37">
        <f t="shared" si="79"/>
        <v>9.3960622862644845E-3</v>
      </c>
      <c r="J5069" s="33"/>
    </row>
    <row r="5070" spans="1:10">
      <c r="A5070" s="33" t="s">
        <v>193</v>
      </c>
      <c r="B5070" s="34">
        <v>233.19800000000001</v>
      </c>
      <c r="C5070" s="35">
        <v>3011.9</v>
      </c>
      <c r="D5070" s="33" t="s">
        <v>278</v>
      </c>
      <c r="E5070" s="34">
        <v>233.33199999999999</v>
      </c>
      <c r="F5070" s="36">
        <v>0.13399999999998599</v>
      </c>
      <c r="G5070" s="34">
        <v>0.13399999999998599</v>
      </c>
      <c r="H5070" s="35">
        <v>1.6</v>
      </c>
      <c r="I5070" s="37">
        <f t="shared" si="79"/>
        <v>5.3122613632590725E-4</v>
      </c>
      <c r="J5070" s="33"/>
    </row>
    <row r="5071" spans="1:10">
      <c r="A5071" s="33" t="s">
        <v>193</v>
      </c>
      <c r="B5071" s="34">
        <v>233.19800000000001</v>
      </c>
      <c r="C5071" s="35">
        <v>3011.9</v>
      </c>
      <c r="D5071" s="33" t="s">
        <v>239</v>
      </c>
      <c r="E5071" s="34">
        <v>233.346</v>
      </c>
      <c r="F5071" s="36">
        <v>0.147999999999996</v>
      </c>
      <c r="G5071" s="34">
        <v>0.147999999999996</v>
      </c>
      <c r="H5071" s="35">
        <v>114.2</v>
      </c>
      <c r="I5071" s="37">
        <f t="shared" si="79"/>
        <v>3.7916265480261627E-2</v>
      </c>
      <c r="J5071" s="33"/>
    </row>
    <row r="5072" spans="1:10">
      <c r="A5072" s="33" t="s">
        <v>193</v>
      </c>
      <c r="B5072" s="34">
        <v>233.19800000000001</v>
      </c>
      <c r="C5072" s="35">
        <v>3011.9</v>
      </c>
      <c r="D5072" s="33" t="s">
        <v>268</v>
      </c>
      <c r="E5072" s="34">
        <v>233.35599999999999</v>
      </c>
      <c r="F5072" s="36">
        <v>0.15799999999998701</v>
      </c>
      <c r="G5072" s="34">
        <v>0.15799999999998701</v>
      </c>
      <c r="H5072" s="35">
        <v>67.8</v>
      </c>
      <c r="I5072" s="37">
        <f t="shared" si="79"/>
        <v>2.2510707526810319E-2</v>
      </c>
      <c r="J5072" s="33"/>
    </row>
    <row r="5073" spans="1:10">
      <c r="A5073" s="33" t="s">
        <v>193</v>
      </c>
      <c r="B5073" s="34">
        <v>233.19800000000001</v>
      </c>
      <c r="C5073" s="35">
        <v>3011.9</v>
      </c>
      <c r="D5073" s="33" t="s">
        <v>274</v>
      </c>
      <c r="E5073" s="34">
        <v>233.37700000000001</v>
      </c>
      <c r="F5073" s="36">
        <v>0.17900000000000199</v>
      </c>
      <c r="G5073" s="34">
        <v>0.17900000000000199</v>
      </c>
      <c r="H5073" s="35">
        <v>875.8</v>
      </c>
      <c r="I5073" s="37">
        <f t="shared" si="79"/>
        <v>0.29077990637139345</v>
      </c>
      <c r="J5073" s="33"/>
    </row>
    <row r="5074" spans="1:10">
      <c r="A5074" s="33" t="s">
        <v>193</v>
      </c>
      <c r="B5074" s="34">
        <v>233.19800000000001</v>
      </c>
      <c r="C5074" s="35">
        <v>3011.9</v>
      </c>
      <c r="D5074" s="33" t="s">
        <v>290</v>
      </c>
      <c r="E5074" s="34">
        <v>233.38399999999999</v>
      </c>
      <c r="F5074" s="36">
        <v>0.18599999999997899</v>
      </c>
      <c r="G5074" s="34">
        <v>0.18599999999997899</v>
      </c>
      <c r="H5074" s="35">
        <v>52.9</v>
      </c>
      <c r="I5074" s="37">
        <f t="shared" si="79"/>
        <v>1.7563664132275308E-2</v>
      </c>
      <c r="J5074" s="33"/>
    </row>
    <row r="5075" spans="1:10">
      <c r="A5075" s="33" t="s">
        <v>193</v>
      </c>
      <c r="B5075" s="34">
        <v>233.19800000000001</v>
      </c>
      <c r="C5075" s="35">
        <v>3011.9</v>
      </c>
      <c r="D5075" s="33" t="s">
        <v>193</v>
      </c>
      <c r="E5075" s="34">
        <v>233.38499999999999</v>
      </c>
      <c r="F5075" s="36">
        <v>0.18699999999998301</v>
      </c>
      <c r="G5075" s="34">
        <v>0.18699999999998301</v>
      </c>
      <c r="H5075" s="35">
        <v>167.5</v>
      </c>
      <c r="I5075" s="37">
        <f t="shared" si="79"/>
        <v>5.5612736146618415E-2</v>
      </c>
      <c r="J5075" s="33"/>
    </row>
    <row r="5076" spans="1:10">
      <c r="A5076" s="33" t="s">
        <v>193</v>
      </c>
      <c r="B5076" s="34">
        <v>238.70599999999999</v>
      </c>
      <c r="C5076" s="35">
        <v>5220.6000000000004</v>
      </c>
      <c r="D5076" s="33" t="s">
        <v>282</v>
      </c>
      <c r="E5076" s="34">
        <v>238.54400000000001</v>
      </c>
      <c r="F5076" s="36">
        <v>0.16199999999997799</v>
      </c>
      <c r="G5076" s="34">
        <v>0.16199999999997799</v>
      </c>
      <c r="H5076" s="35">
        <v>58.1</v>
      </c>
      <c r="I5076" s="37">
        <f t="shared" si="79"/>
        <v>1.1128989005095199E-2</v>
      </c>
      <c r="J5076" s="33"/>
    </row>
    <row r="5077" spans="1:10">
      <c r="A5077" s="33" t="s">
        <v>193</v>
      </c>
      <c r="B5077" s="34">
        <v>238.70599999999999</v>
      </c>
      <c r="C5077" s="35">
        <v>5220.6000000000004</v>
      </c>
      <c r="D5077" s="33" t="s">
        <v>274</v>
      </c>
      <c r="E5077" s="34">
        <v>238.55</v>
      </c>
      <c r="F5077" s="36">
        <v>0.15599999999997799</v>
      </c>
      <c r="G5077" s="34">
        <v>0.15599999999997799</v>
      </c>
      <c r="H5077" s="35">
        <v>64.400000000000006</v>
      </c>
      <c r="I5077" s="37">
        <f t="shared" si="79"/>
        <v>1.2335746849021185E-2</v>
      </c>
      <c r="J5077" s="33"/>
    </row>
    <row r="5078" spans="1:10">
      <c r="A5078" s="33" t="s">
        <v>193</v>
      </c>
      <c r="B5078" s="34">
        <v>238.70599999999999</v>
      </c>
      <c r="C5078" s="35">
        <v>5220.6000000000004</v>
      </c>
      <c r="D5078" s="33" t="s">
        <v>239</v>
      </c>
      <c r="E5078" s="34">
        <v>238.572</v>
      </c>
      <c r="F5078" s="36">
        <v>0.13399999999998599</v>
      </c>
      <c r="G5078" s="34">
        <v>0.13399999999998599</v>
      </c>
      <c r="H5078" s="35">
        <v>49</v>
      </c>
      <c r="I5078" s="37">
        <f t="shared" si="79"/>
        <v>9.3858943416465536E-3</v>
      </c>
      <c r="J5078" s="33"/>
    </row>
    <row r="5079" spans="1:10">
      <c r="A5079" s="33" t="s">
        <v>193</v>
      </c>
      <c r="B5079" s="34">
        <v>238.70599999999999</v>
      </c>
      <c r="C5079" s="35">
        <v>5220.6000000000004</v>
      </c>
      <c r="D5079" s="33" t="s">
        <v>193</v>
      </c>
      <c r="E5079" s="34">
        <v>238.57300000000001</v>
      </c>
      <c r="F5079" s="36">
        <v>0.13299999999998099</v>
      </c>
      <c r="G5079" s="34">
        <v>0.13299999999998099</v>
      </c>
      <c r="H5079" s="35">
        <v>10.8</v>
      </c>
      <c r="I5079" s="37">
        <f t="shared" si="79"/>
        <v>2.0687277324445467E-3</v>
      </c>
      <c r="J5079" s="33"/>
    </row>
    <row r="5080" spans="1:10">
      <c r="A5080" s="33" t="s">
        <v>193</v>
      </c>
      <c r="B5080" s="34">
        <v>238.70599999999999</v>
      </c>
      <c r="C5080" s="35">
        <v>5220.6000000000004</v>
      </c>
      <c r="D5080" s="33" t="s">
        <v>299</v>
      </c>
      <c r="E5080" s="34">
        <v>238.57900000000001</v>
      </c>
      <c r="F5080" s="36">
        <v>0.12699999999998099</v>
      </c>
      <c r="G5080" s="34">
        <v>0.12699999999998099</v>
      </c>
      <c r="H5080" s="35">
        <v>666.9</v>
      </c>
      <c r="I5080" s="37">
        <f t="shared" si="79"/>
        <v>0.12774393747845075</v>
      </c>
      <c r="J5080" s="33"/>
    </row>
    <row r="5081" spans="1:10">
      <c r="A5081" s="33" t="s">
        <v>193</v>
      </c>
      <c r="B5081" s="34">
        <v>238.70599999999999</v>
      </c>
      <c r="C5081" s="35">
        <v>5220.6000000000004</v>
      </c>
      <c r="D5081" s="33" t="s">
        <v>54</v>
      </c>
      <c r="E5081" s="34">
        <v>238.58099999999999</v>
      </c>
      <c r="F5081" s="36">
        <v>0.125</v>
      </c>
      <c r="G5081" s="34">
        <v>0.125</v>
      </c>
      <c r="H5081" s="35">
        <v>18.399999999999999</v>
      </c>
      <c r="I5081" s="37">
        <f t="shared" si="79"/>
        <v>3.5244990997203383E-3</v>
      </c>
      <c r="J5081" s="33"/>
    </row>
    <row r="5082" spans="1:10">
      <c r="A5082" s="33" t="s">
        <v>193</v>
      </c>
      <c r="B5082" s="34">
        <v>238.70599999999999</v>
      </c>
      <c r="C5082" s="35">
        <v>5220.6000000000004</v>
      </c>
      <c r="D5082" s="33" t="s">
        <v>284</v>
      </c>
      <c r="E5082" s="34">
        <v>238.60400000000001</v>
      </c>
      <c r="F5082" s="36">
        <v>0.101999999999975</v>
      </c>
      <c r="G5082" s="34">
        <v>0.101999999999975</v>
      </c>
      <c r="H5082" s="35">
        <v>3.3</v>
      </c>
      <c r="I5082" s="37">
        <f t="shared" si="79"/>
        <v>6.3211125158027807E-4</v>
      </c>
      <c r="J5082" s="33"/>
    </row>
    <row r="5083" spans="1:10">
      <c r="A5083" s="33" t="s">
        <v>193</v>
      </c>
      <c r="B5083" s="34">
        <v>238.70599999999999</v>
      </c>
      <c r="C5083" s="35">
        <v>5220.6000000000004</v>
      </c>
      <c r="D5083" s="33" t="s">
        <v>282</v>
      </c>
      <c r="E5083" s="34">
        <v>238.614</v>
      </c>
      <c r="F5083" s="36">
        <v>9.1999999999984497E-2</v>
      </c>
      <c r="G5083" s="34">
        <v>9.1999999999984497E-2</v>
      </c>
      <c r="H5083" s="35">
        <v>136.6</v>
      </c>
      <c r="I5083" s="37">
        <f t="shared" si="79"/>
        <v>2.6165574838141206E-2</v>
      </c>
      <c r="J5083" s="33"/>
    </row>
    <row r="5084" spans="1:10">
      <c r="A5084" s="33" t="s">
        <v>193</v>
      </c>
      <c r="B5084" s="34">
        <v>238.70599999999999</v>
      </c>
      <c r="C5084" s="35">
        <v>5220.6000000000004</v>
      </c>
      <c r="D5084" s="33" t="s">
        <v>239</v>
      </c>
      <c r="E5084" s="34">
        <v>238.61699999999999</v>
      </c>
      <c r="F5084" s="36">
        <v>8.8999999999998594E-2</v>
      </c>
      <c r="G5084" s="34">
        <v>8.8999999999998594E-2</v>
      </c>
      <c r="H5084" s="35">
        <v>5.2</v>
      </c>
      <c r="I5084" s="37">
        <f t="shared" si="79"/>
        <v>9.9605409339922619E-4</v>
      </c>
      <c r="J5084" s="33"/>
    </row>
    <row r="5085" spans="1:10">
      <c r="A5085" s="33" t="s">
        <v>193</v>
      </c>
      <c r="B5085" s="34">
        <v>238.70599999999999</v>
      </c>
      <c r="C5085" s="35">
        <v>5220.6000000000004</v>
      </c>
      <c r="D5085" s="33" t="s">
        <v>54</v>
      </c>
      <c r="E5085" s="34">
        <v>238.636</v>
      </c>
      <c r="F5085" s="36">
        <v>6.9999999999993207E-2</v>
      </c>
      <c r="G5085" s="34">
        <v>6.9999999999993207E-2</v>
      </c>
      <c r="H5085" s="35">
        <v>6552</v>
      </c>
      <c r="I5085" s="37">
        <f t="shared" si="79"/>
        <v>1.2550281576830249</v>
      </c>
      <c r="J5085" s="33"/>
    </row>
    <row r="5086" spans="1:10">
      <c r="A5086" s="33" t="s">
        <v>193</v>
      </c>
      <c r="B5086" s="34">
        <v>238.70599999999999</v>
      </c>
      <c r="C5086" s="35">
        <v>5220.6000000000004</v>
      </c>
      <c r="D5086" s="33" t="s">
        <v>290</v>
      </c>
      <c r="E5086" s="34">
        <v>238.65799999999999</v>
      </c>
      <c r="F5086" s="36">
        <v>4.8000000000001798E-2</v>
      </c>
      <c r="G5086" s="34">
        <v>4.8000000000001798E-2</v>
      </c>
      <c r="H5086" s="35">
        <v>42.8</v>
      </c>
      <c r="I5086" s="37">
        <f t="shared" si="79"/>
        <v>8.1982913841320906E-3</v>
      </c>
      <c r="J5086" s="33"/>
    </row>
    <row r="5087" spans="1:10">
      <c r="A5087" s="33" t="s">
        <v>193</v>
      </c>
      <c r="B5087" s="34">
        <v>238.70599999999999</v>
      </c>
      <c r="C5087" s="35">
        <v>5220.6000000000004</v>
      </c>
      <c r="D5087" s="33" t="s">
        <v>165</v>
      </c>
      <c r="E5087" s="34">
        <v>238.65899999999999</v>
      </c>
      <c r="F5087" s="36">
        <v>4.6999999999997003E-2</v>
      </c>
      <c r="G5087" s="34">
        <v>4.6999999999997003E-2</v>
      </c>
      <c r="H5087" s="35">
        <v>95.2</v>
      </c>
      <c r="I5087" s="37">
        <f t="shared" si="79"/>
        <v>1.8235451863770447E-2</v>
      </c>
      <c r="J5087" s="33"/>
    </row>
    <row r="5088" spans="1:10">
      <c r="A5088" s="33" t="s">
        <v>193</v>
      </c>
      <c r="B5088" s="34">
        <v>238.70599999999999</v>
      </c>
      <c r="C5088" s="35">
        <v>5220.6000000000004</v>
      </c>
      <c r="D5088" s="33" t="s">
        <v>54</v>
      </c>
      <c r="E5088" s="34">
        <v>238.672</v>
      </c>
      <c r="F5088" s="36">
        <v>3.3999999999991801E-2</v>
      </c>
      <c r="G5088" s="34">
        <v>3.3999999999991801E-2</v>
      </c>
      <c r="H5088" s="35">
        <v>532.29999999999995</v>
      </c>
      <c r="I5088" s="37">
        <f t="shared" si="79"/>
        <v>0.10196146036853999</v>
      </c>
      <c r="J5088" s="33"/>
    </row>
    <row r="5089" spans="1:10">
      <c r="A5089" s="33" t="s">
        <v>193</v>
      </c>
      <c r="B5089" s="34">
        <v>238.70599999999999</v>
      </c>
      <c r="C5089" s="35">
        <v>5220.6000000000004</v>
      </c>
      <c r="D5089" s="33" t="s">
        <v>239</v>
      </c>
      <c r="E5089" s="34">
        <v>238.67599999999999</v>
      </c>
      <c r="F5089" s="36">
        <v>3.0000000000001099E-2</v>
      </c>
      <c r="G5089" s="34">
        <v>3.0000000000001099E-2</v>
      </c>
      <c r="H5089" s="35">
        <v>25</v>
      </c>
      <c r="I5089" s="37">
        <f t="shared" si="79"/>
        <v>4.7887216028808946E-3</v>
      </c>
      <c r="J5089" s="33"/>
    </row>
    <row r="5090" spans="1:10">
      <c r="A5090" s="33" t="s">
        <v>193</v>
      </c>
      <c r="B5090" s="34">
        <v>238.70599999999999</v>
      </c>
      <c r="C5090" s="35">
        <v>5220.6000000000004</v>
      </c>
      <c r="D5090" s="33" t="s">
        <v>294</v>
      </c>
      <c r="E5090" s="34">
        <v>238.68100000000001</v>
      </c>
      <c r="F5090" s="36">
        <v>2.4999999999977301E-2</v>
      </c>
      <c r="G5090" s="34">
        <v>2.4999999999977301E-2</v>
      </c>
      <c r="H5090" s="35">
        <v>14.7</v>
      </c>
      <c r="I5090" s="37">
        <f t="shared" si="79"/>
        <v>2.8157683024939658E-3</v>
      </c>
      <c r="J5090" s="33"/>
    </row>
    <row r="5091" spans="1:10">
      <c r="A5091" s="33" t="s">
        <v>193</v>
      </c>
      <c r="B5091" s="34">
        <v>238.70599999999999</v>
      </c>
      <c r="C5091" s="35">
        <v>5220.6000000000004</v>
      </c>
      <c r="D5091" s="33" t="s">
        <v>290</v>
      </c>
      <c r="E5091" s="34">
        <v>238.69</v>
      </c>
      <c r="F5091" s="36">
        <v>1.5999999999991101E-2</v>
      </c>
      <c r="G5091" s="34">
        <v>1.5999999999991101E-2</v>
      </c>
      <c r="H5091" s="35">
        <v>110.6</v>
      </c>
      <c r="I5091" s="37">
        <f t="shared" si="79"/>
        <v>2.1185304371145075E-2</v>
      </c>
      <c r="J5091" s="33"/>
    </row>
    <row r="5092" spans="1:10">
      <c r="A5092" s="33" t="s">
        <v>193</v>
      </c>
      <c r="B5092" s="34">
        <v>238.70599999999999</v>
      </c>
      <c r="C5092" s="35">
        <v>5220.6000000000004</v>
      </c>
      <c r="D5092" s="33" t="s">
        <v>279</v>
      </c>
      <c r="E5092" s="34">
        <v>238.69</v>
      </c>
      <c r="F5092" s="36">
        <v>1.5999999999991101E-2</v>
      </c>
      <c r="G5092" s="34">
        <v>1.5999999999991101E-2</v>
      </c>
      <c r="H5092" s="35">
        <v>158.30000000000001</v>
      </c>
      <c r="I5092" s="37">
        <f t="shared" si="79"/>
        <v>3.0322185189441828E-2</v>
      </c>
      <c r="J5092" s="33"/>
    </row>
    <row r="5093" spans="1:10">
      <c r="A5093" s="33" t="s">
        <v>193</v>
      </c>
      <c r="B5093" s="34">
        <v>238.70599999999999</v>
      </c>
      <c r="C5093" s="35">
        <v>5220.6000000000004</v>
      </c>
      <c r="D5093" s="33" t="s">
        <v>278</v>
      </c>
      <c r="E5093" s="34">
        <v>238.696</v>
      </c>
      <c r="F5093" s="36">
        <v>9.9999999999909103E-3</v>
      </c>
      <c r="G5093" s="34">
        <v>9.9999999999909103E-3</v>
      </c>
      <c r="H5093" s="35">
        <v>49</v>
      </c>
      <c r="I5093" s="37">
        <f t="shared" si="79"/>
        <v>9.3858943416465536E-3</v>
      </c>
      <c r="J5093" s="33"/>
    </row>
    <row r="5094" spans="1:10">
      <c r="A5094" s="33" t="s">
        <v>193</v>
      </c>
      <c r="B5094" s="34">
        <v>238.70599999999999</v>
      </c>
      <c r="C5094" s="35">
        <v>5220.6000000000004</v>
      </c>
      <c r="D5094" s="33" t="s">
        <v>240</v>
      </c>
      <c r="E5094" s="34">
        <v>238.7</v>
      </c>
      <c r="F5094" s="36">
        <v>6.00000000000023E-3</v>
      </c>
      <c r="G5094" s="34">
        <v>6.00000000000023E-3</v>
      </c>
      <c r="H5094" s="35">
        <v>37.1</v>
      </c>
      <c r="I5094" s="37">
        <f t="shared" si="79"/>
        <v>7.1064628586752481E-3</v>
      </c>
      <c r="J5094" s="33"/>
    </row>
    <row r="5095" spans="1:10">
      <c r="A5095" s="33" t="s">
        <v>193</v>
      </c>
      <c r="B5095" s="34">
        <v>238.70599999999999</v>
      </c>
      <c r="C5095" s="35">
        <v>5220.6000000000004</v>
      </c>
      <c r="D5095" s="33" t="s">
        <v>273</v>
      </c>
      <c r="E5095" s="34">
        <v>238.71</v>
      </c>
      <c r="F5095" s="36">
        <v>4.0000000000191003E-3</v>
      </c>
      <c r="G5095" s="34">
        <v>4.0000000000191003E-3</v>
      </c>
      <c r="H5095" s="35">
        <v>448.3</v>
      </c>
      <c r="I5095" s="37">
        <f t="shared" si="79"/>
        <v>8.5871355782860204E-2</v>
      </c>
      <c r="J5095" s="33"/>
    </row>
    <row r="5096" spans="1:10">
      <c r="A5096" s="33" t="s">
        <v>193</v>
      </c>
      <c r="B5096" s="34">
        <v>238.70599999999999</v>
      </c>
      <c r="C5096" s="35">
        <v>5220.6000000000004</v>
      </c>
      <c r="D5096" s="33" t="s">
        <v>236</v>
      </c>
      <c r="E5096" s="34">
        <v>238.71799999999999</v>
      </c>
      <c r="F5096" s="36">
        <v>1.20000000000005E-2</v>
      </c>
      <c r="G5096" s="34">
        <v>1.20000000000005E-2</v>
      </c>
      <c r="H5096" s="35">
        <v>526.9</v>
      </c>
      <c r="I5096" s="37">
        <f t="shared" si="79"/>
        <v>0.10092709650231772</v>
      </c>
      <c r="J5096" s="33"/>
    </row>
    <row r="5097" spans="1:10">
      <c r="A5097" s="33" t="s">
        <v>193</v>
      </c>
      <c r="B5097" s="34">
        <v>238.70599999999999</v>
      </c>
      <c r="C5097" s="35">
        <v>5220.6000000000004</v>
      </c>
      <c r="D5097" s="33" t="s">
        <v>284</v>
      </c>
      <c r="E5097" s="34">
        <v>238.72800000000001</v>
      </c>
      <c r="F5097" s="36">
        <v>2.2000000000019799E-2</v>
      </c>
      <c r="G5097" s="34">
        <v>2.2000000000019799E-2</v>
      </c>
      <c r="H5097" s="35">
        <v>13.9</v>
      </c>
      <c r="I5097" s="37">
        <f t="shared" si="79"/>
        <v>2.6625292112017773E-3</v>
      </c>
      <c r="J5097" s="33"/>
    </row>
    <row r="5098" spans="1:10">
      <c r="A5098" s="33" t="s">
        <v>193</v>
      </c>
      <c r="B5098" s="34">
        <v>238.70599999999999</v>
      </c>
      <c r="C5098" s="35">
        <v>5220.6000000000004</v>
      </c>
      <c r="D5098" s="33" t="s">
        <v>33</v>
      </c>
      <c r="E5098" s="34">
        <v>238.73599999999999</v>
      </c>
      <c r="F5098" s="36">
        <v>3.0000000000001099E-2</v>
      </c>
      <c r="G5098" s="34">
        <v>3.0000000000001099E-2</v>
      </c>
      <c r="H5098" s="35">
        <v>266.7</v>
      </c>
      <c r="I5098" s="37">
        <f t="shared" si="79"/>
        <v>5.1086082059533383E-2</v>
      </c>
      <c r="J5098" s="33" t="s">
        <v>116</v>
      </c>
    </row>
    <row r="5099" spans="1:10">
      <c r="A5099" s="33" t="s">
        <v>193</v>
      </c>
      <c r="B5099" s="34">
        <v>238.70599999999999</v>
      </c>
      <c r="C5099" s="35">
        <v>5220.6000000000004</v>
      </c>
      <c r="D5099" s="33" t="s">
        <v>97</v>
      </c>
      <c r="E5099" s="34">
        <v>238.73699999999999</v>
      </c>
      <c r="F5099" s="36">
        <v>3.1000000000005901E-2</v>
      </c>
      <c r="G5099" s="34">
        <v>3.1000000000005901E-2</v>
      </c>
      <c r="H5099" s="35">
        <v>14.2</v>
      </c>
      <c r="I5099" s="37">
        <f t="shared" si="79"/>
        <v>2.719993870436348E-3</v>
      </c>
      <c r="J5099" s="33"/>
    </row>
    <row r="5100" spans="1:10">
      <c r="A5100" s="33" t="s">
        <v>193</v>
      </c>
      <c r="B5100" s="34">
        <v>238.70599999999999</v>
      </c>
      <c r="C5100" s="35">
        <v>5220.6000000000004</v>
      </c>
      <c r="D5100" s="33" t="s">
        <v>54</v>
      </c>
      <c r="E5100" s="34">
        <v>238.74600000000001</v>
      </c>
      <c r="F5100" s="36">
        <v>4.0000000000020498E-2</v>
      </c>
      <c r="G5100" s="34">
        <v>4.0000000000020498E-2</v>
      </c>
      <c r="H5100" s="35">
        <v>25.7</v>
      </c>
      <c r="I5100" s="37">
        <f t="shared" si="79"/>
        <v>4.9228058077615596E-3</v>
      </c>
      <c r="J5100" s="33"/>
    </row>
    <row r="5101" spans="1:10">
      <c r="A5101" s="33" t="s">
        <v>193</v>
      </c>
      <c r="B5101" s="34">
        <v>238.70599999999999</v>
      </c>
      <c r="C5101" s="35">
        <v>5220.6000000000004</v>
      </c>
      <c r="D5101" s="33" t="s">
        <v>273</v>
      </c>
      <c r="E5101" s="34">
        <v>238.75200000000001</v>
      </c>
      <c r="F5101" s="36">
        <v>4.6000000000020698E-2</v>
      </c>
      <c r="G5101" s="34">
        <v>4.6000000000020698E-2</v>
      </c>
      <c r="H5101" s="35">
        <v>910.3</v>
      </c>
      <c r="I5101" s="37">
        <f t="shared" si="79"/>
        <v>0.17436693100409911</v>
      </c>
      <c r="J5101" s="33"/>
    </row>
    <row r="5102" spans="1:10">
      <c r="A5102" s="33" t="s">
        <v>193</v>
      </c>
      <c r="B5102" s="34">
        <v>238.70599999999999</v>
      </c>
      <c r="C5102" s="35">
        <v>5220.6000000000004</v>
      </c>
      <c r="D5102" s="33" t="s">
        <v>276</v>
      </c>
      <c r="E5102" s="34">
        <v>238.77500000000001</v>
      </c>
      <c r="F5102" s="36">
        <v>6.9000000000016798E-2</v>
      </c>
      <c r="G5102" s="34">
        <v>6.9000000000016798E-2</v>
      </c>
      <c r="H5102" s="35">
        <v>63.8</v>
      </c>
      <c r="I5102" s="37">
        <f t="shared" si="79"/>
        <v>1.2220817530552042E-2</v>
      </c>
      <c r="J5102" s="33"/>
    </row>
    <row r="5103" spans="1:10">
      <c r="A5103" s="33" t="s">
        <v>193</v>
      </c>
      <c r="B5103" s="34">
        <v>238.70599999999999</v>
      </c>
      <c r="C5103" s="35">
        <v>5220.6000000000004</v>
      </c>
      <c r="D5103" s="33" t="s">
        <v>165</v>
      </c>
      <c r="E5103" s="34">
        <v>238.77600000000001</v>
      </c>
      <c r="F5103" s="36">
        <v>7.00000000000216E-2</v>
      </c>
      <c r="G5103" s="34">
        <v>7.00000000000216E-2</v>
      </c>
      <c r="H5103" s="35">
        <v>319.2</v>
      </c>
      <c r="I5103" s="37">
        <f t="shared" si="79"/>
        <v>6.1142397425583257E-2</v>
      </c>
      <c r="J5103" s="33"/>
    </row>
    <row r="5104" spans="1:10">
      <c r="A5104" s="33" t="s">
        <v>193</v>
      </c>
      <c r="B5104" s="34">
        <v>238.70599999999999</v>
      </c>
      <c r="C5104" s="35">
        <v>5220.6000000000004</v>
      </c>
      <c r="D5104" s="33" t="s">
        <v>278</v>
      </c>
      <c r="E5104" s="34">
        <v>238.80799999999999</v>
      </c>
      <c r="F5104" s="36">
        <v>0.102000000000004</v>
      </c>
      <c r="G5104" s="34">
        <v>0.102000000000004</v>
      </c>
      <c r="H5104" s="35">
        <v>3.2</v>
      </c>
      <c r="I5104" s="37">
        <f t="shared" si="79"/>
        <v>6.1295636516875451E-4</v>
      </c>
      <c r="J5104" s="33"/>
    </row>
    <row r="5105" spans="1:10">
      <c r="A5105" s="33" t="s">
        <v>193</v>
      </c>
      <c r="B5105" s="34">
        <v>238.70599999999999</v>
      </c>
      <c r="C5105" s="35">
        <v>5220.6000000000004</v>
      </c>
      <c r="D5105" s="33" t="s">
        <v>271</v>
      </c>
      <c r="E5105" s="34">
        <v>238.81399999999999</v>
      </c>
      <c r="F5105" s="36">
        <v>0.108000000000004</v>
      </c>
      <c r="G5105" s="34">
        <v>0.108000000000004</v>
      </c>
      <c r="H5105" s="35">
        <v>131.5</v>
      </c>
      <c r="I5105" s="37">
        <f t="shared" si="79"/>
        <v>2.5188675631153505E-2</v>
      </c>
      <c r="J5105" s="33"/>
    </row>
    <row r="5106" spans="1:10">
      <c r="A5106" s="33" t="s">
        <v>193</v>
      </c>
      <c r="B5106" s="34">
        <v>238.70599999999999</v>
      </c>
      <c r="C5106" s="35">
        <v>5220.6000000000004</v>
      </c>
      <c r="D5106" s="33" t="s">
        <v>273</v>
      </c>
      <c r="E5106" s="34">
        <v>238.827</v>
      </c>
      <c r="F5106" s="36">
        <v>0.121000000000009</v>
      </c>
      <c r="G5106" s="34">
        <v>0.121000000000009</v>
      </c>
      <c r="H5106" s="35">
        <v>257.5</v>
      </c>
      <c r="I5106" s="37">
        <f t="shared" si="79"/>
        <v>4.9323832509673211E-2</v>
      </c>
      <c r="J5106" s="33"/>
    </row>
    <row r="5107" spans="1:10">
      <c r="A5107" s="33" t="s">
        <v>193</v>
      </c>
      <c r="B5107" s="34">
        <v>238.70599999999999</v>
      </c>
      <c r="C5107" s="35">
        <v>5220.6000000000004</v>
      </c>
      <c r="D5107" s="33" t="s">
        <v>285</v>
      </c>
      <c r="E5107" s="34">
        <v>238.82900000000001</v>
      </c>
      <c r="F5107" s="36">
        <v>0.123000000000019</v>
      </c>
      <c r="G5107" s="34">
        <v>0.123000000000019</v>
      </c>
      <c r="H5107" s="35">
        <v>27.6</v>
      </c>
      <c r="I5107" s="37">
        <f t="shared" si="79"/>
        <v>5.2867486495805083E-3</v>
      </c>
      <c r="J5107" s="33"/>
    </row>
    <row r="5108" spans="1:10">
      <c r="A5108" s="33" t="s">
        <v>193</v>
      </c>
      <c r="B5108" s="34">
        <v>238.70599999999999</v>
      </c>
      <c r="C5108" s="35">
        <v>5220.6000000000004</v>
      </c>
      <c r="D5108" s="33" t="s">
        <v>193</v>
      </c>
      <c r="E5108" s="34">
        <v>238.83799999999999</v>
      </c>
      <c r="F5108" s="36">
        <v>0.132000000000005</v>
      </c>
      <c r="G5108" s="34">
        <v>0.132000000000005</v>
      </c>
      <c r="H5108" s="35">
        <v>221.4</v>
      </c>
      <c r="I5108" s="37">
        <f t="shared" si="79"/>
        <v>4.2408918515113206E-2</v>
      </c>
      <c r="J5108" s="33"/>
    </row>
    <row r="5109" spans="1:10">
      <c r="A5109" s="33" t="s">
        <v>193</v>
      </c>
      <c r="B5109" s="34">
        <v>238.70599999999999</v>
      </c>
      <c r="C5109" s="35">
        <v>5220.6000000000004</v>
      </c>
      <c r="D5109" s="33" t="s">
        <v>274</v>
      </c>
      <c r="E5109" s="34">
        <v>238.85400000000001</v>
      </c>
      <c r="F5109" s="36">
        <v>0.148000000000025</v>
      </c>
      <c r="G5109" s="34">
        <v>0.148000000000025</v>
      </c>
      <c r="H5109" s="35">
        <v>10</v>
      </c>
      <c r="I5109" s="37">
        <f t="shared" si="79"/>
        <v>1.9154886411523579E-3</v>
      </c>
      <c r="J5109" s="33"/>
    </row>
    <row r="5110" spans="1:10">
      <c r="A5110" s="33" t="s">
        <v>193</v>
      </c>
      <c r="B5110" s="34">
        <v>238.70599999999999</v>
      </c>
      <c r="C5110" s="35">
        <v>5220.6000000000004</v>
      </c>
      <c r="D5110" s="33" t="s">
        <v>279</v>
      </c>
      <c r="E5110" s="34">
        <v>238.857</v>
      </c>
      <c r="F5110" s="36">
        <v>0.15100000000001099</v>
      </c>
      <c r="G5110" s="34">
        <v>0.15100000000001099</v>
      </c>
      <c r="H5110" s="35">
        <v>28.3</v>
      </c>
      <c r="I5110" s="37">
        <f t="shared" si="79"/>
        <v>5.4208328544611724E-3</v>
      </c>
      <c r="J5110" s="33"/>
    </row>
    <row r="5111" spans="1:10">
      <c r="A5111" s="33" t="s">
        <v>193</v>
      </c>
      <c r="B5111" s="34">
        <v>238.70599999999999</v>
      </c>
      <c r="C5111" s="35">
        <v>5220.6000000000004</v>
      </c>
      <c r="D5111" s="33" t="s">
        <v>97</v>
      </c>
      <c r="E5111" s="34">
        <v>238.863</v>
      </c>
      <c r="F5111" s="36">
        <v>0.15700000000001099</v>
      </c>
      <c r="G5111" s="34">
        <v>0.15700000000001099</v>
      </c>
      <c r="H5111" s="35">
        <v>8360</v>
      </c>
      <c r="I5111" s="37">
        <f t="shared" si="79"/>
        <v>1.6013485040033713</v>
      </c>
      <c r="J5111" s="33"/>
    </row>
    <row r="5112" spans="1:10">
      <c r="A5112" s="33" t="s">
        <v>193</v>
      </c>
      <c r="B5112" s="34">
        <v>238.70599999999999</v>
      </c>
      <c r="C5112" s="35">
        <v>5220.6000000000004</v>
      </c>
      <c r="D5112" s="33" t="s">
        <v>275</v>
      </c>
      <c r="E5112" s="34">
        <v>238.87</v>
      </c>
      <c r="F5112" s="36">
        <v>0.16400000000001599</v>
      </c>
      <c r="G5112" s="34">
        <v>0.16400000000001599</v>
      </c>
      <c r="H5112" s="35">
        <v>58.77</v>
      </c>
      <c r="I5112" s="37">
        <f t="shared" si="79"/>
        <v>1.1257326744052408E-2</v>
      </c>
      <c r="J5112" s="33"/>
    </row>
    <row r="5113" spans="1:10">
      <c r="A5113" s="33" t="s">
        <v>193</v>
      </c>
      <c r="B5113" s="34">
        <v>240.06299999999999</v>
      </c>
      <c r="C5113" s="35">
        <v>3206.4</v>
      </c>
      <c r="D5113" s="33" t="s">
        <v>193</v>
      </c>
      <c r="E5113" s="34">
        <v>239.80600000000001</v>
      </c>
      <c r="F5113" s="36">
        <v>0.25699999999997702</v>
      </c>
      <c r="G5113" s="34">
        <v>0.25699999999997702</v>
      </c>
      <c r="H5113" s="35">
        <v>14.4</v>
      </c>
      <c r="I5113" s="37">
        <f t="shared" si="79"/>
        <v>4.4910179640718561E-3</v>
      </c>
      <c r="J5113" s="33"/>
    </row>
    <row r="5114" spans="1:10">
      <c r="A5114" s="33" t="s">
        <v>193</v>
      </c>
      <c r="B5114" s="34">
        <v>240.06299999999999</v>
      </c>
      <c r="C5114" s="35">
        <v>3206.4</v>
      </c>
      <c r="D5114" s="33" t="s">
        <v>284</v>
      </c>
      <c r="E5114" s="34">
        <v>239.82</v>
      </c>
      <c r="F5114" s="36">
        <v>0.242999999999995</v>
      </c>
      <c r="G5114" s="34">
        <v>0.242999999999995</v>
      </c>
      <c r="H5114" s="35">
        <v>0.2</v>
      </c>
      <c r="I5114" s="37">
        <f t="shared" si="79"/>
        <v>6.2375249500998012E-5</v>
      </c>
      <c r="J5114" s="33"/>
    </row>
    <row r="5115" spans="1:10">
      <c r="A5115" s="33" t="s">
        <v>193</v>
      </c>
      <c r="B5115" s="34">
        <v>240.06299999999999</v>
      </c>
      <c r="C5115" s="35">
        <v>3206.4</v>
      </c>
      <c r="D5115" s="33" t="s">
        <v>193</v>
      </c>
      <c r="E5115" s="34">
        <v>239.83199999999999</v>
      </c>
      <c r="F5115" s="36">
        <v>0.23099999999999499</v>
      </c>
      <c r="G5115" s="34">
        <v>0.23099999999999499</v>
      </c>
      <c r="H5115" s="35">
        <v>15.6</v>
      </c>
      <c r="I5115" s="37">
        <f t="shared" si="79"/>
        <v>4.8652694610778436E-3</v>
      </c>
      <c r="J5115" s="33"/>
    </row>
    <row r="5116" spans="1:10">
      <c r="A5116" s="33" t="s">
        <v>193</v>
      </c>
      <c r="B5116" s="34">
        <v>240.06299999999999</v>
      </c>
      <c r="C5116" s="35">
        <v>3206.4</v>
      </c>
      <c r="D5116" s="33" t="s">
        <v>54</v>
      </c>
      <c r="E5116" s="34">
        <v>239.839</v>
      </c>
      <c r="F5116" s="36">
        <v>0.22399999999999001</v>
      </c>
      <c r="G5116" s="34">
        <v>0.22399999999999001</v>
      </c>
      <c r="H5116" s="35">
        <v>61.6</v>
      </c>
      <c r="I5116" s="37">
        <f t="shared" si="79"/>
        <v>1.9211576846307386E-2</v>
      </c>
      <c r="J5116" s="33"/>
    </row>
    <row r="5117" spans="1:10">
      <c r="A5117" s="33" t="s">
        <v>193</v>
      </c>
      <c r="B5117" s="34">
        <v>240.06299999999999</v>
      </c>
      <c r="C5117" s="35">
        <v>3206.4</v>
      </c>
      <c r="D5117" s="33" t="s">
        <v>273</v>
      </c>
      <c r="E5117" s="34">
        <v>239.84899999999999</v>
      </c>
      <c r="F5117" s="36">
        <v>0.213999999999999</v>
      </c>
      <c r="G5117" s="34">
        <v>0.213999999999999</v>
      </c>
      <c r="H5117" s="35">
        <v>314.7</v>
      </c>
      <c r="I5117" s="37">
        <f t="shared" si="79"/>
        <v>9.8147455089820354E-2</v>
      </c>
      <c r="J5117" s="33"/>
    </row>
    <row r="5118" spans="1:10">
      <c r="A5118" s="33" t="s">
        <v>193</v>
      </c>
      <c r="B5118" s="34">
        <v>240.06299999999999</v>
      </c>
      <c r="C5118" s="35">
        <v>3206.4</v>
      </c>
      <c r="D5118" s="33" t="s">
        <v>238</v>
      </c>
      <c r="E5118" s="34">
        <v>239.85599999999999</v>
      </c>
      <c r="F5118" s="36">
        <v>0.20699999999999399</v>
      </c>
      <c r="G5118" s="34">
        <v>0.20699999999999399</v>
      </c>
      <c r="H5118" s="35">
        <v>41.6</v>
      </c>
      <c r="I5118" s="37">
        <f t="shared" si="79"/>
        <v>1.2974051896207584E-2</v>
      </c>
      <c r="J5118" s="33"/>
    </row>
    <row r="5119" spans="1:10">
      <c r="A5119" s="33" t="s">
        <v>193</v>
      </c>
      <c r="B5119" s="34">
        <v>240.06299999999999</v>
      </c>
      <c r="C5119" s="35">
        <v>3206.4</v>
      </c>
      <c r="D5119" s="33" t="s">
        <v>290</v>
      </c>
      <c r="E5119" s="34">
        <v>239.875</v>
      </c>
      <c r="F5119" s="36">
        <v>0.18799999999998801</v>
      </c>
      <c r="G5119" s="34">
        <v>0.18799999999998801</v>
      </c>
      <c r="H5119" s="35">
        <v>46.6</v>
      </c>
      <c r="I5119" s="37">
        <f t="shared" si="79"/>
        <v>1.4533433133732536E-2</v>
      </c>
      <c r="J5119" s="33"/>
    </row>
    <row r="5120" spans="1:10">
      <c r="A5120" s="33" t="s">
        <v>193</v>
      </c>
      <c r="B5120" s="34">
        <v>240.06299999999999</v>
      </c>
      <c r="C5120" s="35">
        <v>3206.4</v>
      </c>
      <c r="D5120" s="33" t="s">
        <v>274</v>
      </c>
      <c r="E5120" s="34">
        <v>239.90299999999999</v>
      </c>
      <c r="F5120" s="36">
        <v>0.15999999999999701</v>
      </c>
      <c r="G5120" s="34">
        <v>0.15999999999999701</v>
      </c>
      <c r="H5120" s="35">
        <v>5.6</v>
      </c>
      <c r="I5120" s="37">
        <f t="shared" si="79"/>
        <v>1.7465069860279439E-3</v>
      </c>
      <c r="J5120" s="33"/>
    </row>
    <row r="5121" spans="1:10">
      <c r="A5121" s="33" t="s">
        <v>193</v>
      </c>
      <c r="B5121" s="34">
        <v>240.06299999999999</v>
      </c>
      <c r="C5121" s="35">
        <v>3206.4</v>
      </c>
      <c r="D5121" s="33" t="s">
        <v>239</v>
      </c>
      <c r="E5121" s="34">
        <v>239.904</v>
      </c>
      <c r="F5121" s="36">
        <v>0.15899999999999201</v>
      </c>
      <c r="G5121" s="34">
        <v>0.15899999999999201</v>
      </c>
      <c r="H5121" s="35">
        <v>5.3</v>
      </c>
      <c r="I5121" s="37">
        <f t="shared" si="79"/>
        <v>1.652944111776447E-3</v>
      </c>
      <c r="J5121" s="33"/>
    </row>
    <row r="5122" spans="1:10">
      <c r="A5122" s="33" t="s">
        <v>193</v>
      </c>
      <c r="B5122" s="34">
        <v>240.06299999999999</v>
      </c>
      <c r="C5122" s="35">
        <v>3206.4</v>
      </c>
      <c r="D5122" s="33" t="s">
        <v>85</v>
      </c>
      <c r="E5122" s="34">
        <v>239.91399999999999</v>
      </c>
      <c r="F5122" s="36">
        <v>0.14899999999999999</v>
      </c>
      <c r="G5122" s="34">
        <v>0.14899999999999999</v>
      </c>
      <c r="H5122" s="35">
        <v>124.5</v>
      </c>
      <c r="I5122" s="37">
        <f t="shared" ref="I5122:I5185" si="80">H5122/C5122</f>
        <v>3.8828592814371253E-2</v>
      </c>
      <c r="J5122" s="33" t="s">
        <v>116</v>
      </c>
    </row>
    <row r="5123" spans="1:10">
      <c r="A5123" s="33" t="s">
        <v>193</v>
      </c>
      <c r="B5123" s="34">
        <v>240.06299999999999</v>
      </c>
      <c r="C5123" s="35">
        <v>3206.4</v>
      </c>
      <c r="D5123" s="33" t="s">
        <v>193</v>
      </c>
      <c r="E5123" s="34">
        <v>239.91499999999999</v>
      </c>
      <c r="F5123" s="36">
        <v>0.147999999999996</v>
      </c>
      <c r="G5123" s="34">
        <v>0.147999999999996</v>
      </c>
      <c r="H5123" s="35">
        <v>5.8</v>
      </c>
      <c r="I5123" s="37">
        <f t="shared" si="80"/>
        <v>1.808882235528942E-3</v>
      </c>
      <c r="J5123" s="33"/>
    </row>
    <row r="5124" spans="1:10">
      <c r="A5124" s="33" t="s">
        <v>193</v>
      </c>
      <c r="B5124" s="34">
        <v>240.06299999999999</v>
      </c>
      <c r="C5124" s="35">
        <v>3206.4</v>
      </c>
      <c r="D5124" s="33" t="s">
        <v>301</v>
      </c>
      <c r="E5124" s="34">
        <v>239.91800000000001</v>
      </c>
      <c r="F5124" s="36">
        <v>0.144999999999982</v>
      </c>
      <c r="G5124" s="34">
        <v>0.144999999999982</v>
      </c>
      <c r="H5124" s="35">
        <v>1</v>
      </c>
      <c r="I5124" s="37">
        <f t="shared" si="80"/>
        <v>3.1187624750499002E-4</v>
      </c>
      <c r="J5124" s="33"/>
    </row>
    <row r="5125" spans="1:10">
      <c r="A5125" s="33" t="s">
        <v>193</v>
      </c>
      <c r="B5125" s="34">
        <v>240.06299999999999</v>
      </c>
      <c r="C5125" s="35">
        <v>3206.4</v>
      </c>
      <c r="D5125" s="33" t="s">
        <v>97</v>
      </c>
      <c r="E5125" s="34">
        <v>239.92400000000001</v>
      </c>
      <c r="F5125" s="36">
        <v>0.138999999999982</v>
      </c>
      <c r="G5125" s="34">
        <v>0.138999999999982</v>
      </c>
      <c r="H5125" s="35">
        <v>3403.3</v>
      </c>
      <c r="I5125" s="37">
        <f t="shared" si="80"/>
        <v>1.0614084331337326</v>
      </c>
      <c r="J5125" s="33"/>
    </row>
    <row r="5126" spans="1:10">
      <c r="A5126" s="33" t="s">
        <v>193</v>
      </c>
      <c r="B5126" s="34">
        <v>240.06299999999999</v>
      </c>
      <c r="C5126" s="35">
        <v>3206.4</v>
      </c>
      <c r="D5126" s="33" t="s">
        <v>296</v>
      </c>
      <c r="E5126" s="34">
        <v>239.93799999999999</v>
      </c>
      <c r="F5126" s="36">
        <v>0.125</v>
      </c>
      <c r="G5126" s="34">
        <v>0.125</v>
      </c>
      <c r="H5126" s="35">
        <v>0.3</v>
      </c>
      <c r="I5126" s="37">
        <f t="shared" si="80"/>
        <v>9.3562874251496998E-5</v>
      </c>
      <c r="J5126" s="33"/>
    </row>
    <row r="5127" spans="1:10">
      <c r="A5127" s="33" t="s">
        <v>193</v>
      </c>
      <c r="B5127" s="34">
        <v>240.06299999999999</v>
      </c>
      <c r="C5127" s="35">
        <v>3206.4</v>
      </c>
      <c r="D5127" s="33" t="s">
        <v>300</v>
      </c>
      <c r="E5127" s="34">
        <v>239.96</v>
      </c>
      <c r="F5127" s="36">
        <v>0.10299999999998</v>
      </c>
      <c r="G5127" s="34">
        <v>0.10299999999998</v>
      </c>
      <c r="H5127" s="35">
        <v>1.6</v>
      </c>
      <c r="I5127" s="37">
        <f t="shared" si="80"/>
        <v>4.990019960079841E-4</v>
      </c>
      <c r="J5127" s="33"/>
    </row>
    <row r="5128" spans="1:10">
      <c r="A5128" s="33" t="s">
        <v>193</v>
      </c>
      <c r="B5128" s="34">
        <v>240.06299999999999</v>
      </c>
      <c r="C5128" s="35">
        <v>3206.4</v>
      </c>
      <c r="D5128" s="33" t="s">
        <v>239</v>
      </c>
      <c r="E5128" s="34">
        <v>239.96600000000001</v>
      </c>
      <c r="F5128" s="36">
        <v>9.6999999999980005E-2</v>
      </c>
      <c r="G5128" s="34">
        <v>9.6999999999980005E-2</v>
      </c>
      <c r="H5128" s="35">
        <v>11.5</v>
      </c>
      <c r="I5128" s="37">
        <f t="shared" si="80"/>
        <v>3.586576846307385E-3</v>
      </c>
      <c r="J5128" s="33"/>
    </row>
    <row r="5129" spans="1:10">
      <c r="A5129" s="33" t="s">
        <v>193</v>
      </c>
      <c r="B5129" s="34">
        <v>240.06299999999999</v>
      </c>
      <c r="C5129" s="35">
        <v>3206.4</v>
      </c>
      <c r="D5129" s="33" t="s">
        <v>193</v>
      </c>
      <c r="E5129" s="34">
        <v>239.99299999999999</v>
      </c>
      <c r="F5129" s="36">
        <v>6.9999999999993207E-2</v>
      </c>
      <c r="G5129" s="34">
        <v>6.9999999999993207E-2</v>
      </c>
      <c r="H5129" s="35">
        <v>155.30000000000001</v>
      </c>
      <c r="I5129" s="37">
        <f t="shared" si="80"/>
        <v>4.843438123752495E-2</v>
      </c>
      <c r="J5129" s="33"/>
    </row>
    <row r="5130" spans="1:10">
      <c r="A5130" s="33" t="s">
        <v>193</v>
      </c>
      <c r="B5130" s="34">
        <v>240.06299999999999</v>
      </c>
      <c r="C5130" s="35">
        <v>3206.4</v>
      </c>
      <c r="D5130" s="33" t="s">
        <v>278</v>
      </c>
      <c r="E5130" s="34">
        <v>239.995</v>
      </c>
      <c r="F5130" s="36">
        <v>6.7999999999983601E-2</v>
      </c>
      <c r="G5130" s="34">
        <v>6.7999999999983601E-2</v>
      </c>
      <c r="H5130" s="35">
        <v>5.7</v>
      </c>
      <c r="I5130" s="37">
        <f t="shared" si="80"/>
        <v>1.777694610778443E-3</v>
      </c>
      <c r="J5130" s="33"/>
    </row>
    <row r="5131" spans="1:10">
      <c r="A5131" s="33" t="s">
        <v>193</v>
      </c>
      <c r="B5131" s="34">
        <v>240.06299999999999</v>
      </c>
      <c r="C5131" s="35">
        <v>3206.4</v>
      </c>
      <c r="D5131" s="33" t="s">
        <v>286</v>
      </c>
      <c r="E5131" s="34">
        <v>240.012</v>
      </c>
      <c r="F5131" s="36">
        <v>5.0999999999987701E-2</v>
      </c>
      <c r="G5131" s="34">
        <v>5.0999999999987701E-2</v>
      </c>
      <c r="H5131" s="35">
        <v>42.9</v>
      </c>
      <c r="I5131" s="37">
        <f t="shared" si="80"/>
        <v>1.3379491017964072E-2</v>
      </c>
      <c r="J5131" s="33"/>
    </row>
    <row r="5132" spans="1:10">
      <c r="A5132" s="33" t="s">
        <v>193</v>
      </c>
      <c r="B5132" s="34">
        <v>240.06299999999999</v>
      </c>
      <c r="C5132" s="35">
        <v>3206.4</v>
      </c>
      <c r="D5132" s="33" t="s">
        <v>97</v>
      </c>
      <c r="E5132" s="34">
        <v>240.03399999999999</v>
      </c>
      <c r="F5132" s="36">
        <v>2.89999999999964E-2</v>
      </c>
      <c r="G5132" s="34">
        <v>2.89999999999964E-2</v>
      </c>
      <c r="H5132" s="35">
        <v>38</v>
      </c>
      <c r="I5132" s="37">
        <f t="shared" si="80"/>
        <v>1.185129740518962E-2</v>
      </c>
      <c r="J5132" s="33"/>
    </row>
    <row r="5133" spans="1:10">
      <c r="A5133" s="33" t="s">
        <v>193</v>
      </c>
      <c r="B5133" s="34">
        <v>240.06299999999999</v>
      </c>
      <c r="C5133" s="35">
        <v>3206.4</v>
      </c>
      <c r="D5133" s="33" t="s">
        <v>279</v>
      </c>
      <c r="E5133" s="34">
        <v>240.07400000000001</v>
      </c>
      <c r="F5133" s="36">
        <v>1.10000000000241E-2</v>
      </c>
      <c r="G5133" s="34">
        <v>1.10000000000241E-2</v>
      </c>
      <c r="H5133" s="35">
        <v>10.7</v>
      </c>
      <c r="I5133" s="37">
        <f t="shared" si="80"/>
        <v>3.3370758483033929E-3</v>
      </c>
      <c r="J5133" s="33"/>
    </row>
    <row r="5134" spans="1:10">
      <c r="A5134" s="33" t="s">
        <v>193</v>
      </c>
      <c r="B5134" s="34">
        <v>240.06299999999999</v>
      </c>
      <c r="C5134" s="35">
        <v>3206.4</v>
      </c>
      <c r="D5134" s="33" t="s">
        <v>269</v>
      </c>
      <c r="E5134" s="34">
        <v>240.08199999999999</v>
      </c>
      <c r="F5134" s="36">
        <v>1.9000000000005499E-2</v>
      </c>
      <c r="G5134" s="34">
        <v>1.9000000000005499E-2</v>
      </c>
      <c r="H5134" s="35">
        <v>458.8</v>
      </c>
      <c r="I5134" s="37">
        <f t="shared" si="80"/>
        <v>0.14308882235528941</v>
      </c>
      <c r="J5134" s="33"/>
    </row>
    <row r="5135" spans="1:10">
      <c r="A5135" s="33" t="s">
        <v>193</v>
      </c>
      <c r="B5135" s="34">
        <v>240.06299999999999</v>
      </c>
      <c r="C5135" s="35">
        <v>3206.4</v>
      </c>
      <c r="D5135" s="33" t="s">
        <v>303</v>
      </c>
      <c r="E5135" s="34">
        <v>240.09</v>
      </c>
      <c r="F5135" s="36">
        <v>2.7000000000015199E-2</v>
      </c>
      <c r="G5135" s="34">
        <v>2.7000000000015199E-2</v>
      </c>
      <c r="H5135" s="35">
        <v>16.100000000000001</v>
      </c>
      <c r="I5135" s="37">
        <f t="shared" si="80"/>
        <v>5.0212075848303393E-3</v>
      </c>
      <c r="J5135" s="33"/>
    </row>
    <row r="5136" spans="1:10">
      <c r="A5136" s="33" t="s">
        <v>193</v>
      </c>
      <c r="B5136" s="34">
        <v>240.06299999999999</v>
      </c>
      <c r="C5136" s="35">
        <v>3206.4</v>
      </c>
      <c r="D5136" s="33" t="s">
        <v>54</v>
      </c>
      <c r="E5136" s="34">
        <v>240.11</v>
      </c>
      <c r="F5136" s="36">
        <v>4.7000000000025501E-2</v>
      </c>
      <c r="G5136" s="34">
        <v>4.7000000000025501E-2</v>
      </c>
      <c r="H5136" s="35">
        <v>10</v>
      </c>
      <c r="I5136" s="37">
        <f t="shared" si="80"/>
        <v>3.1187624750499002E-3</v>
      </c>
      <c r="J5136" s="33"/>
    </row>
    <row r="5137" spans="1:10">
      <c r="A5137" s="33" t="s">
        <v>193</v>
      </c>
      <c r="B5137" s="34">
        <v>240.06299999999999</v>
      </c>
      <c r="C5137" s="35">
        <v>3206.4</v>
      </c>
      <c r="D5137" s="33" t="s">
        <v>284</v>
      </c>
      <c r="E5137" s="34">
        <v>240.113</v>
      </c>
      <c r="F5137" s="36">
        <v>5.0000000000011403E-2</v>
      </c>
      <c r="G5137" s="34">
        <v>5.0000000000011403E-2</v>
      </c>
      <c r="H5137" s="35">
        <v>3.9</v>
      </c>
      <c r="I5137" s="37">
        <f t="shared" si="80"/>
        <v>1.2163173652694609E-3</v>
      </c>
      <c r="J5137" s="33"/>
    </row>
    <row r="5138" spans="1:10">
      <c r="A5138" s="33" t="s">
        <v>193</v>
      </c>
      <c r="B5138" s="34">
        <v>240.06299999999999</v>
      </c>
      <c r="C5138" s="35">
        <v>3206.4</v>
      </c>
      <c r="D5138" s="33" t="s">
        <v>274</v>
      </c>
      <c r="E5138" s="34">
        <v>240.13</v>
      </c>
      <c r="F5138" s="36">
        <v>6.7000000000007304E-2</v>
      </c>
      <c r="G5138" s="34">
        <v>6.7000000000007304E-2</v>
      </c>
      <c r="H5138" s="35">
        <v>3.6</v>
      </c>
      <c r="I5138" s="37">
        <f t="shared" si="80"/>
        <v>1.122754491017964E-3</v>
      </c>
      <c r="J5138" s="33"/>
    </row>
    <row r="5139" spans="1:10">
      <c r="A5139" s="33" t="s">
        <v>193</v>
      </c>
      <c r="B5139" s="34">
        <v>240.06299999999999</v>
      </c>
      <c r="C5139" s="35">
        <v>3206.4</v>
      </c>
      <c r="D5139" s="33" t="s">
        <v>54</v>
      </c>
      <c r="E5139" s="34">
        <v>240.16</v>
      </c>
      <c r="F5139" s="36">
        <v>9.7000000000008399E-2</v>
      </c>
      <c r="G5139" s="34">
        <v>9.7000000000008399E-2</v>
      </c>
      <c r="H5139" s="35">
        <v>5.9</v>
      </c>
      <c r="I5139" s="37">
        <f t="shared" si="80"/>
        <v>1.8400698602794412E-3</v>
      </c>
      <c r="J5139" s="33"/>
    </row>
    <row r="5140" spans="1:10">
      <c r="A5140" s="33" t="s">
        <v>193</v>
      </c>
      <c r="B5140" s="34">
        <v>240.06299999999999</v>
      </c>
      <c r="C5140" s="35">
        <v>3206.4</v>
      </c>
      <c r="D5140" s="33" t="s">
        <v>279</v>
      </c>
      <c r="E5140" s="34">
        <v>240.16800000000001</v>
      </c>
      <c r="F5140" s="36">
        <v>0.105000000000018</v>
      </c>
      <c r="G5140" s="34">
        <v>0.105000000000018</v>
      </c>
      <c r="H5140" s="35">
        <v>8.5</v>
      </c>
      <c r="I5140" s="37">
        <f t="shared" si="80"/>
        <v>2.650948103792415E-3</v>
      </c>
      <c r="J5140" s="33"/>
    </row>
    <row r="5141" spans="1:10">
      <c r="A5141" s="33" t="s">
        <v>193</v>
      </c>
      <c r="B5141" s="34">
        <v>240.06299999999999</v>
      </c>
      <c r="C5141" s="35">
        <v>3206.4</v>
      </c>
      <c r="D5141" s="33" t="s">
        <v>290</v>
      </c>
      <c r="E5141" s="34">
        <v>240.178</v>
      </c>
      <c r="F5141" s="36">
        <v>0.115000000000009</v>
      </c>
      <c r="G5141" s="34">
        <v>0.115000000000009</v>
      </c>
      <c r="H5141" s="35">
        <v>5.5</v>
      </c>
      <c r="I5141" s="37">
        <f t="shared" si="80"/>
        <v>1.7153193612774451E-3</v>
      </c>
      <c r="J5141" s="33"/>
    </row>
    <row r="5142" spans="1:10">
      <c r="A5142" s="33" t="s">
        <v>193</v>
      </c>
      <c r="B5142" s="34">
        <v>240.06299999999999</v>
      </c>
      <c r="C5142" s="35">
        <v>3206.4</v>
      </c>
      <c r="D5142" s="33" t="s">
        <v>274</v>
      </c>
      <c r="E5142" s="34">
        <v>240.18600000000001</v>
      </c>
      <c r="F5142" s="36">
        <v>0.123000000000019</v>
      </c>
      <c r="G5142" s="34">
        <v>0.123000000000019</v>
      </c>
      <c r="H5142" s="35">
        <v>17.2</v>
      </c>
      <c r="I5142" s="37">
        <f t="shared" si="80"/>
        <v>5.3642714570858278E-3</v>
      </c>
      <c r="J5142" s="33"/>
    </row>
    <row r="5143" spans="1:10">
      <c r="A5143" s="33" t="s">
        <v>193</v>
      </c>
      <c r="B5143" s="34">
        <v>240.06299999999999</v>
      </c>
      <c r="C5143" s="35">
        <v>3206.4</v>
      </c>
      <c r="D5143" s="33" t="s">
        <v>294</v>
      </c>
      <c r="E5143" s="34">
        <v>240.18799999999999</v>
      </c>
      <c r="F5143" s="36">
        <v>0.125</v>
      </c>
      <c r="G5143" s="34">
        <v>0.125</v>
      </c>
      <c r="H5143" s="35">
        <v>12.2</v>
      </c>
      <c r="I5143" s="37">
        <f t="shared" si="80"/>
        <v>3.8048902195608777E-3</v>
      </c>
      <c r="J5143" s="33"/>
    </row>
    <row r="5144" spans="1:10">
      <c r="A5144" s="33" t="s">
        <v>193</v>
      </c>
      <c r="B5144" s="34">
        <v>240.06299999999999</v>
      </c>
      <c r="C5144" s="35">
        <v>3206.4</v>
      </c>
      <c r="D5144" s="33" t="s">
        <v>278</v>
      </c>
      <c r="E5144" s="34">
        <v>240.19</v>
      </c>
      <c r="F5144" s="36">
        <v>0.12700000000000999</v>
      </c>
      <c r="G5144" s="34">
        <v>0.12700000000000999</v>
      </c>
      <c r="H5144" s="35">
        <v>5.2</v>
      </c>
      <c r="I5144" s="37">
        <f t="shared" si="80"/>
        <v>1.621756487025948E-3</v>
      </c>
      <c r="J5144" s="33"/>
    </row>
    <row r="5145" spans="1:10">
      <c r="A5145" s="33" t="s">
        <v>193</v>
      </c>
      <c r="B5145" s="34">
        <v>240.06299999999999</v>
      </c>
      <c r="C5145" s="35">
        <v>3206.4</v>
      </c>
      <c r="D5145" s="33" t="s">
        <v>275</v>
      </c>
      <c r="E5145" s="34">
        <v>240.19300000000001</v>
      </c>
      <c r="F5145" s="36">
        <v>0.13000000000002401</v>
      </c>
      <c r="G5145" s="34">
        <v>0.13000000000002401</v>
      </c>
      <c r="H5145" s="35">
        <v>50.6</v>
      </c>
      <c r="I5145" s="37">
        <f t="shared" si="80"/>
        <v>1.5780938123752496E-2</v>
      </c>
      <c r="J5145" s="33"/>
    </row>
    <row r="5146" spans="1:10">
      <c r="A5146" s="33" t="s">
        <v>193</v>
      </c>
      <c r="B5146" s="34">
        <v>240.06299999999999</v>
      </c>
      <c r="C5146" s="35">
        <v>3206.4</v>
      </c>
      <c r="D5146" s="33" t="s">
        <v>165</v>
      </c>
      <c r="E5146" s="34">
        <v>240.19300000000001</v>
      </c>
      <c r="F5146" s="36">
        <v>0.13000000000002401</v>
      </c>
      <c r="G5146" s="34">
        <v>0.13000000000002401</v>
      </c>
      <c r="H5146" s="35">
        <v>56.6</v>
      </c>
      <c r="I5146" s="37">
        <f t="shared" si="80"/>
        <v>1.7652195608782437E-2</v>
      </c>
      <c r="J5146" s="33"/>
    </row>
    <row r="5147" spans="1:10">
      <c r="A5147" s="33" t="s">
        <v>193</v>
      </c>
      <c r="B5147" s="34">
        <v>240.06299999999999</v>
      </c>
      <c r="C5147" s="35">
        <v>3206.4</v>
      </c>
      <c r="D5147" s="33" t="s">
        <v>300</v>
      </c>
      <c r="E5147" s="34">
        <v>240.19399999999999</v>
      </c>
      <c r="F5147" s="36">
        <v>0.13100000000000001</v>
      </c>
      <c r="G5147" s="34">
        <v>0.13100000000000001</v>
      </c>
      <c r="H5147" s="35">
        <v>30.1</v>
      </c>
      <c r="I5147" s="37">
        <f t="shared" si="80"/>
        <v>9.3874750499001996E-3</v>
      </c>
      <c r="J5147" s="33"/>
    </row>
    <row r="5148" spans="1:10">
      <c r="A5148" s="33" t="s">
        <v>193</v>
      </c>
      <c r="B5148" s="34">
        <v>240.06299999999999</v>
      </c>
      <c r="C5148" s="35">
        <v>3206.4</v>
      </c>
      <c r="D5148" s="33" t="s">
        <v>54</v>
      </c>
      <c r="E5148" s="34">
        <v>240.20599999999999</v>
      </c>
      <c r="F5148" s="36">
        <v>0.14300000000000099</v>
      </c>
      <c r="G5148" s="34">
        <v>0.14300000000000099</v>
      </c>
      <c r="H5148" s="35">
        <v>105</v>
      </c>
      <c r="I5148" s="37">
        <f t="shared" si="80"/>
        <v>3.274700598802395E-2</v>
      </c>
      <c r="J5148" s="33"/>
    </row>
    <row r="5149" spans="1:10">
      <c r="A5149" s="33" t="s">
        <v>193</v>
      </c>
      <c r="B5149" s="34">
        <v>240.06299999999999</v>
      </c>
      <c r="C5149" s="35">
        <v>3206.4</v>
      </c>
      <c r="D5149" s="33" t="s">
        <v>193</v>
      </c>
      <c r="E5149" s="34">
        <v>240.214</v>
      </c>
      <c r="F5149" s="36">
        <v>0.15100000000001099</v>
      </c>
      <c r="G5149" s="34">
        <v>0.15100000000001099</v>
      </c>
      <c r="H5149" s="35">
        <v>370.6</v>
      </c>
      <c r="I5149" s="37">
        <f t="shared" si="80"/>
        <v>0.11558133732534931</v>
      </c>
      <c r="J5149" s="33"/>
    </row>
    <row r="5150" spans="1:10">
      <c r="A5150" s="33" t="s">
        <v>193</v>
      </c>
      <c r="B5150" s="34">
        <v>240.06299999999999</v>
      </c>
      <c r="C5150" s="35">
        <v>3206.4</v>
      </c>
      <c r="D5150" s="33" t="s">
        <v>284</v>
      </c>
      <c r="E5150" s="34">
        <v>240.22399999999999</v>
      </c>
      <c r="F5150" s="36">
        <v>0.161000000000001</v>
      </c>
      <c r="G5150" s="34">
        <v>0.161000000000001</v>
      </c>
      <c r="H5150" s="35">
        <v>0.9</v>
      </c>
      <c r="I5150" s="37">
        <f t="shared" si="80"/>
        <v>2.8068862275449101E-4</v>
      </c>
      <c r="J5150" s="33"/>
    </row>
    <row r="5151" spans="1:10">
      <c r="A5151" s="33" t="s">
        <v>193</v>
      </c>
      <c r="B5151" s="34">
        <v>240.06299999999999</v>
      </c>
      <c r="C5151" s="35">
        <v>3206.4</v>
      </c>
      <c r="D5151" s="33" t="s">
        <v>33</v>
      </c>
      <c r="E5151" s="34">
        <v>240.22900000000001</v>
      </c>
      <c r="F5151" s="36">
        <v>0.16600000000002499</v>
      </c>
      <c r="G5151" s="34">
        <v>0.16600000000002499</v>
      </c>
      <c r="H5151" s="35">
        <v>179.1</v>
      </c>
      <c r="I5151" s="37">
        <f t="shared" si="80"/>
        <v>5.5857035928143707E-2</v>
      </c>
      <c r="J5151" s="33" t="s">
        <v>116</v>
      </c>
    </row>
    <row r="5152" spans="1:10">
      <c r="A5152" s="33" t="s">
        <v>193</v>
      </c>
      <c r="B5152" s="34">
        <v>240.06299999999999</v>
      </c>
      <c r="C5152" s="35">
        <v>3206.4</v>
      </c>
      <c r="D5152" s="33" t="s">
        <v>274</v>
      </c>
      <c r="E5152" s="34">
        <v>240.245</v>
      </c>
      <c r="F5152" s="36">
        <v>0.18200000000001601</v>
      </c>
      <c r="G5152" s="34">
        <v>0.18200000000001601</v>
      </c>
      <c r="H5152" s="35">
        <v>25.3</v>
      </c>
      <c r="I5152" s="37">
        <f t="shared" si="80"/>
        <v>7.8904690618762478E-3</v>
      </c>
      <c r="J5152" s="33"/>
    </row>
    <row r="5153" spans="1:10">
      <c r="A5153" s="33" t="s">
        <v>193</v>
      </c>
      <c r="B5153" s="34">
        <v>263.55799999999999</v>
      </c>
      <c r="C5153" s="35">
        <v>6740</v>
      </c>
      <c r="D5153" s="33" t="s">
        <v>239</v>
      </c>
      <c r="E5153" s="34">
        <v>263.42500000000001</v>
      </c>
      <c r="F5153" s="36">
        <v>0.13299999999998099</v>
      </c>
      <c r="G5153" s="34">
        <v>0.13299999999998099</v>
      </c>
      <c r="H5153" s="35">
        <v>22.1</v>
      </c>
      <c r="I5153" s="37">
        <f t="shared" si="80"/>
        <v>3.2789317507418399E-3</v>
      </c>
      <c r="J5153" s="33"/>
    </row>
    <row r="5154" spans="1:10">
      <c r="A5154" s="33" t="s">
        <v>193</v>
      </c>
      <c r="B5154" s="34">
        <v>263.55799999999999</v>
      </c>
      <c r="C5154" s="35">
        <v>6740</v>
      </c>
      <c r="D5154" s="33" t="s">
        <v>284</v>
      </c>
      <c r="E5154" s="34">
        <v>263.42899999999997</v>
      </c>
      <c r="F5154" s="36">
        <v>0.12900000000001899</v>
      </c>
      <c r="G5154" s="34">
        <v>0.12900000000001899</v>
      </c>
      <c r="H5154" s="35">
        <v>0.7</v>
      </c>
      <c r="I5154" s="37">
        <f t="shared" si="80"/>
        <v>1.0385756676557863E-4</v>
      </c>
      <c r="J5154" s="33"/>
    </row>
    <row r="5155" spans="1:10">
      <c r="A5155" s="33" t="s">
        <v>193</v>
      </c>
      <c r="B5155" s="34">
        <v>263.55799999999999</v>
      </c>
      <c r="C5155" s="35">
        <v>6740</v>
      </c>
      <c r="D5155" s="33" t="s">
        <v>63</v>
      </c>
      <c r="E5155" s="34">
        <v>263.43099999999998</v>
      </c>
      <c r="F5155" s="36">
        <v>0.127</v>
      </c>
      <c r="G5155" s="34">
        <v>0.127</v>
      </c>
      <c r="H5155" s="35">
        <v>185.2</v>
      </c>
      <c r="I5155" s="37">
        <f t="shared" si="80"/>
        <v>2.747774480712166E-2</v>
      </c>
      <c r="J5155" s="33" t="s">
        <v>116</v>
      </c>
    </row>
    <row r="5156" spans="1:10">
      <c r="A5156" s="33" t="s">
        <v>193</v>
      </c>
      <c r="B5156" s="34">
        <v>263.55799999999999</v>
      </c>
      <c r="C5156" s="35">
        <v>6740</v>
      </c>
      <c r="D5156" s="33" t="s">
        <v>284</v>
      </c>
      <c r="E5156" s="34">
        <v>263.44400000000002</v>
      </c>
      <c r="F5156" s="36">
        <v>0.113999999999976</v>
      </c>
      <c r="G5156" s="34">
        <v>0.113999999999976</v>
      </c>
      <c r="H5156" s="35">
        <v>0.4</v>
      </c>
      <c r="I5156" s="37">
        <f t="shared" si="80"/>
        <v>5.934718100890208E-5</v>
      </c>
      <c r="J5156" s="33"/>
    </row>
    <row r="5157" spans="1:10">
      <c r="A5157" s="33" t="s">
        <v>193</v>
      </c>
      <c r="B5157" s="34">
        <v>263.55799999999999</v>
      </c>
      <c r="C5157" s="35">
        <v>6740</v>
      </c>
      <c r="D5157" s="33" t="s">
        <v>274</v>
      </c>
      <c r="E5157" s="34">
        <v>263.45800000000003</v>
      </c>
      <c r="F5157" s="36">
        <v>9.9999999999965894E-2</v>
      </c>
      <c r="G5157" s="34">
        <v>9.9999999999965894E-2</v>
      </c>
      <c r="H5157" s="35">
        <v>40.6</v>
      </c>
      <c r="I5157" s="37">
        <f t="shared" si="80"/>
        <v>6.0237388724035607E-3</v>
      </c>
      <c r="J5157" s="33"/>
    </row>
    <row r="5158" spans="1:10">
      <c r="A5158" s="33" t="s">
        <v>193</v>
      </c>
      <c r="B5158" s="34">
        <v>263.55799999999999</v>
      </c>
      <c r="C5158" s="35">
        <v>6740</v>
      </c>
      <c r="D5158" s="33" t="s">
        <v>273</v>
      </c>
      <c r="E5158" s="34">
        <v>263.471</v>
      </c>
      <c r="F5158" s="36">
        <v>8.69999999999891E-2</v>
      </c>
      <c r="G5158" s="34">
        <v>8.69999999999891E-2</v>
      </c>
      <c r="H5158" s="35">
        <v>17.2</v>
      </c>
      <c r="I5158" s="37">
        <f t="shared" si="80"/>
        <v>2.5519287833827894E-3</v>
      </c>
      <c r="J5158" s="33"/>
    </row>
    <row r="5159" spans="1:10">
      <c r="A5159" s="33" t="s">
        <v>193</v>
      </c>
      <c r="B5159" s="34">
        <v>263.55799999999999</v>
      </c>
      <c r="C5159" s="35">
        <v>6740</v>
      </c>
      <c r="D5159" s="33" t="s">
        <v>288</v>
      </c>
      <c r="E5159" s="34">
        <v>263.47800000000001</v>
      </c>
      <c r="F5159" s="36">
        <v>7.9999999999984098E-2</v>
      </c>
      <c r="G5159" s="34">
        <v>7.9999999999984098E-2</v>
      </c>
      <c r="H5159" s="35">
        <v>580.5</v>
      </c>
      <c r="I5159" s="37">
        <f t="shared" si="80"/>
        <v>8.6127596439169146E-2</v>
      </c>
      <c r="J5159" s="33"/>
    </row>
    <row r="5160" spans="1:10">
      <c r="A5160" s="33" t="s">
        <v>193</v>
      </c>
      <c r="B5160" s="34">
        <v>263.55799999999999</v>
      </c>
      <c r="C5160" s="35">
        <v>6740</v>
      </c>
      <c r="D5160" s="33" t="s">
        <v>33</v>
      </c>
      <c r="E5160" s="34">
        <v>263.48</v>
      </c>
      <c r="F5160" s="36">
        <v>7.7999999999974506E-2</v>
      </c>
      <c r="G5160" s="34">
        <v>7.7999999999974506E-2</v>
      </c>
      <c r="H5160" s="35">
        <v>818.1</v>
      </c>
      <c r="I5160" s="37">
        <f t="shared" si="80"/>
        <v>0.12137982195845698</v>
      </c>
      <c r="J5160" s="33" t="s">
        <v>116</v>
      </c>
    </row>
    <row r="5161" spans="1:10">
      <c r="A5161" s="33" t="s">
        <v>193</v>
      </c>
      <c r="B5161" s="34">
        <v>263.55799999999999</v>
      </c>
      <c r="C5161" s="35">
        <v>6740</v>
      </c>
      <c r="D5161" s="33" t="s">
        <v>54</v>
      </c>
      <c r="E5161" s="34">
        <v>263.49200000000002</v>
      </c>
      <c r="F5161" s="36">
        <v>6.5999999999974093E-2</v>
      </c>
      <c r="G5161" s="34">
        <v>6.5999999999974093E-2</v>
      </c>
      <c r="H5161" s="35">
        <v>24.2</v>
      </c>
      <c r="I5161" s="37">
        <f t="shared" si="80"/>
        <v>3.5905044510385754E-3</v>
      </c>
      <c r="J5161" s="33"/>
    </row>
    <row r="5162" spans="1:10">
      <c r="A5162" s="33" t="s">
        <v>193</v>
      </c>
      <c r="B5162" s="34">
        <v>263.55799999999999</v>
      </c>
      <c r="C5162" s="35">
        <v>6740</v>
      </c>
      <c r="D5162" s="33" t="s">
        <v>25</v>
      </c>
      <c r="E5162" s="34">
        <v>263.51499999999999</v>
      </c>
      <c r="F5162" s="36">
        <v>4.3000000000006401E-2</v>
      </c>
      <c r="G5162" s="34">
        <v>4.3000000000006401E-2</v>
      </c>
      <c r="H5162" s="35">
        <v>211</v>
      </c>
      <c r="I5162" s="37">
        <f t="shared" si="80"/>
        <v>3.1305637982195843E-2</v>
      </c>
      <c r="J5162" s="33" t="s">
        <v>116</v>
      </c>
    </row>
    <row r="5163" spans="1:10">
      <c r="A5163" s="33" t="s">
        <v>193</v>
      </c>
      <c r="B5163" s="34">
        <v>263.55799999999999</v>
      </c>
      <c r="C5163" s="35">
        <v>6740</v>
      </c>
      <c r="D5163" s="33" t="s">
        <v>290</v>
      </c>
      <c r="E5163" s="34">
        <v>263.52699999999999</v>
      </c>
      <c r="F5163" s="36">
        <v>3.1000000000005901E-2</v>
      </c>
      <c r="G5163" s="34">
        <v>3.1000000000005901E-2</v>
      </c>
      <c r="H5163" s="35">
        <v>24.3</v>
      </c>
      <c r="I5163" s="37">
        <f t="shared" si="80"/>
        <v>3.6053412462908013E-3</v>
      </c>
      <c r="J5163" s="33"/>
    </row>
    <row r="5164" spans="1:10">
      <c r="A5164" s="33" t="s">
        <v>193</v>
      </c>
      <c r="B5164" s="34">
        <v>263.55799999999999</v>
      </c>
      <c r="C5164" s="35">
        <v>6740</v>
      </c>
      <c r="D5164" s="33" t="s">
        <v>282</v>
      </c>
      <c r="E5164" s="34">
        <v>263.53199999999998</v>
      </c>
      <c r="F5164" s="36">
        <v>2.6000000000010501E-2</v>
      </c>
      <c r="G5164" s="34">
        <v>2.6000000000010501E-2</v>
      </c>
      <c r="H5164" s="35">
        <v>85.4</v>
      </c>
      <c r="I5164" s="37">
        <f t="shared" si="80"/>
        <v>1.2670623145400595E-2</v>
      </c>
      <c r="J5164" s="33"/>
    </row>
    <row r="5165" spans="1:10">
      <c r="A5165" s="33" t="s">
        <v>193</v>
      </c>
      <c r="B5165" s="34">
        <v>263.55799999999999</v>
      </c>
      <c r="C5165" s="35">
        <v>6740</v>
      </c>
      <c r="D5165" s="33" t="s">
        <v>274</v>
      </c>
      <c r="E5165" s="34">
        <v>263.53800000000001</v>
      </c>
      <c r="F5165" s="36">
        <v>1.99999999999818E-2</v>
      </c>
      <c r="G5165" s="34">
        <v>1.99999999999818E-2</v>
      </c>
      <c r="H5165" s="35">
        <v>411</v>
      </c>
      <c r="I5165" s="37">
        <f t="shared" si="80"/>
        <v>6.0979228486646886E-2</v>
      </c>
      <c r="J5165" s="33"/>
    </row>
    <row r="5166" spans="1:10">
      <c r="A5166" s="33" t="s">
        <v>193</v>
      </c>
      <c r="B5166" s="34">
        <v>263.55799999999999</v>
      </c>
      <c r="C5166" s="35">
        <v>6740</v>
      </c>
      <c r="D5166" s="33" t="s">
        <v>278</v>
      </c>
      <c r="E5166" s="34">
        <v>263.53899999999999</v>
      </c>
      <c r="F5166" s="36">
        <v>1.9000000000005499E-2</v>
      </c>
      <c r="G5166" s="34">
        <v>1.9000000000005499E-2</v>
      </c>
      <c r="H5166" s="35">
        <v>17.2</v>
      </c>
      <c r="I5166" s="37">
        <f t="shared" si="80"/>
        <v>2.5519287833827894E-3</v>
      </c>
      <c r="J5166" s="33"/>
    </row>
    <row r="5167" spans="1:10">
      <c r="A5167" s="33" t="s">
        <v>193</v>
      </c>
      <c r="B5167" s="34">
        <v>263.55799999999999</v>
      </c>
      <c r="C5167" s="35">
        <v>6740</v>
      </c>
      <c r="D5167" s="33" t="s">
        <v>236</v>
      </c>
      <c r="E5167" s="34">
        <v>263.54000000000002</v>
      </c>
      <c r="F5167" s="36">
        <v>1.7999999999972299E-2</v>
      </c>
      <c r="G5167" s="34">
        <v>1.7999999999972299E-2</v>
      </c>
      <c r="H5167" s="35">
        <v>11.9</v>
      </c>
      <c r="I5167" s="37">
        <f t="shared" si="80"/>
        <v>1.7655786350148368E-3</v>
      </c>
      <c r="J5167" s="33"/>
    </row>
    <row r="5168" spans="1:10">
      <c r="A5168" s="33" t="s">
        <v>193</v>
      </c>
      <c r="B5168" s="34">
        <v>263.55799999999999</v>
      </c>
      <c r="C5168" s="35">
        <v>6740</v>
      </c>
      <c r="D5168" s="33" t="s">
        <v>271</v>
      </c>
      <c r="E5168" s="34">
        <v>263.541</v>
      </c>
      <c r="F5168" s="36">
        <v>1.69999999999959E-2</v>
      </c>
      <c r="G5168" s="34">
        <v>1.69999999999959E-2</v>
      </c>
      <c r="H5168" s="35">
        <v>51.6</v>
      </c>
      <c r="I5168" s="37">
        <f t="shared" si="80"/>
        <v>7.6557863501483681E-3</v>
      </c>
      <c r="J5168" s="33"/>
    </row>
    <row r="5169" spans="1:10">
      <c r="A5169" s="33" t="s">
        <v>193</v>
      </c>
      <c r="B5169" s="34">
        <v>263.55799999999999</v>
      </c>
      <c r="C5169" s="35">
        <v>6740</v>
      </c>
      <c r="D5169" s="33" t="s">
        <v>237</v>
      </c>
      <c r="E5169" s="34">
        <v>263.54500000000002</v>
      </c>
      <c r="F5169" s="36">
        <v>1.2999999999976799E-2</v>
      </c>
      <c r="G5169" s="34">
        <v>1.2999999999976799E-2</v>
      </c>
      <c r="H5169" s="35">
        <v>50.3</v>
      </c>
      <c r="I5169" s="37">
        <f t="shared" si="80"/>
        <v>7.4629080118694359E-3</v>
      </c>
      <c r="J5169" s="33"/>
    </row>
    <row r="5170" spans="1:10">
      <c r="A5170" s="33" t="s">
        <v>193</v>
      </c>
      <c r="B5170" s="34">
        <v>263.55799999999999</v>
      </c>
      <c r="C5170" s="35">
        <v>6740</v>
      </c>
      <c r="D5170" s="33" t="s">
        <v>239</v>
      </c>
      <c r="E5170" s="34">
        <v>263.54599999999999</v>
      </c>
      <c r="F5170" s="36">
        <v>1.20000000000005E-2</v>
      </c>
      <c r="G5170" s="34">
        <v>1.20000000000005E-2</v>
      </c>
      <c r="H5170" s="35">
        <v>21</v>
      </c>
      <c r="I5170" s="37">
        <f t="shared" si="80"/>
        <v>3.115727002967359E-3</v>
      </c>
      <c r="J5170" s="33"/>
    </row>
    <row r="5171" spans="1:10">
      <c r="A5171" s="33" t="s">
        <v>193</v>
      </c>
      <c r="B5171" s="34">
        <v>263.55799999999999</v>
      </c>
      <c r="C5171" s="35">
        <v>6740</v>
      </c>
      <c r="D5171" s="33" t="s">
        <v>280</v>
      </c>
      <c r="E5171" s="34">
        <v>263.55</v>
      </c>
      <c r="F5171" s="36">
        <v>7.9999999999813606E-3</v>
      </c>
      <c r="G5171" s="34">
        <v>7.9999999999813606E-3</v>
      </c>
      <c r="H5171" s="35">
        <v>143.30000000000001</v>
      </c>
      <c r="I5171" s="37">
        <f t="shared" si="80"/>
        <v>2.126112759643917E-2</v>
      </c>
      <c r="J5171" s="33"/>
    </row>
    <row r="5172" spans="1:10">
      <c r="A5172" s="33" t="s">
        <v>193</v>
      </c>
      <c r="B5172" s="34">
        <v>263.55799999999999</v>
      </c>
      <c r="C5172" s="35">
        <v>6740</v>
      </c>
      <c r="D5172" s="33" t="s">
        <v>277</v>
      </c>
      <c r="E5172" s="34">
        <v>263.553</v>
      </c>
      <c r="F5172" s="36">
        <v>4.9999999999954499E-3</v>
      </c>
      <c r="G5172" s="34">
        <v>4.9999999999954499E-3</v>
      </c>
      <c r="H5172" s="35">
        <v>729.3</v>
      </c>
      <c r="I5172" s="37">
        <f t="shared" si="80"/>
        <v>0.10820474777448071</v>
      </c>
      <c r="J5172" s="33"/>
    </row>
    <row r="5173" spans="1:10">
      <c r="A5173" s="33" t="s">
        <v>193</v>
      </c>
      <c r="B5173" s="34">
        <v>263.55799999999999</v>
      </c>
      <c r="C5173" s="35">
        <v>6740</v>
      </c>
      <c r="D5173" s="33" t="s">
        <v>240</v>
      </c>
      <c r="E5173" s="34">
        <v>263.56299999999999</v>
      </c>
      <c r="F5173" s="36">
        <v>4.9999999999954499E-3</v>
      </c>
      <c r="G5173" s="34">
        <v>4.9999999999954499E-3</v>
      </c>
      <c r="H5173" s="35">
        <v>26</v>
      </c>
      <c r="I5173" s="37">
        <f t="shared" si="80"/>
        <v>3.857566765578635E-3</v>
      </c>
      <c r="J5173" s="33"/>
    </row>
    <row r="5174" spans="1:10">
      <c r="A5174" s="33" t="s">
        <v>193</v>
      </c>
      <c r="B5174" s="34">
        <v>263.55799999999999</v>
      </c>
      <c r="C5174" s="35">
        <v>6740</v>
      </c>
      <c r="D5174" s="33" t="s">
        <v>278</v>
      </c>
      <c r="E5174" s="34">
        <v>263.56400000000002</v>
      </c>
      <c r="F5174" s="36">
        <v>6.00000000002865E-3</v>
      </c>
      <c r="G5174" s="34">
        <v>6.00000000002865E-3</v>
      </c>
      <c r="H5174" s="35">
        <v>48.5</v>
      </c>
      <c r="I5174" s="37">
        <f t="shared" si="80"/>
        <v>7.1958456973293767E-3</v>
      </c>
      <c r="J5174" s="33"/>
    </row>
    <row r="5175" spans="1:10">
      <c r="A5175" s="33" t="s">
        <v>193</v>
      </c>
      <c r="B5175" s="34">
        <v>263.55799999999999</v>
      </c>
      <c r="C5175" s="35">
        <v>6740</v>
      </c>
      <c r="D5175" s="33" t="s">
        <v>239</v>
      </c>
      <c r="E5175" s="34">
        <v>263.57799999999997</v>
      </c>
      <c r="F5175" s="36">
        <v>1.99999999999818E-2</v>
      </c>
      <c r="G5175" s="34">
        <v>1.99999999999818E-2</v>
      </c>
      <c r="H5175" s="35">
        <v>25</v>
      </c>
      <c r="I5175" s="37">
        <f t="shared" si="80"/>
        <v>3.70919881305638E-3</v>
      </c>
      <c r="J5175" s="33"/>
    </row>
    <row r="5176" spans="1:10">
      <c r="A5176" s="33" t="s">
        <v>193</v>
      </c>
      <c r="B5176" s="34">
        <v>263.55799999999999</v>
      </c>
      <c r="C5176" s="35">
        <v>6740</v>
      </c>
      <c r="D5176" s="33" t="s">
        <v>269</v>
      </c>
      <c r="E5176" s="34">
        <v>263.57799999999997</v>
      </c>
      <c r="F5176" s="36">
        <v>1.99999999999818E-2</v>
      </c>
      <c r="G5176" s="34">
        <v>1.99999999999818E-2</v>
      </c>
      <c r="H5176" s="35">
        <v>322.5</v>
      </c>
      <c r="I5176" s="37">
        <f t="shared" si="80"/>
        <v>4.78486646884273E-2</v>
      </c>
      <c r="J5176" s="33"/>
    </row>
    <row r="5177" spans="1:10">
      <c r="A5177" s="33" t="s">
        <v>193</v>
      </c>
      <c r="B5177" s="34">
        <v>263.55799999999999</v>
      </c>
      <c r="C5177" s="35">
        <v>6740</v>
      </c>
      <c r="D5177" s="33" t="s">
        <v>97</v>
      </c>
      <c r="E5177" s="34">
        <v>263.58100000000002</v>
      </c>
      <c r="F5177" s="36">
        <v>2.3000000000024601E-2</v>
      </c>
      <c r="G5177" s="34">
        <v>2.3000000000024601E-2</v>
      </c>
      <c r="H5177" s="35">
        <v>46.2</v>
      </c>
      <c r="I5177" s="37">
        <f t="shared" si="80"/>
        <v>6.8545994065281907E-3</v>
      </c>
      <c r="J5177" s="33"/>
    </row>
    <row r="5178" spans="1:10">
      <c r="A5178" s="33" t="s">
        <v>193</v>
      </c>
      <c r="B5178" s="34">
        <v>263.55799999999999</v>
      </c>
      <c r="C5178" s="35">
        <v>6740</v>
      </c>
      <c r="D5178" s="33" t="s">
        <v>279</v>
      </c>
      <c r="E5178" s="34">
        <v>263.58300000000003</v>
      </c>
      <c r="F5178" s="36">
        <v>2.5000000000034099E-2</v>
      </c>
      <c r="G5178" s="34">
        <v>2.5000000000034099E-2</v>
      </c>
      <c r="H5178" s="35">
        <v>253.8</v>
      </c>
      <c r="I5178" s="37">
        <f t="shared" si="80"/>
        <v>3.7655786350148372E-2</v>
      </c>
      <c r="J5178" s="33"/>
    </row>
    <row r="5179" spans="1:10">
      <c r="A5179" s="33" t="s">
        <v>193</v>
      </c>
      <c r="B5179" s="34">
        <v>263.55799999999999</v>
      </c>
      <c r="C5179" s="35">
        <v>6740</v>
      </c>
      <c r="D5179" s="33" t="s">
        <v>268</v>
      </c>
      <c r="E5179" s="34">
        <v>263.58600000000001</v>
      </c>
      <c r="F5179" s="36">
        <v>2.8000000000019998E-2</v>
      </c>
      <c r="G5179" s="34">
        <v>2.8000000000019998E-2</v>
      </c>
      <c r="H5179" s="35">
        <v>151.9</v>
      </c>
      <c r="I5179" s="37">
        <f t="shared" si="80"/>
        <v>2.2537091988130566E-2</v>
      </c>
      <c r="J5179" s="33"/>
    </row>
    <row r="5180" spans="1:10">
      <c r="A5180" s="33" t="s">
        <v>193</v>
      </c>
      <c r="B5180" s="34">
        <v>263.55799999999999</v>
      </c>
      <c r="C5180" s="35">
        <v>6740</v>
      </c>
      <c r="D5180" s="33" t="s">
        <v>285</v>
      </c>
      <c r="E5180" s="34">
        <v>263.59399999999999</v>
      </c>
      <c r="F5180" s="36">
        <v>3.6000000000001399E-2</v>
      </c>
      <c r="G5180" s="34">
        <v>3.6000000000001399E-2</v>
      </c>
      <c r="H5180" s="35">
        <v>52.4</v>
      </c>
      <c r="I5180" s="37">
        <f t="shared" si="80"/>
        <v>7.7744807121661718E-3</v>
      </c>
      <c r="J5180" s="33"/>
    </row>
    <row r="5181" spans="1:10">
      <c r="A5181" s="33" t="s">
        <v>193</v>
      </c>
      <c r="B5181" s="34">
        <v>263.55799999999999</v>
      </c>
      <c r="C5181" s="35">
        <v>6740</v>
      </c>
      <c r="D5181" s="33" t="s">
        <v>54</v>
      </c>
      <c r="E5181" s="34">
        <v>263.60700000000003</v>
      </c>
      <c r="F5181" s="36">
        <v>4.9000000000035002E-2</v>
      </c>
      <c r="G5181" s="34">
        <v>4.9000000000035002E-2</v>
      </c>
      <c r="H5181" s="35">
        <v>31.7</v>
      </c>
      <c r="I5181" s="37">
        <f t="shared" si="80"/>
        <v>4.7032640949554892E-3</v>
      </c>
      <c r="J5181" s="33"/>
    </row>
    <row r="5182" spans="1:10">
      <c r="A5182" s="33" t="s">
        <v>193</v>
      </c>
      <c r="B5182" s="34">
        <v>263.55799999999999</v>
      </c>
      <c r="C5182" s="35">
        <v>6740</v>
      </c>
      <c r="D5182" s="33" t="s">
        <v>277</v>
      </c>
      <c r="E5182" s="34">
        <v>263.625</v>
      </c>
      <c r="F5182" s="36">
        <v>6.7000000000007304E-2</v>
      </c>
      <c r="G5182" s="34">
        <v>6.7000000000007304E-2</v>
      </c>
      <c r="H5182" s="35">
        <v>74.599999999999994</v>
      </c>
      <c r="I5182" s="37">
        <f t="shared" si="80"/>
        <v>1.1068249258160237E-2</v>
      </c>
      <c r="J5182" s="33"/>
    </row>
    <row r="5183" spans="1:10">
      <c r="A5183" s="33" t="s">
        <v>193</v>
      </c>
      <c r="B5183" s="34">
        <v>263.55799999999999</v>
      </c>
      <c r="C5183" s="35">
        <v>6740</v>
      </c>
      <c r="D5183" s="33" t="s">
        <v>193</v>
      </c>
      <c r="E5183" s="34">
        <v>263.637</v>
      </c>
      <c r="F5183" s="36">
        <v>7.9000000000007703E-2</v>
      </c>
      <c r="G5183" s="34">
        <v>7.9000000000007703E-2</v>
      </c>
      <c r="H5183" s="35">
        <v>20</v>
      </c>
      <c r="I5183" s="37">
        <f t="shared" si="80"/>
        <v>2.967359050445104E-3</v>
      </c>
      <c r="J5183" s="33"/>
    </row>
    <row r="5184" spans="1:10">
      <c r="A5184" s="33" t="s">
        <v>193</v>
      </c>
      <c r="B5184" s="34">
        <v>263.55799999999999</v>
      </c>
      <c r="C5184" s="35">
        <v>6740</v>
      </c>
      <c r="D5184" s="33" t="s">
        <v>239</v>
      </c>
      <c r="E5184" s="34">
        <v>263.64600000000002</v>
      </c>
      <c r="F5184" s="36">
        <v>8.8000000000022296E-2</v>
      </c>
      <c r="G5184" s="34">
        <v>8.8000000000022296E-2</v>
      </c>
      <c r="H5184" s="35">
        <v>15.8</v>
      </c>
      <c r="I5184" s="37">
        <f t="shared" si="80"/>
        <v>2.3442136498516321E-3</v>
      </c>
      <c r="J5184" s="33"/>
    </row>
    <row r="5185" spans="1:10">
      <c r="A5185" s="33" t="s">
        <v>193</v>
      </c>
      <c r="B5185" s="34">
        <v>263.55799999999999</v>
      </c>
      <c r="C5185" s="35">
        <v>6740</v>
      </c>
      <c r="D5185" s="33" t="s">
        <v>268</v>
      </c>
      <c r="E5185" s="34">
        <v>263.654</v>
      </c>
      <c r="F5185" s="36">
        <v>9.6000000000003596E-2</v>
      </c>
      <c r="G5185" s="34">
        <v>9.6000000000003596E-2</v>
      </c>
      <c r="H5185" s="35">
        <v>151.30000000000001</v>
      </c>
      <c r="I5185" s="37">
        <f t="shared" si="80"/>
        <v>2.2448071216617214E-2</v>
      </c>
      <c r="J5185" s="33"/>
    </row>
    <row r="5186" spans="1:10">
      <c r="A5186" s="33" t="s">
        <v>193</v>
      </c>
      <c r="B5186" s="34">
        <v>263.55799999999999</v>
      </c>
      <c r="C5186" s="35">
        <v>6740</v>
      </c>
      <c r="D5186" s="33" t="s">
        <v>274</v>
      </c>
      <c r="E5186" s="34">
        <v>263.65499999999997</v>
      </c>
      <c r="F5186" s="36">
        <v>9.6999999999980005E-2</v>
      </c>
      <c r="G5186" s="34">
        <v>9.6999999999980005E-2</v>
      </c>
      <c r="H5186" s="35">
        <v>14.7</v>
      </c>
      <c r="I5186" s="37">
        <f t="shared" ref="I5186:I5249" si="81">H5186/C5186</f>
        <v>2.1810089020771512E-3</v>
      </c>
      <c r="J5186" s="33"/>
    </row>
    <row r="5187" spans="1:10">
      <c r="A5187" s="33" t="s">
        <v>193</v>
      </c>
      <c r="B5187" s="34">
        <v>263.55799999999999</v>
      </c>
      <c r="C5187" s="35">
        <v>6740</v>
      </c>
      <c r="D5187" s="33" t="s">
        <v>279</v>
      </c>
      <c r="E5187" s="34">
        <v>263.66300000000001</v>
      </c>
      <c r="F5187" s="36">
        <v>0.105000000000018</v>
      </c>
      <c r="G5187" s="34">
        <v>0.105000000000018</v>
      </c>
      <c r="H5187" s="35">
        <v>32.799999999999997</v>
      </c>
      <c r="I5187" s="37">
        <f t="shared" si="81"/>
        <v>4.8664688427299697E-3</v>
      </c>
      <c r="J5187" s="33"/>
    </row>
    <row r="5188" spans="1:10">
      <c r="A5188" s="33" t="s">
        <v>193</v>
      </c>
      <c r="B5188" s="34">
        <v>263.55799999999999</v>
      </c>
      <c r="C5188" s="35">
        <v>6740</v>
      </c>
      <c r="D5188" s="33" t="s">
        <v>275</v>
      </c>
      <c r="E5188" s="34">
        <v>263.66699999999997</v>
      </c>
      <c r="F5188" s="36">
        <v>0.10899999999998</v>
      </c>
      <c r="G5188" s="34">
        <v>0.10899999999998</v>
      </c>
      <c r="H5188" s="35">
        <v>1198.5999999999999</v>
      </c>
      <c r="I5188" s="37">
        <f t="shared" si="81"/>
        <v>0.17783382789317506</v>
      </c>
      <c r="J5188" s="33"/>
    </row>
    <row r="5189" spans="1:10">
      <c r="A5189" s="33" t="s">
        <v>193</v>
      </c>
      <c r="B5189" s="34">
        <v>263.55799999999999</v>
      </c>
      <c r="C5189" s="35">
        <v>6740</v>
      </c>
      <c r="D5189" s="33" t="s">
        <v>193</v>
      </c>
      <c r="E5189" s="34">
        <v>263.66699999999997</v>
      </c>
      <c r="F5189" s="36">
        <v>0.10899999999998</v>
      </c>
      <c r="G5189" s="34">
        <v>0.10899999999998</v>
      </c>
      <c r="H5189" s="35">
        <v>96.1</v>
      </c>
      <c r="I5189" s="37">
        <f t="shared" si="81"/>
        <v>1.4258160237388724E-2</v>
      </c>
      <c r="J5189" s="33"/>
    </row>
    <row r="5190" spans="1:10">
      <c r="A5190" s="33" t="s">
        <v>193</v>
      </c>
      <c r="B5190" s="34">
        <v>263.55799999999999</v>
      </c>
      <c r="C5190" s="35">
        <v>6740</v>
      </c>
      <c r="D5190" s="33" t="s">
        <v>193</v>
      </c>
      <c r="E5190" s="34">
        <v>263.68799999999999</v>
      </c>
      <c r="F5190" s="36">
        <v>0.12999999999999601</v>
      </c>
      <c r="G5190" s="34">
        <v>0.12999999999999601</v>
      </c>
      <c r="H5190" s="35">
        <v>185</v>
      </c>
      <c r="I5190" s="37">
        <f t="shared" si="81"/>
        <v>2.7448071216617211E-2</v>
      </c>
      <c r="J5190" s="33"/>
    </row>
    <row r="5191" spans="1:10">
      <c r="A5191" s="33" t="s">
        <v>193</v>
      </c>
      <c r="B5191" s="34">
        <v>263.55799999999999</v>
      </c>
      <c r="C5191" s="35">
        <v>6740</v>
      </c>
      <c r="D5191" s="33" t="s">
        <v>272</v>
      </c>
      <c r="E5191" s="34">
        <v>263.69400000000002</v>
      </c>
      <c r="F5191" s="36">
        <v>0.13600000000002399</v>
      </c>
      <c r="G5191" s="34">
        <v>0.13600000000002399</v>
      </c>
      <c r="H5191" s="35">
        <v>11</v>
      </c>
      <c r="I5191" s="37">
        <f t="shared" si="81"/>
        <v>1.6320474777448072E-3</v>
      </c>
      <c r="J5191" s="33"/>
    </row>
    <row r="5192" spans="1:10">
      <c r="A5192" s="33" t="s">
        <v>193</v>
      </c>
      <c r="B5192" s="34">
        <v>263.55799999999999</v>
      </c>
      <c r="C5192" s="35">
        <v>6740</v>
      </c>
      <c r="D5192" s="33" t="s">
        <v>269</v>
      </c>
      <c r="E5192" s="34">
        <v>263.7</v>
      </c>
      <c r="F5192" s="36">
        <v>0.14199999999999599</v>
      </c>
      <c r="G5192" s="34">
        <v>0.14199999999999599</v>
      </c>
      <c r="H5192" s="35">
        <v>31.27</v>
      </c>
      <c r="I5192" s="37">
        <f t="shared" si="81"/>
        <v>4.6394658753709196E-3</v>
      </c>
      <c r="J5192" s="33"/>
    </row>
    <row r="5193" spans="1:10">
      <c r="A5193" s="33" t="s">
        <v>193</v>
      </c>
      <c r="B5193" s="34">
        <v>268.517</v>
      </c>
      <c r="C5193" s="35">
        <v>8190.6</v>
      </c>
      <c r="D5193" s="33" t="s">
        <v>282</v>
      </c>
      <c r="E5193" s="34">
        <v>268.42099999999999</v>
      </c>
      <c r="F5193" s="36">
        <v>9.6000000000003596E-2</v>
      </c>
      <c r="G5193" s="34">
        <v>9.6000000000003596E-2</v>
      </c>
      <c r="H5193" s="35">
        <v>115.4</v>
      </c>
      <c r="I5193" s="37">
        <f t="shared" si="81"/>
        <v>1.4089321905599101E-2</v>
      </c>
      <c r="J5193" s="33"/>
    </row>
    <row r="5194" spans="1:10">
      <c r="A5194" s="33" t="s">
        <v>193</v>
      </c>
      <c r="B5194" s="34">
        <v>268.517</v>
      </c>
      <c r="C5194" s="35">
        <v>8190.6</v>
      </c>
      <c r="D5194" s="33" t="s">
        <v>184</v>
      </c>
      <c r="E5194" s="34">
        <v>268.42200000000003</v>
      </c>
      <c r="F5194" s="36">
        <v>9.49999999999704E-2</v>
      </c>
      <c r="G5194" s="34">
        <v>9.49999999999704E-2</v>
      </c>
      <c r="H5194" s="35">
        <v>96.6</v>
      </c>
      <c r="I5194" s="37">
        <f t="shared" si="81"/>
        <v>1.17940077649989E-2</v>
      </c>
      <c r="J5194" s="33"/>
    </row>
    <row r="5195" spans="1:10">
      <c r="A5195" s="33" t="s">
        <v>193</v>
      </c>
      <c r="B5195" s="34">
        <v>268.517</v>
      </c>
      <c r="C5195" s="35">
        <v>8190.6</v>
      </c>
      <c r="D5195" s="33" t="s">
        <v>193</v>
      </c>
      <c r="E5195" s="34">
        <v>268.42700000000002</v>
      </c>
      <c r="F5195" s="36">
        <v>8.9999999999975003E-2</v>
      </c>
      <c r="G5195" s="34">
        <v>8.9999999999975003E-2</v>
      </c>
      <c r="H5195" s="35">
        <v>166.7</v>
      </c>
      <c r="I5195" s="37">
        <f t="shared" si="81"/>
        <v>2.0352599321173049E-2</v>
      </c>
      <c r="J5195" s="33"/>
    </row>
    <row r="5196" spans="1:10">
      <c r="A5196" s="33" t="s">
        <v>193</v>
      </c>
      <c r="B5196" s="34">
        <v>268.517</v>
      </c>
      <c r="C5196" s="35">
        <v>8190.6</v>
      </c>
      <c r="D5196" s="33" t="s">
        <v>271</v>
      </c>
      <c r="E5196" s="34">
        <v>268.42899999999997</v>
      </c>
      <c r="F5196" s="36">
        <v>8.8000000000022296E-2</v>
      </c>
      <c r="G5196" s="34">
        <v>8.8000000000022296E-2</v>
      </c>
      <c r="H5196" s="35">
        <v>2824.5</v>
      </c>
      <c r="I5196" s="37">
        <f t="shared" si="81"/>
        <v>0.34484653138964177</v>
      </c>
      <c r="J5196" s="33"/>
    </row>
    <row r="5197" spans="1:10">
      <c r="A5197" s="33" t="s">
        <v>193</v>
      </c>
      <c r="B5197" s="34">
        <v>268.517</v>
      </c>
      <c r="C5197" s="35">
        <v>8190.6</v>
      </c>
      <c r="D5197" s="33" t="s">
        <v>284</v>
      </c>
      <c r="E5197" s="34">
        <v>268.43599999999998</v>
      </c>
      <c r="F5197" s="36">
        <v>8.1000000000017294E-2</v>
      </c>
      <c r="G5197" s="34">
        <v>8.1000000000017294E-2</v>
      </c>
      <c r="H5197" s="35">
        <v>0.6</v>
      </c>
      <c r="I5197" s="37">
        <f t="shared" si="81"/>
        <v>7.3254706614900002E-5</v>
      </c>
      <c r="J5197" s="33"/>
    </row>
    <row r="5198" spans="1:10">
      <c r="A5198" s="33" t="s">
        <v>193</v>
      </c>
      <c r="B5198" s="34">
        <v>268.517</v>
      </c>
      <c r="C5198" s="35">
        <v>8190.6</v>
      </c>
      <c r="D5198" s="33" t="s">
        <v>54</v>
      </c>
      <c r="E5198" s="34">
        <v>268.44099999999997</v>
      </c>
      <c r="F5198" s="36">
        <v>7.60000000000218E-2</v>
      </c>
      <c r="G5198" s="34">
        <v>7.60000000000218E-2</v>
      </c>
      <c r="H5198" s="35">
        <v>9</v>
      </c>
      <c r="I5198" s="37">
        <f t="shared" si="81"/>
        <v>1.0988205992235002E-3</v>
      </c>
      <c r="J5198" s="33"/>
    </row>
    <row r="5199" spans="1:10">
      <c r="A5199" s="33" t="s">
        <v>193</v>
      </c>
      <c r="B5199" s="34">
        <v>268.517</v>
      </c>
      <c r="C5199" s="35">
        <v>8190.6</v>
      </c>
      <c r="D5199" s="33" t="s">
        <v>240</v>
      </c>
      <c r="E5199" s="34">
        <v>268.45400000000001</v>
      </c>
      <c r="F5199" s="36">
        <v>6.2999999999988204E-2</v>
      </c>
      <c r="G5199" s="34">
        <v>6.2999999999988204E-2</v>
      </c>
      <c r="H5199" s="35">
        <v>190</v>
      </c>
      <c r="I5199" s="37">
        <f t="shared" si="81"/>
        <v>2.3197323761385003E-2</v>
      </c>
      <c r="J5199" s="33"/>
    </row>
    <row r="5200" spans="1:10">
      <c r="A5200" s="33" t="s">
        <v>193</v>
      </c>
      <c r="B5200" s="34">
        <v>268.517</v>
      </c>
      <c r="C5200" s="35">
        <v>8190.6</v>
      </c>
      <c r="D5200" s="33" t="s">
        <v>239</v>
      </c>
      <c r="E5200" s="34">
        <v>268.47199999999998</v>
      </c>
      <c r="F5200" s="36">
        <v>4.5000000000015902E-2</v>
      </c>
      <c r="G5200" s="34">
        <v>4.5000000000015902E-2</v>
      </c>
      <c r="H5200" s="35">
        <v>15.8</v>
      </c>
      <c r="I5200" s="37">
        <f t="shared" si="81"/>
        <v>1.9290406075257002E-3</v>
      </c>
      <c r="J5200" s="33"/>
    </row>
    <row r="5201" spans="1:10">
      <c r="A5201" s="33" t="s">
        <v>193</v>
      </c>
      <c r="B5201" s="34">
        <v>268.517</v>
      </c>
      <c r="C5201" s="35">
        <v>8190.6</v>
      </c>
      <c r="D5201" s="33" t="s">
        <v>201</v>
      </c>
      <c r="E5201" s="34">
        <v>268.47399999999999</v>
      </c>
      <c r="F5201" s="36">
        <v>4.3000000000006401E-2</v>
      </c>
      <c r="G5201" s="34">
        <v>4.3000000000006401E-2</v>
      </c>
      <c r="H5201" s="35">
        <v>366.3</v>
      </c>
      <c r="I5201" s="37">
        <f t="shared" si="81"/>
        <v>4.4721998388396453E-2</v>
      </c>
      <c r="J5201" s="33"/>
    </row>
    <row r="5202" spans="1:10">
      <c r="A5202" s="33" t="s">
        <v>193</v>
      </c>
      <c r="B5202" s="34">
        <v>268.517</v>
      </c>
      <c r="C5202" s="35">
        <v>8190.6</v>
      </c>
      <c r="D5202" s="33" t="s">
        <v>97</v>
      </c>
      <c r="E5202" s="34">
        <v>268.47500000000002</v>
      </c>
      <c r="F5202" s="36">
        <v>4.1999999999973198E-2</v>
      </c>
      <c r="G5202" s="34">
        <v>4.1999999999973198E-2</v>
      </c>
      <c r="H5202" s="35">
        <v>126.8</v>
      </c>
      <c r="I5202" s="37">
        <f t="shared" si="81"/>
        <v>1.54811613312822E-2</v>
      </c>
      <c r="J5202" s="33"/>
    </row>
    <row r="5203" spans="1:10">
      <c r="A5203" s="33" t="s">
        <v>193</v>
      </c>
      <c r="B5203" s="34">
        <v>268.517</v>
      </c>
      <c r="C5203" s="35">
        <v>8190.6</v>
      </c>
      <c r="D5203" s="33" t="s">
        <v>278</v>
      </c>
      <c r="E5203" s="34">
        <v>268.47800000000001</v>
      </c>
      <c r="F5203" s="36">
        <v>3.8999999999987302E-2</v>
      </c>
      <c r="G5203" s="34">
        <v>3.8999999999987302E-2</v>
      </c>
      <c r="H5203" s="35">
        <v>26.9</v>
      </c>
      <c r="I5203" s="37">
        <f t="shared" si="81"/>
        <v>3.2842526799013502E-3</v>
      </c>
      <c r="J5203" s="33"/>
    </row>
    <row r="5204" spans="1:10">
      <c r="A5204" s="33" t="s">
        <v>193</v>
      </c>
      <c r="B5204" s="34">
        <v>268.517</v>
      </c>
      <c r="C5204" s="35">
        <v>8190.6</v>
      </c>
      <c r="D5204" s="33" t="s">
        <v>237</v>
      </c>
      <c r="E5204" s="34">
        <v>268.48</v>
      </c>
      <c r="F5204" s="36">
        <v>3.6999999999977697E-2</v>
      </c>
      <c r="G5204" s="34">
        <v>3.6999999999977697E-2</v>
      </c>
      <c r="H5204" s="35">
        <v>5.8</v>
      </c>
      <c r="I5204" s="37">
        <f t="shared" si="81"/>
        <v>7.0812883061070005E-4</v>
      </c>
      <c r="J5204" s="33"/>
    </row>
    <row r="5205" spans="1:10">
      <c r="A5205" s="33" t="s">
        <v>193</v>
      </c>
      <c r="B5205" s="34">
        <v>268.517</v>
      </c>
      <c r="C5205" s="35">
        <v>8190.6</v>
      </c>
      <c r="D5205" s="33" t="s">
        <v>279</v>
      </c>
      <c r="E5205" s="34">
        <v>268.5</v>
      </c>
      <c r="F5205" s="36">
        <v>1.69999999999959E-2</v>
      </c>
      <c r="G5205" s="34">
        <v>1.69999999999959E-2</v>
      </c>
      <c r="H5205" s="35">
        <v>27.9</v>
      </c>
      <c r="I5205" s="37">
        <f t="shared" si="81"/>
        <v>3.4063438575928501E-3</v>
      </c>
      <c r="J5205" s="33"/>
    </row>
    <row r="5206" spans="1:10">
      <c r="A5206" s="33" t="s">
        <v>193</v>
      </c>
      <c r="B5206" s="34">
        <v>268.517</v>
      </c>
      <c r="C5206" s="35">
        <v>8190.6</v>
      </c>
      <c r="D5206" s="33" t="s">
        <v>239</v>
      </c>
      <c r="E5206" s="34">
        <v>268.50299999999999</v>
      </c>
      <c r="F5206" s="36">
        <v>1.4000000000009999E-2</v>
      </c>
      <c r="G5206" s="34">
        <v>1.4000000000009999E-2</v>
      </c>
      <c r="H5206" s="35">
        <v>41.6</v>
      </c>
      <c r="I5206" s="37">
        <f t="shared" si="81"/>
        <v>5.0789929919664006E-3</v>
      </c>
      <c r="J5206" s="33"/>
    </row>
    <row r="5207" spans="1:10">
      <c r="A5207" s="33" t="s">
        <v>193</v>
      </c>
      <c r="B5207" s="34">
        <v>268.517</v>
      </c>
      <c r="C5207" s="35">
        <v>8190.6</v>
      </c>
      <c r="D5207" s="33" t="s">
        <v>274</v>
      </c>
      <c r="E5207" s="34">
        <v>268.50700000000001</v>
      </c>
      <c r="F5207" s="36">
        <v>9.9999999999909103E-3</v>
      </c>
      <c r="G5207" s="34">
        <v>9.9999999999909103E-3</v>
      </c>
      <c r="H5207" s="35">
        <v>11.4</v>
      </c>
      <c r="I5207" s="37">
        <f t="shared" si="81"/>
        <v>1.3918394256831001E-3</v>
      </c>
      <c r="J5207" s="33"/>
    </row>
    <row r="5208" spans="1:10">
      <c r="A5208" s="33" t="s">
        <v>193</v>
      </c>
      <c r="B5208" s="34">
        <v>268.517</v>
      </c>
      <c r="C5208" s="35">
        <v>8190.6</v>
      </c>
      <c r="D5208" s="33" t="s">
        <v>278</v>
      </c>
      <c r="E5208" s="34">
        <v>268.51299999999998</v>
      </c>
      <c r="F5208" s="36">
        <v>4.0000000000191003E-3</v>
      </c>
      <c r="G5208" s="34">
        <v>4.0000000000191003E-3</v>
      </c>
      <c r="H5208" s="35">
        <v>164.1</v>
      </c>
      <c r="I5208" s="37">
        <f t="shared" si="81"/>
        <v>2.0035162259175149E-2</v>
      </c>
      <c r="J5208" s="33"/>
    </row>
    <row r="5209" spans="1:10">
      <c r="A5209" s="33" t="s">
        <v>193</v>
      </c>
      <c r="B5209" s="34">
        <v>268.517</v>
      </c>
      <c r="C5209" s="35">
        <v>8190.6</v>
      </c>
      <c r="D5209" s="33" t="s">
        <v>237</v>
      </c>
      <c r="E5209" s="34">
        <v>268.51400000000001</v>
      </c>
      <c r="F5209" s="36">
        <v>2.9999999999858998E-3</v>
      </c>
      <c r="G5209" s="34">
        <v>2.9999999999858998E-3</v>
      </c>
      <c r="H5209" s="35">
        <v>3.9</v>
      </c>
      <c r="I5209" s="37">
        <f t="shared" si="81"/>
        <v>4.7615559299685E-4</v>
      </c>
      <c r="J5209" s="33"/>
    </row>
    <row r="5210" spans="1:10">
      <c r="A5210" s="33" t="s">
        <v>193</v>
      </c>
      <c r="B5210" s="34">
        <v>268.517</v>
      </c>
      <c r="C5210" s="35">
        <v>8190.6</v>
      </c>
      <c r="D5210" s="33" t="s">
        <v>268</v>
      </c>
      <c r="E5210" s="34">
        <v>268.51600000000002</v>
      </c>
      <c r="F5210" s="36">
        <v>9.9999999997635292E-4</v>
      </c>
      <c r="G5210" s="34">
        <v>9.9999999997635292E-4</v>
      </c>
      <c r="H5210" s="35">
        <v>13.2</v>
      </c>
      <c r="I5210" s="37">
        <f t="shared" si="81"/>
        <v>1.6116035455278001E-3</v>
      </c>
      <c r="J5210" s="33"/>
    </row>
    <row r="5211" spans="1:10">
      <c r="A5211" s="33" t="s">
        <v>193</v>
      </c>
      <c r="B5211" s="34">
        <v>268.517</v>
      </c>
      <c r="C5211" s="35">
        <v>8190.6</v>
      </c>
      <c r="D5211" s="33" t="s">
        <v>239</v>
      </c>
      <c r="E5211" s="34">
        <v>268.51799999999997</v>
      </c>
      <c r="F5211" s="36">
        <v>9.9999999997635292E-4</v>
      </c>
      <c r="G5211" s="34">
        <v>9.9999999997635292E-4</v>
      </c>
      <c r="H5211" s="35">
        <v>34.799999999999997</v>
      </c>
      <c r="I5211" s="37">
        <f t="shared" si="81"/>
        <v>4.2487729836642001E-3</v>
      </c>
      <c r="J5211" s="33"/>
    </row>
    <row r="5212" spans="1:10">
      <c r="A5212" s="33" t="s">
        <v>193</v>
      </c>
      <c r="B5212" s="34">
        <v>268.517</v>
      </c>
      <c r="C5212" s="35">
        <v>8190.6</v>
      </c>
      <c r="D5212" s="33" t="s">
        <v>173</v>
      </c>
      <c r="E5212" s="34">
        <v>268.51900000000001</v>
      </c>
      <c r="F5212" s="36">
        <v>2.0000000000095501E-3</v>
      </c>
      <c r="G5212" s="34">
        <v>2.0000000000095501E-3</v>
      </c>
      <c r="H5212" s="35">
        <v>39.1</v>
      </c>
      <c r="I5212" s="37">
        <f t="shared" si="81"/>
        <v>4.7737650477376508E-3</v>
      </c>
      <c r="J5212" s="33"/>
    </row>
    <row r="5213" spans="1:10">
      <c r="A5213" s="33" t="s">
        <v>193</v>
      </c>
      <c r="B5213" s="34">
        <v>268.517</v>
      </c>
      <c r="C5213" s="35">
        <v>8190.6</v>
      </c>
      <c r="D5213" s="33" t="s">
        <v>269</v>
      </c>
      <c r="E5213" s="34">
        <v>268.52100000000002</v>
      </c>
      <c r="F5213" s="36">
        <v>4.0000000000191003E-3</v>
      </c>
      <c r="G5213" s="34">
        <v>4.0000000000191003E-3</v>
      </c>
      <c r="H5213" s="35">
        <v>316.7</v>
      </c>
      <c r="I5213" s="37">
        <f t="shared" si="81"/>
        <v>3.8666275974898051E-2</v>
      </c>
      <c r="J5213" s="33"/>
    </row>
    <row r="5214" spans="1:10">
      <c r="A5214" s="33" t="s">
        <v>193</v>
      </c>
      <c r="B5214" s="34">
        <v>268.517</v>
      </c>
      <c r="C5214" s="35">
        <v>8190.6</v>
      </c>
      <c r="D5214" s="33" t="s">
        <v>54</v>
      </c>
      <c r="E5214" s="34">
        <v>268.53399999999999</v>
      </c>
      <c r="F5214" s="36">
        <v>1.69999999999959E-2</v>
      </c>
      <c r="G5214" s="34">
        <v>1.69999999999959E-2</v>
      </c>
      <c r="H5214" s="35">
        <v>22.1</v>
      </c>
      <c r="I5214" s="37">
        <f t="shared" si="81"/>
        <v>2.6982150269821504E-3</v>
      </c>
      <c r="J5214" s="33"/>
    </row>
    <row r="5215" spans="1:10">
      <c r="A5215" s="33" t="s">
        <v>193</v>
      </c>
      <c r="B5215" s="34">
        <v>268.517</v>
      </c>
      <c r="C5215" s="35">
        <v>8190.6</v>
      </c>
      <c r="D5215" s="33" t="s">
        <v>240</v>
      </c>
      <c r="E5215" s="34">
        <v>268.536</v>
      </c>
      <c r="F5215" s="36">
        <v>1.9000000000005499E-2</v>
      </c>
      <c r="G5215" s="34">
        <v>1.9000000000005499E-2</v>
      </c>
      <c r="H5215" s="35">
        <v>17</v>
      </c>
      <c r="I5215" s="37">
        <f t="shared" si="81"/>
        <v>2.0755500207555E-3</v>
      </c>
      <c r="J5215" s="33"/>
    </row>
    <row r="5216" spans="1:10">
      <c r="A5216" s="33" t="s">
        <v>193</v>
      </c>
      <c r="B5216" s="34">
        <v>268.517</v>
      </c>
      <c r="C5216" s="35">
        <v>8190.6</v>
      </c>
      <c r="D5216" s="33" t="s">
        <v>277</v>
      </c>
      <c r="E5216" s="34">
        <v>268.56099999999998</v>
      </c>
      <c r="F5216" s="36">
        <v>4.3999999999982699E-2</v>
      </c>
      <c r="G5216" s="34">
        <v>4.3999999999982699E-2</v>
      </c>
      <c r="H5216" s="35">
        <v>102</v>
      </c>
      <c r="I5216" s="37">
        <f t="shared" si="81"/>
        <v>1.2453300124533001E-2</v>
      </c>
      <c r="J5216" s="33"/>
    </row>
    <row r="5217" spans="1:10">
      <c r="A5217" s="33" t="s">
        <v>193</v>
      </c>
      <c r="B5217" s="34">
        <v>268.517</v>
      </c>
      <c r="C5217" s="35">
        <v>8190.6</v>
      </c>
      <c r="D5217" s="33" t="s">
        <v>280</v>
      </c>
      <c r="E5217" s="34">
        <v>268.56599999999997</v>
      </c>
      <c r="F5217" s="36">
        <v>4.89999999999782E-2</v>
      </c>
      <c r="G5217" s="34">
        <v>4.89999999999782E-2</v>
      </c>
      <c r="H5217" s="35">
        <v>952.2</v>
      </c>
      <c r="I5217" s="37">
        <f t="shared" si="81"/>
        <v>0.11625521939784632</v>
      </c>
      <c r="J5217" s="33"/>
    </row>
    <row r="5218" spans="1:10">
      <c r="A5218" s="33" t="s">
        <v>193</v>
      </c>
      <c r="B5218" s="34">
        <v>268.517</v>
      </c>
      <c r="C5218" s="35">
        <v>8190.6</v>
      </c>
      <c r="D5218" s="33" t="s">
        <v>278</v>
      </c>
      <c r="E5218" s="34">
        <v>268.56900000000002</v>
      </c>
      <c r="F5218" s="36">
        <v>5.2000000000020898E-2</v>
      </c>
      <c r="G5218" s="34">
        <v>5.2000000000020898E-2</v>
      </c>
      <c r="H5218" s="35">
        <v>623.1</v>
      </c>
      <c r="I5218" s="37">
        <f t="shared" si="81"/>
        <v>7.6075012819573656E-2</v>
      </c>
      <c r="J5218" s="33"/>
    </row>
    <row r="5219" spans="1:10">
      <c r="A5219" s="33" t="s">
        <v>193</v>
      </c>
      <c r="B5219" s="34">
        <v>268.517</v>
      </c>
      <c r="C5219" s="35">
        <v>8190.6</v>
      </c>
      <c r="D5219" s="33" t="s">
        <v>173</v>
      </c>
      <c r="E5219" s="34">
        <v>268.57</v>
      </c>
      <c r="F5219" s="36">
        <v>5.2999999999997299E-2</v>
      </c>
      <c r="G5219" s="34">
        <v>5.2999999999997299E-2</v>
      </c>
      <c r="H5219" s="35">
        <v>96.7</v>
      </c>
      <c r="I5219" s="37">
        <f t="shared" si="81"/>
        <v>1.1806216882768051E-2</v>
      </c>
      <c r="J5219" s="33"/>
    </row>
    <row r="5220" spans="1:10">
      <c r="A5220" s="33" t="s">
        <v>193</v>
      </c>
      <c r="B5220" s="34">
        <v>268.517</v>
      </c>
      <c r="C5220" s="35">
        <v>8190.6</v>
      </c>
      <c r="D5220" s="33" t="s">
        <v>275</v>
      </c>
      <c r="E5220" s="34">
        <v>268.57900000000001</v>
      </c>
      <c r="F5220" s="36">
        <v>6.2000000000011803E-2</v>
      </c>
      <c r="G5220" s="34">
        <v>6.2000000000011803E-2</v>
      </c>
      <c r="H5220" s="35">
        <v>58.9</v>
      </c>
      <c r="I5220" s="37">
        <f t="shared" si="81"/>
        <v>7.1911703660293503E-3</v>
      </c>
      <c r="J5220" s="33"/>
    </row>
    <row r="5221" spans="1:10">
      <c r="A5221" s="33" t="s">
        <v>193</v>
      </c>
      <c r="B5221" s="34">
        <v>268.517</v>
      </c>
      <c r="C5221" s="35">
        <v>8190.6</v>
      </c>
      <c r="D5221" s="33" t="s">
        <v>240</v>
      </c>
      <c r="E5221" s="34">
        <v>268.58800000000002</v>
      </c>
      <c r="F5221" s="36">
        <v>7.1000000000026403E-2</v>
      </c>
      <c r="G5221" s="34">
        <v>7.1000000000026403E-2</v>
      </c>
      <c r="H5221" s="35">
        <v>167.3</v>
      </c>
      <c r="I5221" s="37">
        <f t="shared" si="81"/>
        <v>2.0425854027787953E-2</v>
      </c>
      <c r="J5221" s="33"/>
    </row>
    <row r="5222" spans="1:10">
      <c r="A5222" s="33" t="s">
        <v>193</v>
      </c>
      <c r="B5222" s="34">
        <v>268.517</v>
      </c>
      <c r="C5222" s="35">
        <v>8190.6</v>
      </c>
      <c r="D5222" s="33" t="s">
        <v>239</v>
      </c>
      <c r="E5222" s="34">
        <v>268.59800000000001</v>
      </c>
      <c r="F5222" s="36">
        <v>8.1000000000017294E-2</v>
      </c>
      <c r="G5222" s="34">
        <v>8.1000000000017294E-2</v>
      </c>
      <c r="H5222" s="35">
        <v>14</v>
      </c>
      <c r="I5222" s="37">
        <f t="shared" si="81"/>
        <v>1.709276487681E-3</v>
      </c>
      <c r="J5222" s="33"/>
    </row>
    <row r="5223" spans="1:10">
      <c r="A5223" s="33" t="s">
        <v>193</v>
      </c>
      <c r="B5223" s="34">
        <v>268.517</v>
      </c>
      <c r="C5223" s="35">
        <v>8190.6</v>
      </c>
      <c r="D5223" s="33" t="s">
        <v>277</v>
      </c>
      <c r="E5223" s="34">
        <v>268.59800000000001</v>
      </c>
      <c r="F5223" s="36">
        <v>8.1000000000017294E-2</v>
      </c>
      <c r="G5223" s="34">
        <v>8.1000000000017294E-2</v>
      </c>
      <c r="H5223" s="35">
        <v>310.5</v>
      </c>
      <c r="I5223" s="37">
        <f t="shared" si="81"/>
        <v>3.7909310673210753E-2</v>
      </c>
      <c r="J5223" s="33"/>
    </row>
    <row r="5224" spans="1:10">
      <c r="A5224" s="33" t="s">
        <v>193</v>
      </c>
      <c r="B5224" s="34">
        <v>268.517</v>
      </c>
      <c r="C5224" s="35">
        <v>8190.6</v>
      </c>
      <c r="D5224" s="33" t="s">
        <v>268</v>
      </c>
      <c r="E5224" s="34">
        <v>268.62900000000002</v>
      </c>
      <c r="F5224" s="36">
        <v>0.112000000000023</v>
      </c>
      <c r="G5224" s="34">
        <v>0.112000000000023</v>
      </c>
      <c r="H5224" s="35">
        <v>94.4</v>
      </c>
      <c r="I5224" s="37">
        <f t="shared" si="81"/>
        <v>1.1525407174077601E-2</v>
      </c>
      <c r="J5224" s="33"/>
    </row>
    <row r="5225" spans="1:10">
      <c r="A5225" s="33" t="s">
        <v>193</v>
      </c>
      <c r="B5225" s="34">
        <v>268.517</v>
      </c>
      <c r="C5225" s="35">
        <v>8190.6</v>
      </c>
      <c r="D5225" s="33" t="s">
        <v>193</v>
      </c>
      <c r="E5225" s="34">
        <v>268.62900000000002</v>
      </c>
      <c r="F5225" s="36">
        <v>0.112000000000023</v>
      </c>
      <c r="G5225" s="34">
        <v>0.112000000000023</v>
      </c>
      <c r="H5225" s="35">
        <v>5.8</v>
      </c>
      <c r="I5225" s="37">
        <f t="shared" si="81"/>
        <v>7.0812883061070005E-4</v>
      </c>
      <c r="J5225" s="33"/>
    </row>
    <row r="5226" spans="1:10">
      <c r="A5226" s="33" t="s">
        <v>193</v>
      </c>
      <c r="B5226" s="34">
        <v>268.517</v>
      </c>
      <c r="C5226" s="35">
        <v>8190.6</v>
      </c>
      <c r="D5226" s="33" t="s">
        <v>273</v>
      </c>
      <c r="E5226" s="34">
        <v>268.63900000000001</v>
      </c>
      <c r="F5226" s="36">
        <v>0.122000000000014</v>
      </c>
      <c r="G5226" s="34">
        <v>0.122000000000014</v>
      </c>
      <c r="H5226" s="35">
        <v>619.70000000000005</v>
      </c>
      <c r="I5226" s="37">
        <f t="shared" si="81"/>
        <v>7.5659902815422564E-2</v>
      </c>
      <c r="J5226" s="33"/>
    </row>
    <row r="5227" spans="1:10">
      <c r="A5227" s="33" t="s">
        <v>193</v>
      </c>
      <c r="B5227" s="34">
        <v>268.517</v>
      </c>
      <c r="C5227" s="35">
        <v>8190.6</v>
      </c>
      <c r="D5227" s="33" t="s">
        <v>278</v>
      </c>
      <c r="E5227" s="34">
        <v>268.65100000000001</v>
      </c>
      <c r="F5227" s="36">
        <v>0.134000000000015</v>
      </c>
      <c r="G5227" s="34">
        <v>0.134000000000015</v>
      </c>
      <c r="H5227" s="35">
        <v>17.600000000000001</v>
      </c>
      <c r="I5227" s="37">
        <f t="shared" si="81"/>
        <v>2.1488047273704003E-3</v>
      </c>
      <c r="J5227" s="33"/>
    </row>
    <row r="5228" spans="1:10">
      <c r="A5228" s="33" t="s">
        <v>193</v>
      </c>
      <c r="B5228" s="34">
        <v>268.517</v>
      </c>
      <c r="C5228" s="35">
        <v>8190.6</v>
      </c>
      <c r="D5228" s="33" t="s">
        <v>275</v>
      </c>
      <c r="E5228" s="34">
        <v>268.65899999999999</v>
      </c>
      <c r="F5228" s="36">
        <v>0.14199999999999599</v>
      </c>
      <c r="G5228" s="34">
        <v>0.14199999999999599</v>
      </c>
      <c r="H5228" s="35">
        <v>257</v>
      </c>
      <c r="I5228" s="37">
        <f t="shared" si="81"/>
        <v>3.1377432666715499E-2</v>
      </c>
      <c r="J5228" s="33"/>
    </row>
    <row r="5229" spans="1:10">
      <c r="A5229" s="33" t="s">
        <v>193</v>
      </c>
      <c r="B5229" s="34">
        <v>268.517</v>
      </c>
      <c r="C5229" s="35">
        <v>8190.6</v>
      </c>
      <c r="D5229" s="33" t="s">
        <v>63</v>
      </c>
      <c r="E5229" s="34">
        <v>269.47399999999999</v>
      </c>
      <c r="F5229" s="36">
        <v>0.95699999999999996</v>
      </c>
      <c r="G5229" s="34">
        <v>0.95699999999999996</v>
      </c>
      <c r="H5229" s="35">
        <v>366.3</v>
      </c>
      <c r="I5229" s="37">
        <f t="shared" si="81"/>
        <v>4.4721998388396453E-2</v>
      </c>
      <c r="J5229" s="33" t="s">
        <v>116</v>
      </c>
    </row>
    <row r="5230" spans="1:10">
      <c r="A5230" s="33" t="s">
        <v>193</v>
      </c>
      <c r="B5230" s="34">
        <v>268.517</v>
      </c>
      <c r="C5230" s="35">
        <v>8190.6</v>
      </c>
      <c r="D5230" s="33" t="s">
        <v>85</v>
      </c>
      <c r="E5230" s="34">
        <v>269.50900000000001</v>
      </c>
      <c r="F5230" s="36">
        <v>0.99199999999999999</v>
      </c>
      <c r="G5230" s="34">
        <v>0.99199999999999999</v>
      </c>
      <c r="H5230" s="35">
        <v>103.1</v>
      </c>
      <c r="I5230" s="37">
        <f t="shared" si="81"/>
        <v>1.258760041999365E-2</v>
      </c>
      <c r="J5230" s="33" t="s">
        <v>116</v>
      </c>
    </row>
    <row r="5231" spans="1:10">
      <c r="A5231" s="33" t="s">
        <v>201</v>
      </c>
      <c r="B5231" s="34">
        <v>321.89299999999997</v>
      </c>
      <c r="C5231" s="35">
        <v>6374.6</v>
      </c>
      <c r="D5231" s="33" t="s">
        <v>309</v>
      </c>
      <c r="E5231" s="34">
        <v>321.71499999999997</v>
      </c>
      <c r="F5231" s="36">
        <v>0.17799999999999699</v>
      </c>
      <c r="G5231" s="34">
        <v>0.17799999999999699</v>
      </c>
      <c r="H5231" s="35">
        <v>0.4</v>
      </c>
      <c r="I5231" s="37">
        <f t="shared" si="81"/>
        <v>6.2749035233583282E-5</v>
      </c>
      <c r="J5231" s="33"/>
    </row>
    <row r="5232" spans="1:10">
      <c r="A5232" s="33" t="s">
        <v>201</v>
      </c>
      <c r="B5232" s="34">
        <v>321.89299999999997</v>
      </c>
      <c r="C5232" s="35">
        <v>6374.6</v>
      </c>
      <c r="D5232" s="33" t="s">
        <v>63</v>
      </c>
      <c r="E5232" s="34">
        <v>321.71699999999998</v>
      </c>
      <c r="F5232" s="36">
        <v>0.17599999999999999</v>
      </c>
      <c r="G5232" s="34">
        <v>0.17599999999999999</v>
      </c>
      <c r="H5232" s="35">
        <v>583.4</v>
      </c>
      <c r="I5232" s="37">
        <f t="shared" si="81"/>
        <v>9.1519467888181216E-2</v>
      </c>
      <c r="J5232" s="33" t="s">
        <v>116</v>
      </c>
    </row>
    <row r="5233" spans="1:10">
      <c r="A5233" s="33" t="s">
        <v>201</v>
      </c>
      <c r="B5233" s="34">
        <v>321.89299999999997</v>
      </c>
      <c r="C5233" s="35">
        <v>6374.6</v>
      </c>
      <c r="D5233" s="33" t="s">
        <v>269</v>
      </c>
      <c r="E5233" s="34">
        <v>321.72899999999998</v>
      </c>
      <c r="F5233" s="36">
        <v>0.16399999999998699</v>
      </c>
      <c r="G5233" s="34">
        <v>0.16399999999998699</v>
      </c>
      <c r="H5233" s="35">
        <v>1461.1</v>
      </c>
      <c r="I5233" s="37">
        <f t="shared" si="81"/>
        <v>0.22920653844947131</v>
      </c>
      <c r="J5233" s="33"/>
    </row>
    <row r="5234" spans="1:10">
      <c r="A5234" s="33" t="s">
        <v>201</v>
      </c>
      <c r="B5234" s="34">
        <v>321.89299999999997</v>
      </c>
      <c r="C5234" s="35">
        <v>6374.6</v>
      </c>
      <c r="D5234" s="33" t="s">
        <v>97</v>
      </c>
      <c r="E5234" s="34">
        <v>321.738</v>
      </c>
      <c r="F5234" s="36">
        <v>0.15499999999997299</v>
      </c>
      <c r="G5234" s="34">
        <v>0.15499999999997299</v>
      </c>
      <c r="H5234" s="35">
        <v>26.2</v>
      </c>
      <c r="I5234" s="37">
        <f t="shared" si="81"/>
        <v>4.1100618077997047E-3</v>
      </c>
      <c r="J5234" s="33"/>
    </row>
    <row r="5235" spans="1:10">
      <c r="A5235" s="33" t="s">
        <v>201</v>
      </c>
      <c r="B5235" s="34">
        <v>321.89299999999997</v>
      </c>
      <c r="C5235" s="35">
        <v>6374.6</v>
      </c>
      <c r="D5235" s="33" t="s">
        <v>239</v>
      </c>
      <c r="E5235" s="34">
        <v>321.73899999999998</v>
      </c>
      <c r="F5235" s="36">
        <v>0.153999999999996</v>
      </c>
      <c r="G5235" s="34">
        <v>0.153999999999996</v>
      </c>
      <c r="H5235" s="35">
        <v>1906</v>
      </c>
      <c r="I5235" s="37">
        <f t="shared" si="81"/>
        <v>0.29899915288802431</v>
      </c>
      <c r="J5235" s="33"/>
    </row>
    <row r="5236" spans="1:10">
      <c r="A5236" s="33" t="s">
        <v>201</v>
      </c>
      <c r="B5236" s="34">
        <v>321.89299999999997</v>
      </c>
      <c r="C5236" s="35">
        <v>6374.6</v>
      </c>
      <c r="D5236" s="33" t="s">
        <v>271</v>
      </c>
      <c r="E5236" s="34">
        <v>321.74599999999998</v>
      </c>
      <c r="F5236" s="36">
        <v>0.146999999999991</v>
      </c>
      <c r="G5236" s="34">
        <v>0.146999999999991</v>
      </c>
      <c r="H5236" s="35">
        <v>600.29999999999995</v>
      </c>
      <c r="I5236" s="37">
        <f t="shared" si="81"/>
        <v>9.4170614626800098E-2</v>
      </c>
      <c r="J5236" s="33"/>
    </row>
    <row r="5237" spans="1:10">
      <c r="A5237" s="33" t="s">
        <v>201</v>
      </c>
      <c r="B5237" s="34">
        <v>321.89299999999997</v>
      </c>
      <c r="C5237" s="35">
        <v>6374.6</v>
      </c>
      <c r="D5237" s="33" t="s">
        <v>271</v>
      </c>
      <c r="E5237" s="34">
        <v>321.77300000000002</v>
      </c>
      <c r="F5237" s="36">
        <v>0.119999999999948</v>
      </c>
      <c r="G5237" s="34">
        <v>0.119999999999948</v>
      </c>
      <c r="H5237" s="35">
        <v>347.7</v>
      </c>
      <c r="I5237" s="37">
        <f t="shared" si="81"/>
        <v>5.4544598876792263E-2</v>
      </c>
      <c r="J5237" s="33"/>
    </row>
    <row r="5238" spans="1:10">
      <c r="A5238" s="33" t="s">
        <v>201</v>
      </c>
      <c r="B5238" s="34">
        <v>321.89299999999997</v>
      </c>
      <c r="C5238" s="35">
        <v>6374.6</v>
      </c>
      <c r="D5238" s="33" t="s">
        <v>165</v>
      </c>
      <c r="E5238" s="34">
        <v>321.78199999999998</v>
      </c>
      <c r="F5238" s="36">
        <v>0.11099999999999</v>
      </c>
      <c r="G5238" s="34">
        <v>0.11099999999999</v>
      </c>
      <c r="H5238" s="35">
        <v>103.2</v>
      </c>
      <c r="I5238" s="37">
        <f t="shared" si="81"/>
        <v>1.6189251090264485E-2</v>
      </c>
      <c r="J5238" s="33"/>
    </row>
    <row r="5239" spans="1:10">
      <c r="A5239" s="33" t="s">
        <v>201</v>
      </c>
      <c r="B5239" s="34">
        <v>321.89299999999997</v>
      </c>
      <c r="C5239" s="35">
        <v>6374.6</v>
      </c>
      <c r="D5239" s="33" t="s">
        <v>273</v>
      </c>
      <c r="E5239" s="34">
        <v>321.786</v>
      </c>
      <c r="F5239" s="36">
        <v>0.10699999999997099</v>
      </c>
      <c r="G5239" s="34">
        <v>0.10699999999997099</v>
      </c>
      <c r="H5239" s="35">
        <v>35.799999999999997</v>
      </c>
      <c r="I5239" s="37">
        <f t="shared" si="81"/>
        <v>5.6160386534057031E-3</v>
      </c>
      <c r="J5239" s="33"/>
    </row>
    <row r="5240" spans="1:10">
      <c r="A5240" s="33" t="s">
        <v>201</v>
      </c>
      <c r="B5240" s="34">
        <v>321.89299999999997</v>
      </c>
      <c r="C5240" s="35">
        <v>6374.6</v>
      </c>
      <c r="D5240" s="33" t="s">
        <v>284</v>
      </c>
      <c r="E5240" s="34">
        <v>321.80599999999998</v>
      </c>
      <c r="F5240" s="36">
        <v>8.69999999999891E-2</v>
      </c>
      <c r="G5240" s="34">
        <v>8.69999999999891E-2</v>
      </c>
      <c r="H5240" s="35">
        <v>490</v>
      </c>
      <c r="I5240" s="37">
        <f t="shared" si="81"/>
        <v>7.6867568161139516E-2</v>
      </c>
      <c r="J5240" s="33"/>
    </row>
    <row r="5241" spans="1:10">
      <c r="A5241" s="33" t="s">
        <v>201</v>
      </c>
      <c r="B5241" s="34">
        <v>321.89299999999997</v>
      </c>
      <c r="C5241" s="35">
        <v>6374.6</v>
      </c>
      <c r="D5241" s="33" t="s">
        <v>269</v>
      </c>
      <c r="E5241" s="34">
        <v>321.82</v>
      </c>
      <c r="F5241" s="36">
        <v>7.2999999999979095E-2</v>
      </c>
      <c r="G5241" s="34">
        <v>7.2999999999979095E-2</v>
      </c>
      <c r="H5241" s="35">
        <v>125.4</v>
      </c>
      <c r="I5241" s="37">
        <f t="shared" si="81"/>
        <v>1.967182254572836E-2</v>
      </c>
      <c r="J5241" s="33"/>
    </row>
    <row r="5242" spans="1:10">
      <c r="A5242" s="33" t="s">
        <v>201</v>
      </c>
      <c r="B5242" s="34">
        <v>321.89299999999997</v>
      </c>
      <c r="C5242" s="35">
        <v>6374.6</v>
      </c>
      <c r="D5242" s="33" t="s">
        <v>237</v>
      </c>
      <c r="E5242" s="34">
        <v>321.82600000000002</v>
      </c>
      <c r="F5242" s="36">
        <v>6.6999999999950405E-2</v>
      </c>
      <c r="G5242" s="34">
        <v>6.6999999999950405E-2</v>
      </c>
      <c r="H5242" s="35">
        <v>5016.1000000000004</v>
      </c>
      <c r="I5242" s="37">
        <f t="shared" si="81"/>
        <v>0.78688858908794279</v>
      </c>
      <c r="J5242" s="33"/>
    </row>
    <row r="5243" spans="1:10">
      <c r="A5243" s="33" t="s">
        <v>201</v>
      </c>
      <c r="B5243" s="34">
        <v>321.89299999999997</v>
      </c>
      <c r="C5243" s="35">
        <v>6374.6</v>
      </c>
      <c r="D5243" s="33" t="s">
        <v>201</v>
      </c>
      <c r="E5243" s="34">
        <v>321.83199999999999</v>
      </c>
      <c r="F5243" s="36">
        <v>6.0999999999978599E-2</v>
      </c>
      <c r="G5243" s="34">
        <v>6.0999999999978599E-2</v>
      </c>
      <c r="H5243" s="35">
        <v>378.1</v>
      </c>
      <c r="I5243" s="37">
        <f t="shared" si="81"/>
        <v>5.9313525554544597E-2</v>
      </c>
      <c r="J5243" s="33"/>
    </row>
    <row r="5244" spans="1:10">
      <c r="A5244" s="33" t="s">
        <v>201</v>
      </c>
      <c r="B5244" s="34">
        <v>321.89299999999997</v>
      </c>
      <c r="C5244" s="35">
        <v>6374.6</v>
      </c>
      <c r="D5244" s="33" t="s">
        <v>277</v>
      </c>
      <c r="E5244" s="34">
        <v>321.834</v>
      </c>
      <c r="F5244" s="36">
        <v>5.8999999999969098E-2</v>
      </c>
      <c r="G5244" s="34">
        <v>5.8999999999969098E-2</v>
      </c>
      <c r="H5244" s="35">
        <v>293.60000000000002</v>
      </c>
      <c r="I5244" s="37">
        <f t="shared" si="81"/>
        <v>4.6057791861450134E-2</v>
      </c>
      <c r="J5244" s="33"/>
    </row>
    <row r="5245" spans="1:10">
      <c r="A5245" s="33" t="s">
        <v>201</v>
      </c>
      <c r="B5245" s="34">
        <v>321.89299999999997</v>
      </c>
      <c r="C5245" s="35">
        <v>6374.6</v>
      </c>
      <c r="D5245" s="33" t="s">
        <v>25</v>
      </c>
      <c r="E5245" s="34">
        <v>321.83800000000002</v>
      </c>
      <c r="F5245" s="36">
        <v>5.4999999999949999E-2</v>
      </c>
      <c r="G5245" s="34">
        <v>5.4999999999949999E-2</v>
      </c>
      <c r="H5245" s="35">
        <v>525.9</v>
      </c>
      <c r="I5245" s="37">
        <f t="shared" si="81"/>
        <v>8.2499294073353616E-2</v>
      </c>
      <c r="J5245" s="33" t="s">
        <v>116</v>
      </c>
    </row>
    <row r="5246" spans="1:10">
      <c r="A5246" s="33" t="s">
        <v>201</v>
      </c>
      <c r="B5246" s="34">
        <v>321.89299999999997</v>
      </c>
      <c r="C5246" s="35">
        <v>6374.6</v>
      </c>
      <c r="D5246" s="33" t="s">
        <v>290</v>
      </c>
      <c r="E5246" s="34">
        <v>321.846</v>
      </c>
      <c r="F5246" s="36">
        <v>4.6999999999968602E-2</v>
      </c>
      <c r="G5246" s="34">
        <v>4.6999999999968602E-2</v>
      </c>
      <c r="H5246" s="35">
        <v>21.5</v>
      </c>
      <c r="I5246" s="37">
        <f t="shared" si="81"/>
        <v>3.3727606438051015E-3</v>
      </c>
      <c r="J5246" s="33"/>
    </row>
    <row r="5247" spans="1:10">
      <c r="A5247" s="33" t="s">
        <v>201</v>
      </c>
      <c r="B5247" s="34">
        <v>321.89299999999997</v>
      </c>
      <c r="C5247" s="35">
        <v>6374.6</v>
      </c>
      <c r="D5247" s="33" t="s">
        <v>270</v>
      </c>
      <c r="E5247" s="34">
        <v>321.86</v>
      </c>
      <c r="F5247" s="36">
        <v>3.2999999999958597E-2</v>
      </c>
      <c r="G5247" s="34">
        <v>3.2999999999958597E-2</v>
      </c>
      <c r="H5247" s="35">
        <v>3227.4</v>
      </c>
      <c r="I5247" s="37">
        <f t="shared" si="81"/>
        <v>0.50629059078216676</v>
      </c>
      <c r="J5247" s="33"/>
    </row>
    <row r="5248" spans="1:10">
      <c r="A5248" s="33" t="s">
        <v>201</v>
      </c>
      <c r="B5248" s="34">
        <v>321.89299999999997</v>
      </c>
      <c r="C5248" s="35">
        <v>6374.6</v>
      </c>
      <c r="D5248" s="33" t="s">
        <v>272</v>
      </c>
      <c r="E5248" s="34">
        <v>321.87099999999998</v>
      </c>
      <c r="F5248" s="36">
        <v>2.1999999999991401E-2</v>
      </c>
      <c r="G5248" s="34">
        <v>2.1999999999991401E-2</v>
      </c>
      <c r="H5248" s="35">
        <v>4</v>
      </c>
      <c r="I5248" s="37">
        <f t="shared" si="81"/>
        <v>6.2749035233583279E-4</v>
      </c>
      <c r="J5248" s="33"/>
    </row>
    <row r="5249" spans="1:10">
      <c r="A5249" s="33" t="s">
        <v>201</v>
      </c>
      <c r="B5249" s="34">
        <v>321.89299999999997</v>
      </c>
      <c r="C5249" s="35">
        <v>6374.6</v>
      </c>
      <c r="D5249" s="33" t="s">
        <v>271</v>
      </c>
      <c r="E5249" s="34">
        <v>321.87599999999998</v>
      </c>
      <c r="F5249" s="36">
        <v>1.69999999999959E-2</v>
      </c>
      <c r="G5249" s="34">
        <v>1.69999999999959E-2</v>
      </c>
      <c r="H5249" s="35">
        <v>243.4</v>
      </c>
      <c r="I5249" s="37">
        <f t="shared" si="81"/>
        <v>3.8182787939635428E-2</v>
      </c>
      <c r="J5249" s="33"/>
    </row>
    <row r="5250" spans="1:10">
      <c r="A5250" s="33" t="s">
        <v>201</v>
      </c>
      <c r="B5250" s="34">
        <v>321.89299999999997</v>
      </c>
      <c r="C5250" s="35">
        <v>6374.6</v>
      </c>
      <c r="D5250" s="33" t="s">
        <v>278</v>
      </c>
      <c r="E5250" s="34">
        <v>321.88600000000002</v>
      </c>
      <c r="F5250" s="36">
        <v>6.9999999999481597E-3</v>
      </c>
      <c r="G5250" s="34">
        <v>6.9999999999481597E-3</v>
      </c>
      <c r="H5250" s="35">
        <v>24.3</v>
      </c>
      <c r="I5250" s="37">
        <f t="shared" ref="I5250:I5313" si="82">H5250/C5250</f>
        <v>3.8120038904401843E-3</v>
      </c>
      <c r="J5250" s="33"/>
    </row>
    <row r="5251" spans="1:10">
      <c r="A5251" s="33" t="s">
        <v>201</v>
      </c>
      <c r="B5251" s="34">
        <v>321.89299999999997</v>
      </c>
      <c r="C5251" s="35">
        <v>6374.6</v>
      </c>
      <c r="D5251" s="33" t="s">
        <v>25</v>
      </c>
      <c r="E5251" s="34">
        <v>321.89400000000001</v>
      </c>
      <c r="F5251" s="36">
        <v>1.0000000000332E-3</v>
      </c>
      <c r="G5251" s="34">
        <v>1.0000000000332E-3</v>
      </c>
      <c r="H5251" s="35">
        <v>2103</v>
      </c>
      <c r="I5251" s="37">
        <f t="shared" si="82"/>
        <v>0.32990305274056408</v>
      </c>
      <c r="J5251" s="33" t="s">
        <v>116</v>
      </c>
    </row>
    <row r="5252" spans="1:10">
      <c r="A5252" s="33" t="s">
        <v>201</v>
      </c>
      <c r="B5252" s="34">
        <v>321.89299999999997</v>
      </c>
      <c r="C5252" s="35">
        <v>6374.6</v>
      </c>
      <c r="D5252" s="33" t="s">
        <v>239</v>
      </c>
      <c r="E5252" s="34">
        <v>321.91199999999998</v>
      </c>
      <c r="F5252" s="36">
        <v>1.9000000000005499E-2</v>
      </c>
      <c r="G5252" s="34">
        <v>1.9000000000005499E-2</v>
      </c>
      <c r="H5252" s="35">
        <v>39.5</v>
      </c>
      <c r="I5252" s="37">
        <f t="shared" si="82"/>
        <v>6.1964672293163487E-3</v>
      </c>
      <c r="J5252" s="33"/>
    </row>
    <row r="5253" spans="1:10">
      <c r="A5253" s="33" t="s">
        <v>201</v>
      </c>
      <c r="B5253" s="34">
        <v>321.89299999999997</v>
      </c>
      <c r="C5253" s="35">
        <v>6374.6</v>
      </c>
      <c r="D5253" s="33" t="s">
        <v>54</v>
      </c>
      <c r="E5253" s="34">
        <v>321.91500000000002</v>
      </c>
      <c r="F5253" s="36">
        <v>2.20000000000482E-2</v>
      </c>
      <c r="G5253" s="34">
        <v>2.20000000000482E-2</v>
      </c>
      <c r="H5253" s="35">
        <v>22.2</v>
      </c>
      <c r="I5253" s="37">
        <f t="shared" si="82"/>
        <v>3.4825714554638718E-3</v>
      </c>
      <c r="J5253" s="33"/>
    </row>
    <row r="5254" spans="1:10">
      <c r="A5254" s="33" t="s">
        <v>201</v>
      </c>
      <c r="B5254" s="34">
        <v>321.89299999999997</v>
      </c>
      <c r="C5254" s="35">
        <v>6374.6</v>
      </c>
      <c r="D5254" s="33" t="s">
        <v>277</v>
      </c>
      <c r="E5254" s="34">
        <v>321.91699999999997</v>
      </c>
      <c r="F5254" s="36">
        <v>2.4000000000000899E-2</v>
      </c>
      <c r="G5254" s="34">
        <v>2.4000000000000899E-2</v>
      </c>
      <c r="H5254" s="35">
        <v>153.5</v>
      </c>
      <c r="I5254" s="37">
        <f t="shared" si="82"/>
        <v>2.4079942270887583E-2</v>
      </c>
      <c r="J5254" s="33"/>
    </row>
    <row r="5255" spans="1:10">
      <c r="A5255" s="33" t="s">
        <v>201</v>
      </c>
      <c r="B5255" s="34">
        <v>321.89299999999997</v>
      </c>
      <c r="C5255" s="35">
        <v>6374.6</v>
      </c>
      <c r="D5255" s="33" t="s">
        <v>237</v>
      </c>
      <c r="E5255" s="34">
        <v>321.92</v>
      </c>
      <c r="F5255" s="36">
        <v>2.7000000000043701E-2</v>
      </c>
      <c r="G5255" s="34">
        <v>2.7000000000043701E-2</v>
      </c>
      <c r="H5255" s="35">
        <v>50</v>
      </c>
      <c r="I5255" s="37">
        <f t="shared" si="82"/>
        <v>7.8436294041979108E-3</v>
      </c>
      <c r="J5255" s="33"/>
    </row>
    <row r="5256" spans="1:10">
      <c r="A5256" s="33" t="s">
        <v>201</v>
      </c>
      <c r="B5256" s="34">
        <v>321.89299999999997</v>
      </c>
      <c r="C5256" s="35">
        <v>6374.6</v>
      </c>
      <c r="D5256" s="33" t="s">
        <v>63</v>
      </c>
      <c r="E5256" s="34">
        <v>321.93200000000002</v>
      </c>
      <c r="F5256" s="36">
        <v>3.9E-2</v>
      </c>
      <c r="G5256" s="34">
        <v>3.9E-2</v>
      </c>
      <c r="H5256" s="35">
        <v>378.1</v>
      </c>
      <c r="I5256" s="37">
        <f t="shared" si="82"/>
        <v>5.9313525554544597E-2</v>
      </c>
      <c r="J5256" s="33" t="s">
        <v>116</v>
      </c>
    </row>
    <row r="5257" spans="1:10">
      <c r="A5257" s="33" t="s">
        <v>201</v>
      </c>
      <c r="B5257" s="34">
        <v>321.89299999999997</v>
      </c>
      <c r="C5257" s="35">
        <v>6374.6</v>
      </c>
      <c r="D5257" s="33" t="s">
        <v>275</v>
      </c>
      <c r="E5257" s="34">
        <v>321.94</v>
      </c>
      <c r="F5257" s="36">
        <v>4.7000000000025501E-2</v>
      </c>
      <c r="G5257" s="34">
        <v>4.7000000000025501E-2</v>
      </c>
      <c r="H5257" s="35">
        <v>61.7</v>
      </c>
      <c r="I5257" s="37">
        <f t="shared" si="82"/>
        <v>9.6790386847802213E-3</v>
      </c>
      <c r="J5257" s="33"/>
    </row>
    <row r="5258" spans="1:10">
      <c r="A5258" s="33" t="s">
        <v>201</v>
      </c>
      <c r="B5258" s="34">
        <v>321.89299999999997</v>
      </c>
      <c r="C5258" s="35">
        <v>6374.6</v>
      </c>
      <c r="D5258" s="33" t="s">
        <v>270</v>
      </c>
      <c r="E5258" s="34">
        <v>321.94299999999998</v>
      </c>
      <c r="F5258" s="36">
        <v>5.0000000000011403E-2</v>
      </c>
      <c r="G5258" s="34">
        <v>5.0000000000011403E-2</v>
      </c>
      <c r="H5258" s="35">
        <v>650.1</v>
      </c>
      <c r="I5258" s="37">
        <f t="shared" si="82"/>
        <v>0.10198286951338123</v>
      </c>
      <c r="J5258" s="33"/>
    </row>
    <row r="5259" spans="1:10">
      <c r="A5259" s="33" t="s">
        <v>201</v>
      </c>
      <c r="B5259" s="34">
        <v>321.89299999999997</v>
      </c>
      <c r="C5259" s="35">
        <v>6374.6</v>
      </c>
      <c r="D5259" s="33" t="s">
        <v>173</v>
      </c>
      <c r="E5259" s="34">
        <v>321.94799999999998</v>
      </c>
      <c r="F5259" s="36">
        <v>5.50000000000068E-2</v>
      </c>
      <c r="G5259" s="34">
        <v>5.50000000000068E-2</v>
      </c>
      <c r="H5259" s="35">
        <v>630.9</v>
      </c>
      <c r="I5259" s="37">
        <f t="shared" si="82"/>
        <v>9.8970915822169228E-2</v>
      </c>
      <c r="J5259" s="33"/>
    </row>
    <row r="5260" spans="1:10">
      <c r="A5260" s="33" t="s">
        <v>201</v>
      </c>
      <c r="B5260" s="34">
        <v>321.89299999999997</v>
      </c>
      <c r="C5260" s="35">
        <v>6374.6</v>
      </c>
      <c r="D5260" s="33" t="s">
        <v>290</v>
      </c>
      <c r="E5260" s="34">
        <v>321.95100000000002</v>
      </c>
      <c r="F5260" s="36">
        <v>5.8000000000049602E-2</v>
      </c>
      <c r="G5260" s="34">
        <v>5.8000000000049602E-2</v>
      </c>
      <c r="H5260" s="35">
        <v>78.2</v>
      </c>
      <c r="I5260" s="37">
        <f t="shared" si="82"/>
        <v>1.2267436388165532E-2</v>
      </c>
      <c r="J5260" s="33"/>
    </row>
    <row r="5261" spans="1:10">
      <c r="A5261" s="33" t="s">
        <v>201</v>
      </c>
      <c r="B5261" s="34">
        <v>321.89299999999997</v>
      </c>
      <c r="C5261" s="35">
        <v>6374.6</v>
      </c>
      <c r="D5261" s="33" t="s">
        <v>97</v>
      </c>
      <c r="E5261" s="34">
        <v>321.95800000000003</v>
      </c>
      <c r="F5261" s="36">
        <v>6.5000000000054597E-2</v>
      </c>
      <c r="G5261" s="34">
        <v>6.5000000000054597E-2</v>
      </c>
      <c r="H5261" s="35">
        <v>58.4</v>
      </c>
      <c r="I5261" s="37">
        <f t="shared" si="82"/>
        <v>9.1613591441031591E-3</v>
      </c>
      <c r="J5261" s="33"/>
    </row>
    <row r="5262" spans="1:10">
      <c r="A5262" s="33" t="s">
        <v>201</v>
      </c>
      <c r="B5262" s="34">
        <v>321.89299999999997</v>
      </c>
      <c r="C5262" s="35">
        <v>6374.6</v>
      </c>
      <c r="D5262" s="33" t="s">
        <v>165</v>
      </c>
      <c r="E5262" s="34">
        <v>321.97899999999998</v>
      </c>
      <c r="F5262" s="36">
        <v>8.6000000000012705E-2</v>
      </c>
      <c r="G5262" s="34">
        <v>8.6000000000012705E-2</v>
      </c>
      <c r="H5262" s="35">
        <v>15.2</v>
      </c>
      <c r="I5262" s="37">
        <f t="shared" si="82"/>
        <v>2.3844633388761644E-3</v>
      </c>
      <c r="J5262" s="33"/>
    </row>
    <row r="5263" spans="1:10">
      <c r="A5263" s="33" t="s">
        <v>201</v>
      </c>
      <c r="B5263" s="34">
        <v>321.89299999999997</v>
      </c>
      <c r="C5263" s="35">
        <v>6374.6</v>
      </c>
      <c r="D5263" s="33" t="s">
        <v>97</v>
      </c>
      <c r="E5263" s="34">
        <v>321.98</v>
      </c>
      <c r="F5263" s="36">
        <v>8.7000000000045902E-2</v>
      </c>
      <c r="G5263" s="34">
        <v>8.7000000000045902E-2</v>
      </c>
      <c r="H5263" s="35">
        <v>36.9</v>
      </c>
      <c r="I5263" s="37">
        <f t="shared" si="82"/>
        <v>5.7885985002980572E-3</v>
      </c>
      <c r="J5263" s="33"/>
    </row>
    <row r="5264" spans="1:10">
      <c r="A5264" s="33" t="s">
        <v>201</v>
      </c>
      <c r="B5264" s="34">
        <v>321.89299999999997</v>
      </c>
      <c r="C5264" s="35">
        <v>6374.6</v>
      </c>
      <c r="D5264" s="33" t="s">
        <v>201</v>
      </c>
      <c r="E5264" s="34">
        <v>321.99799999999999</v>
      </c>
      <c r="F5264" s="36">
        <v>0.105000000000018</v>
      </c>
      <c r="G5264" s="34">
        <v>0.105000000000018</v>
      </c>
      <c r="H5264" s="35">
        <v>8176.9</v>
      </c>
      <c r="I5264" s="37">
        <f t="shared" si="82"/>
        <v>1.2827314655037179</v>
      </c>
      <c r="J5264" s="33"/>
    </row>
    <row r="5265" spans="1:10">
      <c r="A5265" s="33" t="s">
        <v>201</v>
      </c>
      <c r="B5265" s="34">
        <v>321.89299999999997</v>
      </c>
      <c r="C5265" s="35">
        <v>6374.6</v>
      </c>
      <c r="D5265" s="33" t="s">
        <v>271</v>
      </c>
      <c r="E5265" s="34">
        <v>322.03500000000003</v>
      </c>
      <c r="F5265" s="36">
        <v>0.142000000000053</v>
      </c>
      <c r="G5265" s="34">
        <v>0.142000000000053</v>
      </c>
      <c r="H5265" s="35">
        <v>626.9</v>
      </c>
      <c r="I5265" s="37">
        <f t="shared" si="82"/>
        <v>9.8343425469833393E-2</v>
      </c>
      <c r="J5265" s="33"/>
    </row>
    <row r="5266" spans="1:10">
      <c r="A5266" s="33" t="s">
        <v>201</v>
      </c>
      <c r="B5266" s="34">
        <v>321.89299999999997</v>
      </c>
      <c r="C5266" s="35">
        <v>6374.6</v>
      </c>
      <c r="D5266" s="33" t="s">
        <v>284</v>
      </c>
      <c r="E5266" s="34">
        <v>322.04199999999997</v>
      </c>
      <c r="F5266" s="36">
        <v>0.14900000000000099</v>
      </c>
      <c r="G5266" s="34">
        <v>0.14900000000000099</v>
      </c>
      <c r="H5266" s="35">
        <v>797</v>
      </c>
      <c r="I5266" s="37">
        <f t="shared" si="82"/>
        <v>0.12502745270291468</v>
      </c>
      <c r="J5266" s="33"/>
    </row>
    <row r="5267" spans="1:10">
      <c r="A5267" s="33" t="s">
        <v>201</v>
      </c>
      <c r="B5267" s="34">
        <v>321.89299999999997</v>
      </c>
      <c r="C5267" s="35">
        <v>6374.6</v>
      </c>
      <c r="D5267" s="33" t="s">
        <v>33</v>
      </c>
      <c r="E5267" s="34">
        <v>322.04599999999999</v>
      </c>
      <c r="F5267" s="36">
        <v>0.15300000000002001</v>
      </c>
      <c r="G5267" s="34">
        <v>0.15300000000002001</v>
      </c>
      <c r="H5267" s="35">
        <v>508.3</v>
      </c>
      <c r="I5267" s="37">
        <f t="shared" si="82"/>
        <v>7.9738336523075951E-2</v>
      </c>
      <c r="J5267" s="33" t="s">
        <v>116</v>
      </c>
    </row>
    <row r="5268" spans="1:10">
      <c r="A5268" s="33" t="s">
        <v>201</v>
      </c>
      <c r="B5268" s="34">
        <v>321.89299999999997</v>
      </c>
      <c r="C5268" s="35">
        <v>6374.6</v>
      </c>
      <c r="D5268" s="33" t="s">
        <v>237</v>
      </c>
      <c r="E5268" s="34">
        <v>322.048</v>
      </c>
      <c r="F5268" s="36">
        <v>0.15500000000003</v>
      </c>
      <c r="G5268" s="34">
        <v>0.15500000000003</v>
      </c>
      <c r="H5268" s="35">
        <v>38.6</v>
      </c>
      <c r="I5268" s="37">
        <f t="shared" si="82"/>
        <v>6.0552819000407867E-3</v>
      </c>
      <c r="J5268" s="33"/>
    </row>
    <row r="5269" spans="1:10">
      <c r="A5269" s="33" t="s">
        <v>201</v>
      </c>
      <c r="B5269" s="34">
        <v>321.89299999999997</v>
      </c>
      <c r="C5269" s="35">
        <v>6374.6</v>
      </c>
      <c r="D5269" s="33" t="s">
        <v>300</v>
      </c>
      <c r="E5269" s="34">
        <v>322.053</v>
      </c>
      <c r="F5269" s="36">
        <v>0.16000000000002501</v>
      </c>
      <c r="G5269" s="34">
        <v>0.16000000000002501</v>
      </c>
      <c r="H5269" s="35">
        <v>47</v>
      </c>
      <c r="I5269" s="37">
        <f t="shared" si="82"/>
        <v>7.373011639946035E-3</v>
      </c>
      <c r="J5269" s="33"/>
    </row>
    <row r="5270" spans="1:10">
      <c r="A5270" s="33" t="s">
        <v>201</v>
      </c>
      <c r="B5270" s="34">
        <v>321.99799999999999</v>
      </c>
      <c r="C5270" s="35">
        <v>8176.9</v>
      </c>
      <c r="D5270" s="33" t="s">
        <v>290</v>
      </c>
      <c r="E5270" s="34">
        <v>321.846</v>
      </c>
      <c r="F5270" s="36">
        <v>0.15199999999998701</v>
      </c>
      <c r="G5270" s="34">
        <v>0.15199999999998701</v>
      </c>
      <c r="H5270" s="35">
        <v>21.5</v>
      </c>
      <c r="I5270" s="37">
        <f t="shared" si="82"/>
        <v>2.6293583142755813E-3</v>
      </c>
      <c r="J5270" s="33"/>
    </row>
    <row r="5271" spans="1:10">
      <c r="A5271" s="33" t="s">
        <v>201</v>
      </c>
      <c r="B5271" s="34">
        <v>321.99799999999999</v>
      </c>
      <c r="C5271" s="35">
        <v>8176.9</v>
      </c>
      <c r="D5271" s="33" t="s">
        <v>270</v>
      </c>
      <c r="E5271" s="34">
        <v>321.86</v>
      </c>
      <c r="F5271" s="36">
        <v>0.137999999999977</v>
      </c>
      <c r="G5271" s="34">
        <v>0.137999999999977</v>
      </c>
      <c r="H5271" s="35">
        <v>3227.4</v>
      </c>
      <c r="I5271" s="37">
        <f t="shared" si="82"/>
        <v>0.39469725690665169</v>
      </c>
      <c r="J5271" s="33"/>
    </row>
    <row r="5272" spans="1:10">
      <c r="A5272" s="33" t="s">
        <v>201</v>
      </c>
      <c r="B5272" s="34">
        <v>321.99799999999999</v>
      </c>
      <c r="C5272" s="35">
        <v>8176.9</v>
      </c>
      <c r="D5272" s="33" t="s">
        <v>272</v>
      </c>
      <c r="E5272" s="34">
        <v>321.87099999999998</v>
      </c>
      <c r="F5272" s="36">
        <v>0.12700000000000999</v>
      </c>
      <c r="G5272" s="34">
        <v>0.12700000000000999</v>
      </c>
      <c r="H5272" s="35">
        <v>41</v>
      </c>
      <c r="I5272" s="37">
        <f t="shared" si="82"/>
        <v>5.0141251574557597E-3</v>
      </c>
      <c r="J5272" s="33"/>
    </row>
    <row r="5273" spans="1:10">
      <c r="A5273" s="33" t="s">
        <v>201</v>
      </c>
      <c r="B5273" s="34">
        <v>321.99799999999999</v>
      </c>
      <c r="C5273" s="35">
        <v>8176.9</v>
      </c>
      <c r="D5273" s="33" t="s">
        <v>271</v>
      </c>
      <c r="E5273" s="34">
        <v>321.87599999999998</v>
      </c>
      <c r="F5273" s="36">
        <v>0.122000000000014</v>
      </c>
      <c r="G5273" s="34">
        <v>0.122000000000014</v>
      </c>
      <c r="H5273" s="35">
        <v>243.4</v>
      </c>
      <c r="I5273" s="37">
        <f t="shared" si="82"/>
        <v>2.9766782032310535E-2</v>
      </c>
      <c r="J5273" s="33"/>
    </row>
    <row r="5274" spans="1:10">
      <c r="A5274" s="33" t="s">
        <v>201</v>
      </c>
      <c r="B5274" s="34">
        <v>321.99799999999999</v>
      </c>
      <c r="C5274" s="35">
        <v>8176.9</v>
      </c>
      <c r="D5274" s="33" t="s">
        <v>278</v>
      </c>
      <c r="E5274" s="34">
        <v>321.88600000000002</v>
      </c>
      <c r="F5274" s="36">
        <v>0.111999999999966</v>
      </c>
      <c r="G5274" s="34">
        <v>0.111999999999966</v>
      </c>
      <c r="H5274" s="35">
        <v>24.3</v>
      </c>
      <c r="I5274" s="37">
        <f t="shared" si="82"/>
        <v>2.9717863738091457E-3</v>
      </c>
      <c r="J5274" s="33"/>
    </row>
    <row r="5275" spans="1:10">
      <c r="A5275" s="33" t="s">
        <v>201</v>
      </c>
      <c r="B5275" s="34">
        <v>321.99799999999999</v>
      </c>
      <c r="C5275" s="35">
        <v>8176.9</v>
      </c>
      <c r="D5275" s="33" t="s">
        <v>201</v>
      </c>
      <c r="E5275" s="34">
        <v>321.89299999999997</v>
      </c>
      <c r="F5275" s="36">
        <v>0.105000000000018</v>
      </c>
      <c r="G5275" s="34">
        <v>0.105000000000018</v>
      </c>
      <c r="H5275" s="35">
        <v>6374.6</v>
      </c>
      <c r="I5275" s="37">
        <f t="shared" si="82"/>
        <v>0.77958639582237776</v>
      </c>
      <c r="J5275" s="33"/>
    </row>
    <row r="5276" spans="1:10">
      <c r="A5276" s="33" t="s">
        <v>201</v>
      </c>
      <c r="B5276" s="34">
        <v>321.99799999999999</v>
      </c>
      <c r="C5276" s="35">
        <v>8176.9</v>
      </c>
      <c r="D5276" s="33" t="s">
        <v>25</v>
      </c>
      <c r="E5276" s="34">
        <v>321.89400000000001</v>
      </c>
      <c r="F5276" s="36">
        <v>0.10399999999998499</v>
      </c>
      <c r="G5276" s="34">
        <v>0.10399999999998499</v>
      </c>
      <c r="H5276" s="35">
        <v>2103</v>
      </c>
      <c r="I5276" s="37">
        <f t="shared" si="82"/>
        <v>0.25718793185681615</v>
      </c>
      <c r="J5276" s="33" t="s">
        <v>116</v>
      </c>
    </row>
    <row r="5277" spans="1:10">
      <c r="A5277" s="33" t="s">
        <v>201</v>
      </c>
      <c r="B5277" s="34">
        <v>321.99799999999999</v>
      </c>
      <c r="C5277" s="35">
        <v>8176.9</v>
      </c>
      <c r="D5277" s="33" t="s">
        <v>239</v>
      </c>
      <c r="E5277" s="34">
        <v>321.91199999999998</v>
      </c>
      <c r="F5277" s="36">
        <v>8.6000000000012705E-2</v>
      </c>
      <c r="G5277" s="34">
        <v>8.6000000000012705E-2</v>
      </c>
      <c r="H5277" s="35">
        <v>39.5</v>
      </c>
      <c r="I5277" s="37">
        <f t="shared" si="82"/>
        <v>4.8306815541342071E-3</v>
      </c>
      <c r="J5277" s="33"/>
    </row>
    <row r="5278" spans="1:10">
      <c r="A5278" s="33" t="s">
        <v>201</v>
      </c>
      <c r="B5278" s="34">
        <v>321.99799999999999</v>
      </c>
      <c r="C5278" s="35">
        <v>8176.9</v>
      </c>
      <c r="D5278" s="33" t="s">
        <v>54</v>
      </c>
      <c r="E5278" s="34">
        <v>321.91500000000002</v>
      </c>
      <c r="F5278" s="36">
        <v>8.2999999999970001E-2</v>
      </c>
      <c r="G5278" s="34">
        <v>8.2999999999970001E-2</v>
      </c>
      <c r="H5278" s="35">
        <v>22.2</v>
      </c>
      <c r="I5278" s="37">
        <f t="shared" si="82"/>
        <v>2.7149653291589724E-3</v>
      </c>
      <c r="J5278" s="33"/>
    </row>
    <row r="5279" spans="1:10">
      <c r="A5279" s="33" t="s">
        <v>201</v>
      </c>
      <c r="B5279" s="34">
        <v>321.99799999999999</v>
      </c>
      <c r="C5279" s="35">
        <v>8176.9</v>
      </c>
      <c r="D5279" s="33" t="s">
        <v>277</v>
      </c>
      <c r="E5279" s="34">
        <v>321.91699999999997</v>
      </c>
      <c r="F5279" s="36">
        <v>8.1000000000017294E-2</v>
      </c>
      <c r="G5279" s="34">
        <v>8.1000000000017294E-2</v>
      </c>
      <c r="H5279" s="35">
        <v>153.5</v>
      </c>
      <c r="I5279" s="37">
        <f t="shared" si="82"/>
        <v>1.8772395406572173E-2</v>
      </c>
      <c r="J5279" s="33"/>
    </row>
    <row r="5280" spans="1:10">
      <c r="A5280" s="33" t="s">
        <v>201</v>
      </c>
      <c r="B5280" s="34">
        <v>321.99799999999999</v>
      </c>
      <c r="C5280" s="35">
        <v>8176.9</v>
      </c>
      <c r="D5280" s="33" t="s">
        <v>237</v>
      </c>
      <c r="E5280" s="34">
        <v>321.92</v>
      </c>
      <c r="F5280" s="36">
        <v>7.7999999999974506E-2</v>
      </c>
      <c r="G5280" s="34">
        <v>7.7999999999974506E-2</v>
      </c>
      <c r="H5280" s="35">
        <v>50</v>
      </c>
      <c r="I5280" s="37">
        <f t="shared" si="82"/>
        <v>6.1147867773850726E-3</v>
      </c>
      <c r="J5280" s="33"/>
    </row>
    <row r="5281" spans="1:10">
      <c r="A5281" s="33" t="s">
        <v>201</v>
      </c>
      <c r="B5281" s="34">
        <v>321.99799999999999</v>
      </c>
      <c r="C5281" s="35">
        <v>8176.9</v>
      </c>
      <c r="D5281" s="33" t="s">
        <v>275</v>
      </c>
      <c r="E5281" s="34">
        <v>321.94</v>
      </c>
      <c r="F5281" s="36">
        <v>5.7999999999992703E-2</v>
      </c>
      <c r="G5281" s="34">
        <v>5.7999999999992703E-2</v>
      </c>
      <c r="H5281" s="35">
        <v>61.7</v>
      </c>
      <c r="I5281" s="37">
        <f t="shared" si="82"/>
        <v>7.5456468832931804E-3</v>
      </c>
      <c r="J5281" s="33"/>
    </row>
    <row r="5282" spans="1:10">
      <c r="A5282" s="33" t="s">
        <v>201</v>
      </c>
      <c r="B5282" s="34">
        <v>321.99799999999999</v>
      </c>
      <c r="C5282" s="35">
        <v>8176.9</v>
      </c>
      <c r="D5282" s="33" t="s">
        <v>270</v>
      </c>
      <c r="E5282" s="34">
        <v>321.94299999999998</v>
      </c>
      <c r="F5282" s="36">
        <v>5.50000000000068E-2</v>
      </c>
      <c r="G5282" s="34">
        <v>5.50000000000068E-2</v>
      </c>
      <c r="H5282" s="35">
        <v>650.1</v>
      </c>
      <c r="I5282" s="37">
        <f t="shared" si="82"/>
        <v>7.9504457679560714E-2</v>
      </c>
      <c r="J5282" s="33"/>
    </row>
    <row r="5283" spans="1:10">
      <c r="A5283" s="33" t="s">
        <v>201</v>
      </c>
      <c r="B5283" s="34">
        <v>321.99799999999999</v>
      </c>
      <c r="C5283" s="35">
        <v>8176.9</v>
      </c>
      <c r="D5283" s="33" t="s">
        <v>173</v>
      </c>
      <c r="E5283" s="34">
        <v>321.94799999999998</v>
      </c>
      <c r="F5283" s="36">
        <v>5.0000000000011403E-2</v>
      </c>
      <c r="G5283" s="34">
        <v>5.0000000000011403E-2</v>
      </c>
      <c r="H5283" s="35">
        <v>630.9</v>
      </c>
      <c r="I5283" s="37">
        <f t="shared" si="82"/>
        <v>7.7156379557044852E-2</v>
      </c>
      <c r="J5283" s="33"/>
    </row>
    <row r="5284" spans="1:10">
      <c r="A5284" s="33" t="s">
        <v>201</v>
      </c>
      <c r="B5284" s="34">
        <v>321.99799999999999</v>
      </c>
      <c r="C5284" s="35">
        <v>8176.9</v>
      </c>
      <c r="D5284" s="33" t="s">
        <v>290</v>
      </c>
      <c r="E5284" s="34">
        <v>321.95100000000002</v>
      </c>
      <c r="F5284" s="36">
        <v>4.6999999999968602E-2</v>
      </c>
      <c r="G5284" s="34">
        <v>4.6999999999968602E-2</v>
      </c>
      <c r="H5284" s="35">
        <v>78.2</v>
      </c>
      <c r="I5284" s="37">
        <f t="shared" si="82"/>
        <v>9.5635265198302545E-3</v>
      </c>
      <c r="J5284" s="33"/>
    </row>
    <row r="5285" spans="1:10">
      <c r="A5285" s="33" t="s">
        <v>201</v>
      </c>
      <c r="B5285" s="34">
        <v>321.99799999999999</v>
      </c>
      <c r="C5285" s="35">
        <v>8176.9</v>
      </c>
      <c r="D5285" s="33" t="s">
        <v>97</v>
      </c>
      <c r="E5285" s="34">
        <v>321.95800000000003</v>
      </c>
      <c r="F5285" s="36">
        <v>3.9999999999963599E-2</v>
      </c>
      <c r="G5285" s="34">
        <v>3.9999999999963599E-2</v>
      </c>
      <c r="H5285" s="35">
        <v>58.4</v>
      </c>
      <c r="I5285" s="37">
        <f t="shared" si="82"/>
        <v>7.1420709559857649E-3</v>
      </c>
      <c r="J5285" s="33"/>
    </row>
    <row r="5286" spans="1:10">
      <c r="A5286" s="33" t="s">
        <v>201</v>
      </c>
      <c r="B5286" s="34">
        <v>321.99799999999999</v>
      </c>
      <c r="C5286" s="35">
        <v>8176.9</v>
      </c>
      <c r="D5286" s="33" t="s">
        <v>239</v>
      </c>
      <c r="E5286" s="34">
        <v>321.97699999999998</v>
      </c>
      <c r="F5286" s="36">
        <v>2.1000000000015E-2</v>
      </c>
      <c r="G5286" s="34">
        <v>2.1000000000015E-2</v>
      </c>
      <c r="H5286" s="35">
        <v>23.5</v>
      </c>
      <c r="I5286" s="37">
        <f t="shared" si="82"/>
        <v>2.8739497853709842E-3</v>
      </c>
      <c r="J5286" s="33"/>
    </row>
    <row r="5287" spans="1:10">
      <c r="A5287" s="33" t="s">
        <v>201</v>
      </c>
      <c r="B5287" s="34">
        <v>321.99799999999999</v>
      </c>
      <c r="C5287" s="35">
        <v>8176.9</v>
      </c>
      <c r="D5287" s="33" t="s">
        <v>165</v>
      </c>
      <c r="E5287" s="34">
        <v>321.97899999999998</v>
      </c>
      <c r="F5287" s="36">
        <v>1.9000000000005499E-2</v>
      </c>
      <c r="G5287" s="34">
        <v>1.9000000000005499E-2</v>
      </c>
      <c r="H5287" s="35">
        <v>15.2</v>
      </c>
      <c r="I5287" s="37">
        <f t="shared" si="82"/>
        <v>1.8588951803250621E-3</v>
      </c>
      <c r="J5287" s="33"/>
    </row>
    <row r="5288" spans="1:10">
      <c r="A5288" s="33" t="s">
        <v>201</v>
      </c>
      <c r="B5288" s="34">
        <v>321.99799999999999</v>
      </c>
      <c r="C5288" s="35">
        <v>8176.9</v>
      </c>
      <c r="D5288" s="33" t="s">
        <v>97</v>
      </c>
      <c r="E5288" s="34">
        <v>321.98</v>
      </c>
      <c r="F5288" s="36">
        <v>1.7999999999972299E-2</v>
      </c>
      <c r="G5288" s="34">
        <v>1.7999999999972299E-2</v>
      </c>
      <c r="H5288" s="35">
        <v>36.9</v>
      </c>
      <c r="I5288" s="37">
        <f t="shared" si="82"/>
        <v>4.5127126417101836E-3</v>
      </c>
      <c r="J5288" s="33"/>
    </row>
    <row r="5289" spans="1:10">
      <c r="A5289" s="33" t="s">
        <v>201</v>
      </c>
      <c r="B5289" s="34">
        <v>321.99799999999999</v>
      </c>
      <c r="C5289" s="35">
        <v>8176.9</v>
      </c>
      <c r="D5289" s="33" t="s">
        <v>271</v>
      </c>
      <c r="E5289" s="34">
        <v>322.03500000000003</v>
      </c>
      <c r="F5289" s="36">
        <v>3.7000000000034602E-2</v>
      </c>
      <c r="G5289" s="34">
        <v>3.7000000000034602E-2</v>
      </c>
      <c r="H5289" s="35">
        <v>626.9</v>
      </c>
      <c r="I5289" s="37">
        <f t="shared" si="82"/>
        <v>7.6667196614854036E-2</v>
      </c>
      <c r="J5289" s="33"/>
    </row>
    <row r="5290" spans="1:10">
      <c r="A5290" s="33" t="s">
        <v>201</v>
      </c>
      <c r="B5290" s="34">
        <v>321.99799999999999</v>
      </c>
      <c r="C5290" s="35">
        <v>8176.9</v>
      </c>
      <c r="D5290" s="33" t="s">
        <v>284</v>
      </c>
      <c r="E5290" s="34">
        <v>322.04199999999997</v>
      </c>
      <c r="F5290" s="36">
        <v>4.3999999999982699E-2</v>
      </c>
      <c r="G5290" s="34">
        <v>4.3999999999982699E-2</v>
      </c>
      <c r="H5290" s="35">
        <v>797</v>
      </c>
      <c r="I5290" s="37">
        <f t="shared" si="82"/>
        <v>9.7469701231518061E-2</v>
      </c>
      <c r="J5290" s="33"/>
    </row>
    <row r="5291" spans="1:10">
      <c r="A5291" s="33" t="s">
        <v>201</v>
      </c>
      <c r="B5291" s="34">
        <v>321.99799999999999</v>
      </c>
      <c r="C5291" s="35">
        <v>8176.9</v>
      </c>
      <c r="D5291" s="33" t="s">
        <v>33</v>
      </c>
      <c r="E5291" s="34">
        <v>322.04599999999999</v>
      </c>
      <c r="F5291" s="36">
        <v>4.8000000000001798E-2</v>
      </c>
      <c r="G5291" s="34">
        <v>4.8000000000001798E-2</v>
      </c>
      <c r="H5291" s="35">
        <v>508.3</v>
      </c>
      <c r="I5291" s="37">
        <f t="shared" si="82"/>
        <v>6.2162922378896653E-2</v>
      </c>
      <c r="J5291" s="33" t="s">
        <v>116</v>
      </c>
    </row>
    <row r="5292" spans="1:10">
      <c r="A5292" s="33" t="s">
        <v>201</v>
      </c>
      <c r="B5292" s="34">
        <v>321.99799999999999</v>
      </c>
      <c r="C5292" s="35">
        <v>8176.9</v>
      </c>
      <c r="D5292" s="33" t="s">
        <v>237</v>
      </c>
      <c r="E5292" s="34">
        <v>322.048</v>
      </c>
      <c r="F5292" s="36">
        <v>5.0000000000011403E-2</v>
      </c>
      <c r="G5292" s="34">
        <v>5.0000000000011403E-2</v>
      </c>
      <c r="H5292" s="35">
        <v>38.6</v>
      </c>
      <c r="I5292" s="37">
        <f t="shared" si="82"/>
        <v>4.7206153921412761E-3</v>
      </c>
      <c r="J5292" s="33"/>
    </row>
    <row r="5293" spans="1:10">
      <c r="A5293" s="33" t="s">
        <v>201</v>
      </c>
      <c r="B5293" s="34">
        <v>321.99799999999999</v>
      </c>
      <c r="C5293" s="35">
        <v>8176.9</v>
      </c>
      <c r="D5293" s="33" t="s">
        <v>300</v>
      </c>
      <c r="E5293" s="34">
        <v>322.053</v>
      </c>
      <c r="F5293" s="36">
        <v>5.50000000000068E-2</v>
      </c>
      <c r="G5293" s="34">
        <v>5.50000000000068E-2</v>
      </c>
      <c r="H5293" s="35">
        <v>41</v>
      </c>
      <c r="I5293" s="37">
        <f t="shared" si="82"/>
        <v>5.0141251574557597E-3</v>
      </c>
      <c r="J5293" s="33"/>
    </row>
    <row r="5294" spans="1:10">
      <c r="A5294" s="33" t="s">
        <v>201</v>
      </c>
      <c r="B5294" s="34">
        <v>321.99799999999999</v>
      </c>
      <c r="C5294" s="35">
        <v>8176.9</v>
      </c>
      <c r="D5294" s="33" t="s">
        <v>269</v>
      </c>
      <c r="E5294" s="34">
        <v>322.065</v>
      </c>
      <c r="F5294" s="36">
        <v>6.7000000000007304E-2</v>
      </c>
      <c r="G5294" s="34">
        <v>6.7000000000007304E-2</v>
      </c>
      <c r="H5294" s="35">
        <v>1201.4000000000001</v>
      </c>
      <c r="I5294" s="37">
        <f t="shared" si="82"/>
        <v>0.14692609668700854</v>
      </c>
      <c r="J5294" s="33"/>
    </row>
    <row r="5295" spans="1:10">
      <c r="A5295" s="33" t="s">
        <v>201</v>
      </c>
      <c r="B5295" s="34">
        <v>321.99799999999999</v>
      </c>
      <c r="C5295" s="35">
        <v>8176.9</v>
      </c>
      <c r="D5295" s="33" t="s">
        <v>84</v>
      </c>
      <c r="E5295" s="34">
        <v>322.07299999999998</v>
      </c>
      <c r="F5295" s="36">
        <v>7.4999999999999997E-2</v>
      </c>
      <c r="G5295" s="34">
        <v>7.4999999999999997E-2</v>
      </c>
      <c r="H5295" s="35">
        <v>6364.4</v>
      </c>
      <c r="I5295" s="37">
        <f t="shared" si="82"/>
        <v>0.77833897931979112</v>
      </c>
      <c r="J5295" s="33" t="s">
        <v>116</v>
      </c>
    </row>
    <row r="5296" spans="1:10">
      <c r="A5296" s="33" t="s">
        <v>201</v>
      </c>
      <c r="B5296" s="34">
        <v>321.99799999999999</v>
      </c>
      <c r="C5296" s="35">
        <v>8176.9</v>
      </c>
      <c r="D5296" s="33" t="s">
        <v>290</v>
      </c>
      <c r="E5296" s="34">
        <v>322.07799999999997</v>
      </c>
      <c r="F5296" s="36">
        <v>7.9999999999984098E-2</v>
      </c>
      <c r="G5296" s="34">
        <v>7.9999999999984098E-2</v>
      </c>
      <c r="H5296" s="35">
        <v>1098.4000000000001</v>
      </c>
      <c r="I5296" s="37">
        <f t="shared" si="82"/>
        <v>0.1343296359255953</v>
      </c>
      <c r="J5296" s="33"/>
    </row>
    <row r="5297" spans="1:10">
      <c r="A5297" s="33" t="s">
        <v>201</v>
      </c>
      <c r="B5297" s="34">
        <v>321.99799999999999</v>
      </c>
      <c r="C5297" s="35">
        <v>8176.9</v>
      </c>
      <c r="D5297" s="33" t="s">
        <v>275</v>
      </c>
      <c r="E5297" s="34">
        <v>322.08600000000001</v>
      </c>
      <c r="F5297" s="36">
        <v>8.8000000000022296E-2</v>
      </c>
      <c r="G5297" s="34">
        <v>8.8000000000022296E-2</v>
      </c>
      <c r="H5297" s="35">
        <v>13.1</v>
      </c>
      <c r="I5297" s="37">
        <f t="shared" si="82"/>
        <v>1.6020741356748891E-3</v>
      </c>
      <c r="J5297" s="33"/>
    </row>
    <row r="5298" spans="1:10">
      <c r="A5298" s="33" t="s">
        <v>201</v>
      </c>
      <c r="B5298" s="34">
        <v>321.99799999999999</v>
      </c>
      <c r="C5298" s="35">
        <v>8176.9</v>
      </c>
      <c r="D5298" s="33" t="s">
        <v>25</v>
      </c>
      <c r="E5298" s="34">
        <v>322.11700000000002</v>
      </c>
      <c r="F5298" s="36">
        <v>0.119000000000028</v>
      </c>
      <c r="G5298" s="34">
        <v>0.119000000000028</v>
      </c>
      <c r="H5298" s="35">
        <v>2265.5</v>
      </c>
      <c r="I5298" s="37">
        <f t="shared" si="82"/>
        <v>0.27706098888331765</v>
      </c>
      <c r="J5298" s="33" t="s">
        <v>116</v>
      </c>
    </row>
    <row r="5299" spans="1:10">
      <c r="A5299" s="33" t="s">
        <v>201</v>
      </c>
      <c r="B5299" s="34">
        <v>321.99799999999999</v>
      </c>
      <c r="C5299" s="35">
        <v>8176.9</v>
      </c>
      <c r="D5299" s="33" t="s">
        <v>274</v>
      </c>
      <c r="E5299" s="34">
        <v>322.12299999999999</v>
      </c>
      <c r="F5299" s="36">
        <v>0.125</v>
      </c>
      <c r="G5299" s="34">
        <v>0.125</v>
      </c>
      <c r="H5299" s="35">
        <v>25.8</v>
      </c>
      <c r="I5299" s="37">
        <f t="shared" si="82"/>
        <v>3.1552299771306978E-3</v>
      </c>
      <c r="J5299" s="33"/>
    </row>
    <row r="5300" spans="1:10">
      <c r="A5300" s="33" t="s">
        <v>201</v>
      </c>
      <c r="B5300" s="34">
        <v>321.99799999999999</v>
      </c>
      <c r="C5300" s="35">
        <v>8176.9</v>
      </c>
      <c r="D5300" s="33" t="s">
        <v>165</v>
      </c>
      <c r="E5300" s="34">
        <v>322.12599999999998</v>
      </c>
      <c r="F5300" s="36">
        <v>0.12799999999998601</v>
      </c>
      <c r="G5300" s="34">
        <v>0.12799999999998601</v>
      </c>
      <c r="H5300" s="35">
        <v>43.3</v>
      </c>
      <c r="I5300" s="37">
        <f t="shared" si="82"/>
        <v>5.2954053492154729E-3</v>
      </c>
      <c r="J5300" s="33"/>
    </row>
    <row r="5301" spans="1:10">
      <c r="A5301" s="33" t="s">
        <v>201</v>
      </c>
      <c r="B5301" s="34">
        <v>321.99799999999999</v>
      </c>
      <c r="C5301" s="35">
        <v>8176.9</v>
      </c>
      <c r="D5301" s="33" t="s">
        <v>290</v>
      </c>
      <c r="E5301" s="34">
        <v>322.12700000000001</v>
      </c>
      <c r="F5301" s="36">
        <v>0.12900000000001899</v>
      </c>
      <c r="G5301" s="34">
        <v>0.12900000000001899</v>
      </c>
      <c r="H5301" s="35">
        <v>47.9</v>
      </c>
      <c r="I5301" s="37">
        <f t="shared" si="82"/>
        <v>5.8579657327348994E-3</v>
      </c>
      <c r="J5301" s="33"/>
    </row>
    <row r="5302" spans="1:10">
      <c r="A5302" s="33" t="s">
        <v>201</v>
      </c>
      <c r="B5302" s="34">
        <v>321.99799999999999</v>
      </c>
      <c r="C5302" s="35">
        <v>8176.9</v>
      </c>
      <c r="D5302" s="33" t="s">
        <v>271</v>
      </c>
      <c r="E5302" s="34">
        <v>322.12900000000002</v>
      </c>
      <c r="F5302" s="36">
        <v>0.13100000000002901</v>
      </c>
      <c r="G5302" s="34">
        <v>0.13100000000002901</v>
      </c>
      <c r="H5302" s="35">
        <v>2333</v>
      </c>
      <c r="I5302" s="37">
        <f t="shared" si="82"/>
        <v>0.28531595103278751</v>
      </c>
      <c r="J5302" s="33"/>
    </row>
    <row r="5303" spans="1:10">
      <c r="A5303" s="33" t="s">
        <v>201</v>
      </c>
      <c r="B5303" s="34">
        <v>321.99799999999999</v>
      </c>
      <c r="C5303" s="35">
        <v>8176.9</v>
      </c>
      <c r="D5303" s="33" t="s">
        <v>193</v>
      </c>
      <c r="E5303" s="34">
        <v>322.13200000000001</v>
      </c>
      <c r="F5303" s="36">
        <v>0.134000000000015</v>
      </c>
      <c r="G5303" s="34">
        <v>0.134000000000015</v>
      </c>
      <c r="H5303" s="35">
        <v>417</v>
      </c>
      <c r="I5303" s="37">
        <f t="shared" si="82"/>
        <v>5.0997321723391505E-2</v>
      </c>
      <c r="J5303" s="33"/>
    </row>
    <row r="5304" spans="1:10">
      <c r="A5304" s="33" t="s">
        <v>201</v>
      </c>
      <c r="B5304" s="34">
        <v>321.99799999999999</v>
      </c>
      <c r="C5304" s="35">
        <v>8176.9</v>
      </c>
      <c r="D5304" s="33" t="s">
        <v>268</v>
      </c>
      <c r="E5304" s="34">
        <v>322.13499999999999</v>
      </c>
      <c r="F5304" s="36">
        <v>0.13700000000000101</v>
      </c>
      <c r="G5304" s="34">
        <v>0.13700000000000101</v>
      </c>
      <c r="H5304" s="35">
        <v>26.4</v>
      </c>
      <c r="I5304" s="37">
        <f t="shared" si="82"/>
        <v>3.2286074184593185E-3</v>
      </c>
      <c r="J5304" s="33"/>
    </row>
    <row r="5305" spans="1:10">
      <c r="A5305" s="33" t="s">
        <v>201</v>
      </c>
      <c r="B5305" s="34">
        <v>321.99799999999999</v>
      </c>
      <c r="C5305" s="35">
        <v>8176.9</v>
      </c>
      <c r="D5305" s="33" t="s">
        <v>237</v>
      </c>
      <c r="E5305" s="34">
        <v>322.13600000000002</v>
      </c>
      <c r="F5305" s="36">
        <v>0.13800000000003401</v>
      </c>
      <c r="G5305" s="34">
        <v>0.13800000000003401</v>
      </c>
      <c r="H5305" s="35">
        <v>63.1</v>
      </c>
      <c r="I5305" s="37">
        <f t="shared" si="82"/>
        <v>7.7168609130599617E-3</v>
      </c>
      <c r="J5305" s="33"/>
    </row>
    <row r="5306" spans="1:10">
      <c r="A5306" s="33" t="s">
        <v>201</v>
      </c>
      <c r="B5306" s="34">
        <v>321.99799999999999</v>
      </c>
      <c r="C5306" s="35">
        <v>8176.9</v>
      </c>
      <c r="D5306" s="33" t="s">
        <v>94</v>
      </c>
      <c r="E5306" s="34">
        <v>322.142</v>
      </c>
      <c r="F5306" s="36">
        <v>0.14399999999999999</v>
      </c>
      <c r="G5306" s="34">
        <v>0.14399999999999999</v>
      </c>
      <c r="H5306" s="35">
        <v>1038</v>
      </c>
      <c r="I5306" s="37">
        <f t="shared" si="82"/>
        <v>0.12694297349851411</v>
      </c>
      <c r="J5306" s="33" t="s">
        <v>116</v>
      </c>
    </row>
    <row r="5307" spans="1:10">
      <c r="A5307" s="33" t="s">
        <v>201</v>
      </c>
      <c r="B5307" s="34">
        <v>321.99799999999999</v>
      </c>
      <c r="C5307" s="35">
        <v>8176.9</v>
      </c>
      <c r="D5307" s="33" t="s">
        <v>33</v>
      </c>
      <c r="E5307" s="34">
        <v>322.149</v>
      </c>
      <c r="F5307" s="36">
        <v>0.15100000000001099</v>
      </c>
      <c r="G5307" s="34">
        <v>0.15100000000001099</v>
      </c>
      <c r="H5307" s="35">
        <v>1087.5</v>
      </c>
      <c r="I5307" s="37">
        <f t="shared" si="82"/>
        <v>0.13299661240812533</v>
      </c>
      <c r="J5307" s="33" t="s">
        <v>116</v>
      </c>
    </row>
    <row r="5308" spans="1:10">
      <c r="A5308" s="33" t="s">
        <v>201</v>
      </c>
      <c r="B5308" s="34">
        <v>321.99799999999999</v>
      </c>
      <c r="C5308" s="35">
        <v>8176.9</v>
      </c>
      <c r="D5308" s="33" t="s">
        <v>284</v>
      </c>
      <c r="E5308" s="34">
        <v>322.15499999999997</v>
      </c>
      <c r="F5308" s="36">
        <v>0.15699999999998199</v>
      </c>
      <c r="G5308" s="34">
        <v>0.15699999999998199</v>
      </c>
      <c r="H5308" s="35">
        <v>558</v>
      </c>
      <c r="I5308" s="37">
        <f t="shared" si="82"/>
        <v>6.8241020435617417E-2</v>
      </c>
      <c r="J5308" s="33"/>
    </row>
    <row r="5309" spans="1:10">
      <c r="A5309" s="33" t="s">
        <v>201</v>
      </c>
      <c r="B5309" s="34">
        <v>332.44</v>
      </c>
      <c r="C5309" s="35">
        <v>10866.2</v>
      </c>
      <c r="D5309" s="33" t="s">
        <v>237</v>
      </c>
      <c r="E5309" s="34">
        <v>332.29399999999998</v>
      </c>
      <c r="F5309" s="36">
        <v>0.14600000000001501</v>
      </c>
      <c r="G5309" s="34">
        <v>0.14600000000001501</v>
      </c>
      <c r="H5309" s="35">
        <v>244028</v>
      </c>
      <c r="I5309" s="37">
        <f t="shared" si="82"/>
        <v>22.457528850932245</v>
      </c>
      <c r="J5309" s="33"/>
    </row>
    <row r="5310" spans="1:10">
      <c r="A5310" s="33" t="s">
        <v>201</v>
      </c>
      <c r="B5310" s="34">
        <v>332.44</v>
      </c>
      <c r="C5310" s="35">
        <v>10866.2</v>
      </c>
      <c r="D5310" s="33" t="s">
        <v>236</v>
      </c>
      <c r="E5310" s="34">
        <v>332.29700000000003</v>
      </c>
      <c r="F5310" s="36">
        <v>0.14299999999997201</v>
      </c>
      <c r="G5310" s="34">
        <v>0.14299999999997201</v>
      </c>
      <c r="H5310" s="35">
        <v>1467.5</v>
      </c>
      <c r="I5310" s="37">
        <f t="shared" si="82"/>
        <v>0.13505181204100788</v>
      </c>
      <c r="J5310" s="33"/>
    </row>
    <row r="5311" spans="1:10">
      <c r="A5311" s="33" t="s">
        <v>201</v>
      </c>
      <c r="B5311" s="34">
        <v>332.44</v>
      </c>
      <c r="C5311" s="35">
        <v>10866.2</v>
      </c>
      <c r="D5311" s="33" t="s">
        <v>282</v>
      </c>
      <c r="E5311" s="34">
        <v>332.30900000000003</v>
      </c>
      <c r="F5311" s="36">
        <v>0.130999999999972</v>
      </c>
      <c r="G5311" s="34">
        <v>0.130999999999972</v>
      </c>
      <c r="H5311" s="35">
        <v>1817.6</v>
      </c>
      <c r="I5311" s="37">
        <f t="shared" si="82"/>
        <v>0.16727098709760541</v>
      </c>
      <c r="J5311" s="33"/>
    </row>
    <row r="5312" spans="1:10">
      <c r="A5312" s="33" t="s">
        <v>201</v>
      </c>
      <c r="B5312" s="34">
        <v>332.44</v>
      </c>
      <c r="C5312" s="35">
        <v>10866.2</v>
      </c>
      <c r="D5312" s="33" t="s">
        <v>84</v>
      </c>
      <c r="E5312" s="34">
        <v>332.31900000000002</v>
      </c>
      <c r="F5312" s="36">
        <v>0.121</v>
      </c>
      <c r="G5312" s="34">
        <v>0.121</v>
      </c>
      <c r="H5312" s="35">
        <v>3961.6</v>
      </c>
      <c r="I5312" s="37">
        <f t="shared" si="82"/>
        <v>0.36458007399090753</v>
      </c>
      <c r="J5312" s="33" t="s">
        <v>116</v>
      </c>
    </row>
    <row r="5313" spans="1:10">
      <c r="A5313" s="33" t="s">
        <v>201</v>
      </c>
      <c r="B5313" s="34">
        <v>332.44</v>
      </c>
      <c r="C5313" s="35">
        <v>10866.2</v>
      </c>
      <c r="D5313" s="33" t="s">
        <v>109</v>
      </c>
      <c r="E5313" s="34">
        <v>332.32100000000003</v>
      </c>
      <c r="F5313" s="36">
        <v>0.118999999999971</v>
      </c>
      <c r="G5313" s="34">
        <v>0.118999999999971</v>
      </c>
      <c r="H5313" s="35">
        <v>580.5</v>
      </c>
      <c r="I5313" s="37">
        <f t="shared" si="82"/>
        <v>5.3422539618265812E-2</v>
      </c>
      <c r="J5313" s="33" t="s">
        <v>116</v>
      </c>
    </row>
    <row r="5314" spans="1:10">
      <c r="A5314" s="33" t="s">
        <v>201</v>
      </c>
      <c r="B5314" s="34">
        <v>332.44</v>
      </c>
      <c r="C5314" s="35">
        <v>10866.2</v>
      </c>
      <c r="D5314" s="33" t="s">
        <v>25</v>
      </c>
      <c r="E5314" s="34">
        <v>332.32900000000001</v>
      </c>
      <c r="F5314" s="36">
        <v>0.11099999999999</v>
      </c>
      <c r="G5314" s="34">
        <v>0.11099999999999</v>
      </c>
      <c r="H5314" s="35">
        <v>63.2</v>
      </c>
      <c r="I5314" s="37">
        <f t="shared" ref="I5314:I5377" si="83">H5314/C5314</f>
        <v>5.8162006957353995E-3</v>
      </c>
      <c r="J5314" s="33" t="s">
        <v>116</v>
      </c>
    </row>
    <row r="5315" spans="1:10">
      <c r="A5315" s="33" t="s">
        <v>201</v>
      </c>
      <c r="B5315" s="34">
        <v>332.44</v>
      </c>
      <c r="C5315" s="35">
        <v>10866.2</v>
      </c>
      <c r="D5315" s="33" t="s">
        <v>269</v>
      </c>
      <c r="E5315" s="34">
        <v>332.33199999999999</v>
      </c>
      <c r="F5315" s="36">
        <v>0.108000000000004</v>
      </c>
      <c r="G5315" s="34">
        <v>0.108000000000004</v>
      </c>
      <c r="H5315" s="35">
        <v>180.9</v>
      </c>
      <c r="I5315" s="37">
        <f t="shared" si="83"/>
        <v>1.6647954206622368E-2</v>
      </c>
      <c r="J5315" s="33"/>
    </row>
    <row r="5316" spans="1:10">
      <c r="A5316" s="33" t="s">
        <v>201</v>
      </c>
      <c r="B5316" s="34">
        <v>332.44</v>
      </c>
      <c r="C5316" s="35">
        <v>10866.2</v>
      </c>
      <c r="D5316" s="33" t="s">
        <v>201</v>
      </c>
      <c r="E5316" s="34">
        <v>332.33800000000002</v>
      </c>
      <c r="F5316" s="36">
        <v>0.101999999999975</v>
      </c>
      <c r="G5316" s="34">
        <v>0.101999999999975</v>
      </c>
      <c r="H5316" s="35">
        <v>546.20000000000005</v>
      </c>
      <c r="I5316" s="37">
        <f t="shared" si="83"/>
        <v>5.0265962341941063E-2</v>
      </c>
      <c r="J5316" s="33"/>
    </row>
    <row r="5317" spans="1:10">
      <c r="A5317" s="33" t="s">
        <v>201</v>
      </c>
      <c r="B5317" s="34">
        <v>332.44</v>
      </c>
      <c r="C5317" s="35">
        <v>10866.2</v>
      </c>
      <c r="D5317" s="33" t="s">
        <v>274</v>
      </c>
      <c r="E5317" s="34">
        <v>332.33800000000002</v>
      </c>
      <c r="F5317" s="36">
        <v>0.101999999999975</v>
      </c>
      <c r="G5317" s="34">
        <v>0.101999999999975</v>
      </c>
      <c r="H5317" s="35">
        <v>44</v>
      </c>
      <c r="I5317" s="37">
        <f t="shared" si="83"/>
        <v>4.0492536489297086E-3</v>
      </c>
      <c r="J5317" s="33"/>
    </row>
    <row r="5318" spans="1:10">
      <c r="A5318" s="33" t="s">
        <v>201</v>
      </c>
      <c r="B5318" s="34">
        <v>332.44</v>
      </c>
      <c r="C5318" s="35">
        <v>10866.2</v>
      </c>
      <c r="D5318" s="33" t="s">
        <v>239</v>
      </c>
      <c r="E5318" s="34">
        <v>332.35300000000001</v>
      </c>
      <c r="F5318" s="36">
        <v>8.69999999999891E-2</v>
      </c>
      <c r="G5318" s="34">
        <v>8.69999999999891E-2</v>
      </c>
      <c r="H5318" s="35">
        <v>9.1999999999999993</v>
      </c>
      <c r="I5318" s="37">
        <f t="shared" si="83"/>
        <v>8.4666212659439348E-4</v>
      </c>
      <c r="J5318" s="33"/>
    </row>
    <row r="5319" spans="1:10">
      <c r="A5319" s="33" t="s">
        <v>201</v>
      </c>
      <c r="B5319" s="34">
        <v>332.44</v>
      </c>
      <c r="C5319" s="35">
        <v>10866.2</v>
      </c>
      <c r="D5319" s="33" t="s">
        <v>97</v>
      </c>
      <c r="E5319" s="34">
        <v>332.37400000000002</v>
      </c>
      <c r="F5319" s="36">
        <v>6.5999999999974093E-2</v>
      </c>
      <c r="G5319" s="34">
        <v>6.5999999999974093E-2</v>
      </c>
      <c r="H5319" s="35">
        <v>5.0999999999999996</v>
      </c>
      <c r="I5319" s="37">
        <f t="shared" si="83"/>
        <v>4.6934530930776161E-4</v>
      </c>
      <c r="J5319" s="33"/>
    </row>
    <row r="5320" spans="1:10">
      <c r="A5320" s="33" t="s">
        <v>201</v>
      </c>
      <c r="B5320" s="34">
        <v>332.44</v>
      </c>
      <c r="C5320" s="35">
        <v>10866.2</v>
      </c>
      <c r="D5320" s="33" t="s">
        <v>294</v>
      </c>
      <c r="E5320" s="34">
        <v>332.37900000000002</v>
      </c>
      <c r="F5320" s="36">
        <v>6.0999999999978599E-2</v>
      </c>
      <c r="G5320" s="34">
        <v>6.0999999999978599E-2</v>
      </c>
      <c r="H5320" s="35">
        <v>10.1</v>
      </c>
      <c r="I5320" s="37">
        <f t="shared" si="83"/>
        <v>9.2948776941341026E-4</v>
      </c>
      <c r="J5320" s="33"/>
    </row>
    <row r="5321" spans="1:10">
      <c r="A5321" s="33" t="s">
        <v>201</v>
      </c>
      <c r="B5321" s="34">
        <v>332.44</v>
      </c>
      <c r="C5321" s="35">
        <v>10866.2</v>
      </c>
      <c r="D5321" s="33" t="s">
        <v>270</v>
      </c>
      <c r="E5321" s="34">
        <v>332.37900000000002</v>
      </c>
      <c r="F5321" s="36">
        <v>6.0999999999978599E-2</v>
      </c>
      <c r="G5321" s="34">
        <v>6.0999999999978599E-2</v>
      </c>
      <c r="H5321" s="35">
        <v>892.6</v>
      </c>
      <c r="I5321" s="37">
        <f t="shared" si="83"/>
        <v>8.2144631978060406E-2</v>
      </c>
      <c r="J5321" s="33"/>
    </row>
    <row r="5322" spans="1:10">
      <c r="A5322" s="33" t="s">
        <v>201</v>
      </c>
      <c r="B5322" s="34">
        <v>332.44</v>
      </c>
      <c r="C5322" s="35">
        <v>10866.2</v>
      </c>
      <c r="D5322" s="33" t="s">
        <v>273</v>
      </c>
      <c r="E5322" s="34">
        <v>332.38900000000001</v>
      </c>
      <c r="F5322" s="36">
        <v>5.0999999999987701E-2</v>
      </c>
      <c r="G5322" s="34">
        <v>5.0999999999987701E-2</v>
      </c>
      <c r="H5322" s="35">
        <v>75.599999999999994</v>
      </c>
      <c r="I5322" s="37">
        <f t="shared" si="83"/>
        <v>6.9573539967974071E-3</v>
      </c>
      <c r="J5322" s="33"/>
    </row>
    <row r="5323" spans="1:10">
      <c r="A5323" s="33" t="s">
        <v>201</v>
      </c>
      <c r="B5323" s="34">
        <v>332.44</v>
      </c>
      <c r="C5323" s="35">
        <v>10866.2</v>
      </c>
      <c r="D5323" s="33" t="s">
        <v>201</v>
      </c>
      <c r="E5323" s="34">
        <v>332.38900000000001</v>
      </c>
      <c r="F5323" s="36">
        <v>5.0999999999987701E-2</v>
      </c>
      <c r="G5323" s="34">
        <v>5.0999999999987701E-2</v>
      </c>
      <c r="H5323" s="35">
        <v>481.3</v>
      </c>
      <c r="I5323" s="37">
        <f t="shared" si="83"/>
        <v>4.4293313209769744E-2</v>
      </c>
      <c r="J5323" s="33"/>
    </row>
    <row r="5324" spans="1:10">
      <c r="A5324" s="33" t="s">
        <v>201</v>
      </c>
      <c r="B5324" s="34">
        <v>332.44</v>
      </c>
      <c r="C5324" s="35">
        <v>10866.2</v>
      </c>
      <c r="D5324" s="33" t="s">
        <v>275</v>
      </c>
      <c r="E5324" s="34">
        <v>332.39499999999998</v>
      </c>
      <c r="F5324" s="36">
        <v>4.5000000000015902E-2</v>
      </c>
      <c r="G5324" s="34">
        <v>4.5000000000015902E-2</v>
      </c>
      <c r="H5324" s="35">
        <v>69.7</v>
      </c>
      <c r="I5324" s="37">
        <f t="shared" si="83"/>
        <v>6.4143858938727431E-3</v>
      </c>
      <c r="J5324" s="33"/>
    </row>
    <row r="5325" spans="1:10">
      <c r="A5325" s="33" t="s">
        <v>201</v>
      </c>
      <c r="B5325" s="34">
        <v>332.44</v>
      </c>
      <c r="C5325" s="35">
        <v>10866.2</v>
      </c>
      <c r="D5325" s="33" t="s">
        <v>239</v>
      </c>
      <c r="E5325" s="34">
        <v>332.41300000000001</v>
      </c>
      <c r="F5325" s="36">
        <v>2.6999999999986798E-2</v>
      </c>
      <c r="G5325" s="34">
        <v>2.6999999999986798E-2</v>
      </c>
      <c r="H5325" s="35">
        <v>211.3</v>
      </c>
      <c r="I5325" s="37">
        <f t="shared" si="83"/>
        <v>1.9445620364064713E-2</v>
      </c>
      <c r="J5325" s="33"/>
    </row>
    <row r="5326" spans="1:10">
      <c r="A5326" s="33" t="s">
        <v>201</v>
      </c>
      <c r="B5326" s="34">
        <v>332.44</v>
      </c>
      <c r="C5326" s="35">
        <v>10866.2</v>
      </c>
      <c r="D5326" s="33" t="s">
        <v>269</v>
      </c>
      <c r="E5326" s="34">
        <v>332.41800000000001</v>
      </c>
      <c r="F5326" s="36">
        <v>2.1999999999991401E-2</v>
      </c>
      <c r="G5326" s="34">
        <v>2.1999999999991401E-2</v>
      </c>
      <c r="H5326" s="35">
        <v>75.8</v>
      </c>
      <c r="I5326" s="37">
        <f t="shared" si="83"/>
        <v>6.9757596952016339E-3</v>
      </c>
      <c r="J5326" s="33"/>
    </row>
    <row r="5327" spans="1:10">
      <c r="A5327" s="33" t="s">
        <v>201</v>
      </c>
      <c r="B5327" s="34">
        <v>332.44</v>
      </c>
      <c r="C5327" s="35">
        <v>10866.2</v>
      </c>
      <c r="D5327" s="33" t="s">
        <v>239</v>
      </c>
      <c r="E5327" s="34">
        <v>332.43299999999999</v>
      </c>
      <c r="F5327" s="36">
        <v>7.0000000000049996E-3</v>
      </c>
      <c r="G5327" s="34">
        <v>7.0000000000049996E-3</v>
      </c>
      <c r="H5327" s="35">
        <v>173.2</v>
      </c>
      <c r="I5327" s="37">
        <f t="shared" si="83"/>
        <v>1.5939334818059668E-2</v>
      </c>
      <c r="J5327" s="33"/>
    </row>
    <row r="5328" spans="1:10">
      <c r="A5328" s="33" t="s">
        <v>201</v>
      </c>
      <c r="B5328" s="34">
        <v>332.44</v>
      </c>
      <c r="C5328" s="35">
        <v>10866.2</v>
      </c>
      <c r="D5328" s="33" t="s">
        <v>284</v>
      </c>
      <c r="E5328" s="34">
        <v>332.43599999999998</v>
      </c>
      <c r="F5328" s="36">
        <v>4.0000000000191003E-3</v>
      </c>
      <c r="G5328" s="34">
        <v>4.0000000000191003E-3</v>
      </c>
      <c r="H5328" s="35">
        <v>11</v>
      </c>
      <c r="I5328" s="37">
        <f t="shared" si="83"/>
        <v>1.0123134122324272E-3</v>
      </c>
      <c r="J5328" s="33"/>
    </row>
    <row r="5329" spans="1:10">
      <c r="A5329" s="33" t="s">
        <v>201</v>
      </c>
      <c r="B5329" s="34">
        <v>332.44</v>
      </c>
      <c r="C5329" s="35">
        <v>10866.2</v>
      </c>
      <c r="D5329" s="33" t="s">
        <v>97</v>
      </c>
      <c r="E5329" s="34">
        <v>332.45400000000001</v>
      </c>
      <c r="F5329" s="36">
        <v>1.4000000000009999E-2</v>
      </c>
      <c r="G5329" s="34">
        <v>1.4000000000009999E-2</v>
      </c>
      <c r="H5329" s="35">
        <v>2</v>
      </c>
      <c r="I5329" s="37">
        <f t="shared" si="83"/>
        <v>1.8405698404225948E-4</v>
      </c>
      <c r="J5329" s="33"/>
    </row>
    <row r="5330" spans="1:10">
      <c r="A5330" s="33" t="s">
        <v>201</v>
      </c>
      <c r="B5330" s="34">
        <v>332.44</v>
      </c>
      <c r="C5330" s="35">
        <v>10866.2</v>
      </c>
      <c r="D5330" s="33" t="s">
        <v>273</v>
      </c>
      <c r="E5330" s="34">
        <v>332.46600000000001</v>
      </c>
      <c r="F5330" s="36">
        <v>2.6000000000010501E-2</v>
      </c>
      <c r="G5330" s="34">
        <v>2.6000000000010501E-2</v>
      </c>
      <c r="H5330" s="35">
        <v>156.4</v>
      </c>
      <c r="I5330" s="37">
        <f t="shared" si="83"/>
        <v>1.4393256152104692E-2</v>
      </c>
      <c r="J5330" s="33"/>
    </row>
    <row r="5331" spans="1:10">
      <c r="A5331" s="33" t="s">
        <v>201</v>
      </c>
      <c r="B5331" s="34">
        <v>332.44</v>
      </c>
      <c r="C5331" s="35">
        <v>10866.2</v>
      </c>
      <c r="D5331" s="33" t="s">
        <v>271</v>
      </c>
      <c r="E5331" s="34">
        <v>332.47500000000002</v>
      </c>
      <c r="F5331" s="36">
        <v>3.5000000000024997E-2</v>
      </c>
      <c r="G5331" s="34">
        <v>3.5000000000024997E-2</v>
      </c>
      <c r="H5331" s="35">
        <v>1428.5</v>
      </c>
      <c r="I5331" s="37">
        <f t="shared" si="83"/>
        <v>0.13146270085218384</v>
      </c>
      <c r="J5331" s="33"/>
    </row>
    <row r="5332" spans="1:10">
      <c r="A5332" s="33" t="s">
        <v>201</v>
      </c>
      <c r="B5332" s="34">
        <v>332.44</v>
      </c>
      <c r="C5332" s="35">
        <v>10866.2</v>
      </c>
      <c r="D5332" s="33" t="s">
        <v>279</v>
      </c>
      <c r="E5332" s="34">
        <v>332.49400000000003</v>
      </c>
      <c r="F5332" s="36">
        <v>5.4000000000030503E-2</v>
      </c>
      <c r="G5332" s="34">
        <v>5.4000000000030503E-2</v>
      </c>
      <c r="H5332" s="35">
        <v>3</v>
      </c>
      <c r="I5332" s="37">
        <f t="shared" si="83"/>
        <v>2.760854760633892E-4</v>
      </c>
      <c r="J5332" s="33"/>
    </row>
    <row r="5333" spans="1:10">
      <c r="A5333" s="33" t="s">
        <v>201</v>
      </c>
      <c r="B5333" s="34">
        <v>332.44</v>
      </c>
      <c r="C5333" s="35">
        <v>10866.2</v>
      </c>
      <c r="D5333" s="33" t="s">
        <v>268</v>
      </c>
      <c r="E5333" s="34">
        <v>332.5</v>
      </c>
      <c r="F5333" s="36">
        <v>6.0000000000002301E-2</v>
      </c>
      <c r="G5333" s="34">
        <v>6.0000000000002301E-2</v>
      </c>
      <c r="H5333" s="35">
        <v>10.6</v>
      </c>
      <c r="I5333" s="37">
        <f t="shared" si="83"/>
        <v>9.7550201542397519E-4</v>
      </c>
      <c r="J5333" s="33"/>
    </row>
    <row r="5334" spans="1:10">
      <c r="A5334" s="33" t="s">
        <v>201</v>
      </c>
      <c r="B5334" s="34">
        <v>332.44</v>
      </c>
      <c r="C5334" s="35">
        <v>10866.2</v>
      </c>
      <c r="D5334" s="33" t="s">
        <v>271</v>
      </c>
      <c r="E5334" s="34">
        <v>332.512</v>
      </c>
      <c r="F5334" s="36">
        <v>7.2000000000002701E-2</v>
      </c>
      <c r="G5334" s="34">
        <v>7.2000000000002701E-2</v>
      </c>
      <c r="H5334" s="35">
        <v>5436.2</v>
      </c>
      <c r="I5334" s="37">
        <f t="shared" si="83"/>
        <v>0.50028528832526542</v>
      </c>
      <c r="J5334" s="33"/>
    </row>
    <row r="5335" spans="1:10">
      <c r="A5335" s="33" t="s">
        <v>201</v>
      </c>
      <c r="B5335" s="34">
        <v>332.44</v>
      </c>
      <c r="C5335" s="35">
        <v>10866.2</v>
      </c>
      <c r="D5335" s="33" t="s">
        <v>275</v>
      </c>
      <c r="E5335" s="34">
        <v>332.51299999999998</v>
      </c>
      <c r="F5335" s="36">
        <v>7.2999999999979095E-2</v>
      </c>
      <c r="G5335" s="34">
        <v>7.2999999999979095E-2</v>
      </c>
      <c r="H5335" s="35">
        <v>38.299999999999997</v>
      </c>
      <c r="I5335" s="37">
        <f t="shared" si="83"/>
        <v>3.5246912444092688E-3</v>
      </c>
      <c r="J5335" s="33"/>
    </row>
    <row r="5336" spans="1:10">
      <c r="A5336" s="33" t="s">
        <v>201</v>
      </c>
      <c r="B5336" s="34">
        <v>332.44</v>
      </c>
      <c r="C5336" s="35">
        <v>10866.2</v>
      </c>
      <c r="D5336" s="33" t="s">
        <v>54</v>
      </c>
      <c r="E5336" s="34">
        <v>332.524</v>
      </c>
      <c r="F5336" s="36">
        <v>8.4000000000003197E-2</v>
      </c>
      <c r="G5336" s="34">
        <v>8.4000000000003197E-2</v>
      </c>
      <c r="H5336" s="35">
        <v>39.200000000000003</v>
      </c>
      <c r="I5336" s="37">
        <f t="shared" si="83"/>
        <v>3.6075168872282859E-3</v>
      </c>
      <c r="J5336" s="33"/>
    </row>
    <row r="5337" spans="1:10">
      <c r="A5337" s="33" t="s">
        <v>201</v>
      </c>
      <c r="B5337" s="34">
        <v>332.44</v>
      </c>
      <c r="C5337" s="35">
        <v>10866.2</v>
      </c>
      <c r="D5337" s="33" t="s">
        <v>270</v>
      </c>
      <c r="E5337" s="34">
        <v>332.52600000000001</v>
      </c>
      <c r="F5337" s="36">
        <v>8.6000000000012705E-2</v>
      </c>
      <c r="G5337" s="34">
        <v>8.6000000000012705E-2</v>
      </c>
      <c r="H5337" s="35">
        <v>1018.4</v>
      </c>
      <c r="I5337" s="37">
        <f t="shared" si="83"/>
        <v>9.3721816274318526E-2</v>
      </c>
      <c r="J5337" s="33"/>
    </row>
    <row r="5338" spans="1:10">
      <c r="A5338" s="33" t="s">
        <v>201</v>
      </c>
      <c r="B5338" s="34">
        <v>332.44</v>
      </c>
      <c r="C5338" s="35">
        <v>10866.2</v>
      </c>
      <c r="D5338" s="33" t="s">
        <v>25</v>
      </c>
      <c r="E5338" s="34">
        <v>332.53300000000002</v>
      </c>
      <c r="F5338" s="36">
        <v>9.3000000000017694E-2</v>
      </c>
      <c r="G5338" s="34">
        <v>9.3000000000017694E-2</v>
      </c>
      <c r="H5338" s="35">
        <v>383.2</v>
      </c>
      <c r="I5338" s="37">
        <f t="shared" si="83"/>
        <v>3.5265318142496914E-2</v>
      </c>
      <c r="J5338" s="33" t="s">
        <v>116</v>
      </c>
    </row>
    <row r="5339" spans="1:10">
      <c r="A5339" s="33" t="s">
        <v>201</v>
      </c>
      <c r="B5339" s="34">
        <v>332.44</v>
      </c>
      <c r="C5339" s="35">
        <v>10866.2</v>
      </c>
      <c r="D5339" s="33" t="s">
        <v>184</v>
      </c>
      <c r="E5339" s="34">
        <v>332.53500000000003</v>
      </c>
      <c r="F5339" s="36">
        <v>9.5000000000027299E-2</v>
      </c>
      <c r="G5339" s="34">
        <v>9.5000000000027299E-2</v>
      </c>
      <c r="H5339" s="35">
        <v>27.2</v>
      </c>
      <c r="I5339" s="37">
        <f t="shared" si="83"/>
        <v>2.5031749829747289E-3</v>
      </c>
      <c r="J5339" s="33"/>
    </row>
    <row r="5340" spans="1:10">
      <c r="A5340" s="33" t="s">
        <v>201</v>
      </c>
      <c r="B5340" s="34">
        <v>332.44</v>
      </c>
      <c r="C5340" s="35">
        <v>10866.2</v>
      </c>
      <c r="D5340" s="33" t="s">
        <v>97</v>
      </c>
      <c r="E5340" s="34">
        <v>332.54599999999999</v>
      </c>
      <c r="F5340" s="36">
        <v>0.105999999999995</v>
      </c>
      <c r="G5340" s="34">
        <v>0.105999999999995</v>
      </c>
      <c r="H5340" s="35">
        <v>1.6</v>
      </c>
      <c r="I5340" s="37">
        <f t="shared" si="83"/>
        <v>1.4724558723380759E-4</v>
      </c>
      <c r="J5340" s="33"/>
    </row>
    <row r="5341" spans="1:10">
      <c r="A5341" s="33" t="s">
        <v>201</v>
      </c>
      <c r="B5341" s="34">
        <v>332.44</v>
      </c>
      <c r="C5341" s="35">
        <v>10866.2</v>
      </c>
      <c r="D5341" s="33" t="s">
        <v>201</v>
      </c>
      <c r="E5341" s="34">
        <v>332.54899999999998</v>
      </c>
      <c r="F5341" s="36">
        <v>0.10899999999998</v>
      </c>
      <c r="G5341" s="34">
        <v>0.10899999999998</v>
      </c>
      <c r="H5341" s="35">
        <v>421.4</v>
      </c>
      <c r="I5341" s="37">
        <f t="shared" si="83"/>
        <v>3.878080653770407E-2</v>
      </c>
      <c r="J5341" s="33"/>
    </row>
    <row r="5342" spans="1:10">
      <c r="A5342" s="33" t="s">
        <v>201</v>
      </c>
      <c r="B5342" s="34">
        <v>332.44</v>
      </c>
      <c r="C5342" s="35">
        <v>10866.2</v>
      </c>
      <c r="D5342" s="33" t="s">
        <v>287</v>
      </c>
      <c r="E5342" s="34">
        <v>332.55</v>
      </c>
      <c r="F5342" s="36">
        <v>0.110000000000014</v>
      </c>
      <c r="G5342" s="34">
        <v>0.110000000000014</v>
      </c>
      <c r="H5342" s="35">
        <v>1322</v>
      </c>
      <c r="I5342" s="37">
        <f t="shared" si="83"/>
        <v>0.12166166645193351</v>
      </c>
      <c r="J5342" s="33"/>
    </row>
    <row r="5343" spans="1:10">
      <c r="A5343" s="33" t="s">
        <v>201</v>
      </c>
      <c r="B5343" s="34">
        <v>332.44</v>
      </c>
      <c r="C5343" s="35">
        <v>10866.2</v>
      </c>
      <c r="D5343" s="33" t="s">
        <v>270</v>
      </c>
      <c r="E5343" s="34">
        <v>332.55099999999999</v>
      </c>
      <c r="F5343" s="36">
        <v>0.11099999999999</v>
      </c>
      <c r="G5343" s="34">
        <v>0.11099999999999</v>
      </c>
      <c r="H5343" s="35">
        <v>646.4</v>
      </c>
      <c r="I5343" s="37">
        <f t="shared" si="83"/>
        <v>5.9487217242458257E-2</v>
      </c>
      <c r="J5343" s="33"/>
    </row>
    <row r="5344" spans="1:10">
      <c r="A5344" s="33" t="s">
        <v>201</v>
      </c>
      <c r="B5344" s="34">
        <v>332.44</v>
      </c>
      <c r="C5344" s="35">
        <v>10866.2</v>
      </c>
      <c r="D5344" s="33" t="s">
        <v>277</v>
      </c>
      <c r="E5344" s="34">
        <v>332.56400000000002</v>
      </c>
      <c r="F5344" s="36">
        <v>0.12400000000002399</v>
      </c>
      <c r="G5344" s="34">
        <v>0.12400000000002399</v>
      </c>
      <c r="H5344" s="35">
        <v>99.7</v>
      </c>
      <c r="I5344" s="37">
        <f t="shared" si="83"/>
        <v>9.1752406545066341E-3</v>
      </c>
      <c r="J5344" s="33"/>
    </row>
    <row r="5345" spans="1:10">
      <c r="A5345" s="33" t="s">
        <v>201</v>
      </c>
      <c r="B5345" s="34">
        <v>332.44</v>
      </c>
      <c r="C5345" s="35">
        <v>10866.2</v>
      </c>
      <c r="D5345" s="33" t="s">
        <v>275</v>
      </c>
      <c r="E5345" s="34">
        <v>332.56700000000001</v>
      </c>
      <c r="F5345" s="36">
        <v>0.12700000000000999</v>
      </c>
      <c r="G5345" s="34">
        <v>0.12700000000000999</v>
      </c>
      <c r="H5345" s="35">
        <v>48.9</v>
      </c>
      <c r="I5345" s="37">
        <f t="shared" si="83"/>
        <v>4.5001932598332439E-3</v>
      </c>
      <c r="J5345" s="33"/>
    </row>
    <row r="5346" spans="1:10">
      <c r="A5346" s="33" t="s">
        <v>201</v>
      </c>
      <c r="B5346" s="34">
        <v>332.44</v>
      </c>
      <c r="C5346" s="35">
        <v>10866.2</v>
      </c>
      <c r="D5346" s="33" t="s">
        <v>27</v>
      </c>
      <c r="E5346" s="34">
        <v>332.589</v>
      </c>
      <c r="F5346" s="36">
        <v>0.14900000000000099</v>
      </c>
      <c r="G5346" s="34">
        <v>0.14900000000000099</v>
      </c>
      <c r="H5346" s="35">
        <v>379.3</v>
      </c>
      <c r="I5346" s="37">
        <f t="shared" si="83"/>
        <v>3.4906407023614507E-2</v>
      </c>
      <c r="J5346" s="33" t="s">
        <v>116</v>
      </c>
    </row>
    <row r="5347" spans="1:10">
      <c r="A5347" s="33" t="s">
        <v>201</v>
      </c>
      <c r="B5347" s="34">
        <v>332.44</v>
      </c>
      <c r="C5347" s="35">
        <v>10866.2</v>
      </c>
      <c r="D5347" s="33" t="s">
        <v>25</v>
      </c>
      <c r="E5347" s="34">
        <v>332.608</v>
      </c>
      <c r="F5347" s="36">
        <v>0.16800000000000601</v>
      </c>
      <c r="G5347" s="34">
        <v>0.16800000000000601</v>
      </c>
      <c r="H5347" s="35">
        <v>95.4</v>
      </c>
      <c r="I5347" s="37">
        <f t="shared" si="83"/>
        <v>8.7795181388157766E-3</v>
      </c>
      <c r="J5347" s="33" t="s">
        <v>116</v>
      </c>
    </row>
    <row r="5348" spans="1:10">
      <c r="A5348" s="33" t="s">
        <v>201</v>
      </c>
      <c r="B5348" s="34">
        <v>332.44</v>
      </c>
      <c r="C5348" s="35">
        <v>10866.2</v>
      </c>
      <c r="D5348" s="33" t="s">
        <v>33</v>
      </c>
      <c r="E5348" s="34">
        <v>332.61900000000003</v>
      </c>
      <c r="F5348" s="36">
        <v>0.179000000000031</v>
      </c>
      <c r="G5348" s="34">
        <v>0.179000000000031</v>
      </c>
      <c r="H5348" s="35">
        <v>558.87</v>
      </c>
      <c r="I5348" s="37">
        <f t="shared" si="83"/>
        <v>5.1431963335848777E-2</v>
      </c>
      <c r="J5348" s="33" t="s">
        <v>116</v>
      </c>
    </row>
    <row r="5349" spans="1:10">
      <c r="A5349" s="33" t="s">
        <v>201</v>
      </c>
      <c r="B5349" s="34">
        <v>350.91399999999999</v>
      </c>
      <c r="C5349" s="35">
        <v>39039.199999999997</v>
      </c>
      <c r="D5349" s="33" t="s">
        <v>201</v>
      </c>
      <c r="E5349" s="34">
        <v>350.74400000000003</v>
      </c>
      <c r="F5349" s="36">
        <v>0.16999999999995899</v>
      </c>
      <c r="G5349" s="34">
        <v>0.16999999999995899</v>
      </c>
      <c r="H5349" s="35">
        <v>2501.4</v>
      </c>
      <c r="I5349" s="37">
        <f t="shared" si="83"/>
        <v>6.4074058894649483E-2</v>
      </c>
      <c r="J5349" s="33"/>
    </row>
    <row r="5350" spans="1:10">
      <c r="A5350" s="33" t="s">
        <v>201</v>
      </c>
      <c r="B5350" s="34">
        <v>350.91399999999999</v>
      </c>
      <c r="C5350" s="35">
        <v>39039.199999999997</v>
      </c>
      <c r="D5350" s="33" t="s">
        <v>268</v>
      </c>
      <c r="E5350" s="34">
        <v>350.75099999999998</v>
      </c>
      <c r="F5350" s="36">
        <v>0.163000000000011</v>
      </c>
      <c r="G5350" s="34">
        <v>0.163000000000011</v>
      </c>
      <c r="H5350" s="35">
        <v>1.3</v>
      </c>
      <c r="I5350" s="37">
        <f t="shared" si="83"/>
        <v>3.3299862702104552E-5</v>
      </c>
      <c r="J5350" s="33"/>
    </row>
    <row r="5351" spans="1:10">
      <c r="A5351" s="33" t="s">
        <v>201</v>
      </c>
      <c r="B5351" s="34">
        <v>350.91399999999999</v>
      </c>
      <c r="C5351" s="35">
        <v>39039.199999999997</v>
      </c>
      <c r="D5351" s="33" t="s">
        <v>278</v>
      </c>
      <c r="E5351" s="34">
        <v>350.75400000000002</v>
      </c>
      <c r="F5351" s="36">
        <v>0.159999999999968</v>
      </c>
      <c r="G5351" s="34">
        <v>0.159999999999968</v>
      </c>
      <c r="H5351" s="35">
        <v>63.4</v>
      </c>
      <c r="I5351" s="37">
        <f t="shared" si="83"/>
        <v>1.6240086887026374E-3</v>
      </c>
      <c r="J5351" s="33"/>
    </row>
    <row r="5352" spans="1:10">
      <c r="A5352" s="33" t="s">
        <v>201</v>
      </c>
      <c r="B5352" s="34">
        <v>350.91399999999999</v>
      </c>
      <c r="C5352" s="35">
        <v>39039.199999999997</v>
      </c>
      <c r="D5352" s="33" t="s">
        <v>236</v>
      </c>
      <c r="E5352" s="34">
        <v>350.76400000000001</v>
      </c>
      <c r="F5352" s="36">
        <v>0.14999999999997701</v>
      </c>
      <c r="G5352" s="34">
        <v>0.14999999999997701</v>
      </c>
      <c r="H5352" s="35">
        <v>418.4</v>
      </c>
      <c r="I5352" s="37">
        <f t="shared" si="83"/>
        <v>1.0717432734277343E-2</v>
      </c>
      <c r="J5352" s="33"/>
    </row>
    <row r="5353" spans="1:10">
      <c r="A5353" s="33" t="s">
        <v>201</v>
      </c>
      <c r="B5353" s="34">
        <v>350.91399999999999</v>
      </c>
      <c r="C5353" s="35">
        <v>39039.199999999997</v>
      </c>
      <c r="D5353" s="33" t="s">
        <v>165</v>
      </c>
      <c r="E5353" s="34">
        <v>350.76900000000001</v>
      </c>
      <c r="F5353" s="36">
        <v>0.144999999999982</v>
      </c>
      <c r="G5353" s="34">
        <v>0.144999999999982</v>
      </c>
      <c r="H5353" s="35">
        <v>26.6</v>
      </c>
      <c r="I5353" s="37">
        <f t="shared" si="83"/>
        <v>6.813664214430624E-4</v>
      </c>
      <c r="J5353" s="33"/>
    </row>
    <row r="5354" spans="1:10">
      <c r="A5354" s="33" t="s">
        <v>201</v>
      </c>
      <c r="B5354" s="34">
        <v>350.91399999999999</v>
      </c>
      <c r="C5354" s="35">
        <v>39039.199999999997</v>
      </c>
      <c r="D5354" s="33" t="s">
        <v>54</v>
      </c>
      <c r="E5354" s="34">
        <v>350.77800000000002</v>
      </c>
      <c r="F5354" s="36">
        <v>0.13599999999996701</v>
      </c>
      <c r="G5354" s="34">
        <v>0.13599999999996701</v>
      </c>
      <c r="H5354" s="35">
        <v>39.200000000000003</v>
      </c>
      <c r="I5354" s="37">
        <f t="shared" si="83"/>
        <v>1.0041189368634605E-3</v>
      </c>
      <c r="J5354" s="33"/>
    </row>
    <row r="5355" spans="1:10">
      <c r="A5355" s="33" t="s">
        <v>201</v>
      </c>
      <c r="B5355" s="34">
        <v>350.91399999999999</v>
      </c>
      <c r="C5355" s="35">
        <v>39039.199999999997</v>
      </c>
      <c r="D5355" s="33" t="s">
        <v>201</v>
      </c>
      <c r="E5355" s="34">
        <v>350.78300000000002</v>
      </c>
      <c r="F5355" s="36">
        <v>0.130999999999972</v>
      </c>
      <c r="G5355" s="34">
        <v>0.130999999999972</v>
      </c>
      <c r="H5355" s="35">
        <v>497.8</v>
      </c>
      <c r="I5355" s="37">
        <f t="shared" si="83"/>
        <v>1.2751285887005883E-2</v>
      </c>
      <c r="J5355" s="33"/>
    </row>
    <row r="5356" spans="1:10">
      <c r="A5356" s="33" t="s">
        <v>201</v>
      </c>
      <c r="B5356" s="34">
        <v>350.91399999999999</v>
      </c>
      <c r="C5356" s="35">
        <v>39039.199999999997</v>
      </c>
      <c r="D5356" s="33" t="s">
        <v>63</v>
      </c>
      <c r="E5356" s="34">
        <v>350.79300000000001</v>
      </c>
      <c r="F5356" s="36">
        <v>0.121</v>
      </c>
      <c r="G5356" s="34">
        <v>0.121</v>
      </c>
      <c r="H5356" s="35">
        <v>497.5</v>
      </c>
      <c r="I5356" s="37">
        <f t="shared" si="83"/>
        <v>1.2743601303305397E-2</v>
      </c>
      <c r="J5356" s="33" t="s">
        <v>116</v>
      </c>
    </row>
    <row r="5357" spans="1:10">
      <c r="A5357" s="33" t="s">
        <v>201</v>
      </c>
      <c r="B5357" s="34">
        <v>350.91399999999999</v>
      </c>
      <c r="C5357" s="35">
        <v>39039.199999999997</v>
      </c>
      <c r="D5357" s="33" t="s">
        <v>25</v>
      </c>
      <c r="E5357" s="34">
        <v>350.79399999999998</v>
      </c>
      <c r="F5357" s="36">
        <v>0.12000000000000501</v>
      </c>
      <c r="G5357" s="34">
        <v>0.12000000000000501</v>
      </c>
      <c r="H5357" s="35">
        <v>877.5</v>
      </c>
      <c r="I5357" s="37">
        <f t="shared" si="83"/>
        <v>2.2477407323920572E-2</v>
      </c>
      <c r="J5357" s="33" t="s">
        <v>116</v>
      </c>
    </row>
    <row r="5358" spans="1:10">
      <c r="A5358" s="33" t="s">
        <v>201</v>
      </c>
      <c r="B5358" s="34">
        <v>350.91399999999999</v>
      </c>
      <c r="C5358" s="35">
        <v>39039.199999999997</v>
      </c>
      <c r="D5358" s="33" t="s">
        <v>116</v>
      </c>
      <c r="E5358" s="34">
        <v>350.79599999999999</v>
      </c>
      <c r="F5358" s="36">
        <v>0.11799999999999999</v>
      </c>
      <c r="G5358" s="34">
        <v>0.11799999999999999</v>
      </c>
      <c r="H5358" s="35">
        <v>175.6</v>
      </c>
      <c r="I5358" s="37">
        <f t="shared" si="83"/>
        <v>4.4980429926842766E-3</v>
      </c>
      <c r="J5358" s="33" t="s">
        <v>116</v>
      </c>
    </row>
    <row r="5359" spans="1:10">
      <c r="A5359" s="33" t="s">
        <v>201</v>
      </c>
      <c r="B5359" s="34">
        <v>350.91399999999999</v>
      </c>
      <c r="C5359" s="35">
        <v>39039.199999999997</v>
      </c>
      <c r="D5359" s="33" t="s">
        <v>239</v>
      </c>
      <c r="E5359" s="34">
        <v>350.80799999999999</v>
      </c>
      <c r="F5359" s="36">
        <v>0.105999999999995</v>
      </c>
      <c r="G5359" s="34">
        <v>0.105999999999995</v>
      </c>
      <c r="H5359" s="35">
        <v>19.8</v>
      </c>
      <c r="I5359" s="37">
        <f t="shared" si="83"/>
        <v>5.0718252423205404E-4</v>
      </c>
      <c r="J5359" s="33"/>
    </row>
    <row r="5360" spans="1:10">
      <c r="A5360" s="33" t="s">
        <v>201</v>
      </c>
      <c r="B5360" s="34">
        <v>350.91399999999999</v>
      </c>
      <c r="C5360" s="35">
        <v>39039.199999999997</v>
      </c>
      <c r="D5360" s="33" t="s">
        <v>275</v>
      </c>
      <c r="E5360" s="34">
        <v>350.81099999999998</v>
      </c>
      <c r="F5360" s="36">
        <v>0.103000000000009</v>
      </c>
      <c r="G5360" s="34">
        <v>0.103000000000009</v>
      </c>
      <c r="H5360" s="35">
        <v>130.30000000000001</v>
      </c>
      <c r="I5360" s="37">
        <f t="shared" si="83"/>
        <v>3.3376708539109411E-3</v>
      </c>
      <c r="J5360" s="33"/>
    </row>
    <row r="5361" spans="1:10">
      <c r="A5361" s="33" t="s">
        <v>201</v>
      </c>
      <c r="B5361" s="34">
        <v>350.91399999999999</v>
      </c>
      <c r="C5361" s="35">
        <v>39039.199999999997</v>
      </c>
      <c r="D5361" s="33" t="s">
        <v>97</v>
      </c>
      <c r="E5361" s="34">
        <v>350.85199999999998</v>
      </c>
      <c r="F5361" s="36">
        <v>6.2000000000011803E-2</v>
      </c>
      <c r="G5361" s="34">
        <v>6.2000000000011803E-2</v>
      </c>
      <c r="H5361" s="35">
        <v>22</v>
      </c>
      <c r="I5361" s="37">
        <f t="shared" si="83"/>
        <v>5.635361380356155E-4</v>
      </c>
      <c r="J5361" s="33"/>
    </row>
    <row r="5362" spans="1:10">
      <c r="A5362" s="33" t="s">
        <v>201</v>
      </c>
      <c r="B5362" s="34">
        <v>350.91399999999999</v>
      </c>
      <c r="C5362" s="35">
        <v>39039.199999999997</v>
      </c>
      <c r="D5362" s="33" t="s">
        <v>25</v>
      </c>
      <c r="E5362" s="34">
        <v>350.87</v>
      </c>
      <c r="F5362" s="36">
        <v>4.3999999999982699E-2</v>
      </c>
      <c r="G5362" s="34">
        <v>4.3999999999982699E-2</v>
      </c>
      <c r="H5362" s="35">
        <v>446.1</v>
      </c>
      <c r="I5362" s="37">
        <f t="shared" si="83"/>
        <v>1.1426975962622186E-2</v>
      </c>
      <c r="J5362" s="33" t="s">
        <v>116</v>
      </c>
    </row>
    <row r="5363" spans="1:10">
      <c r="A5363" s="33" t="s">
        <v>201</v>
      </c>
      <c r="B5363" s="34">
        <v>350.91399999999999</v>
      </c>
      <c r="C5363" s="35">
        <v>39039.199999999997</v>
      </c>
      <c r="D5363" s="33" t="s">
        <v>274</v>
      </c>
      <c r="E5363" s="34">
        <v>350.87400000000002</v>
      </c>
      <c r="F5363" s="36">
        <v>3.9999999999963599E-2</v>
      </c>
      <c r="G5363" s="34">
        <v>3.9999999999963599E-2</v>
      </c>
      <c r="H5363" s="35">
        <v>81.900000000000006</v>
      </c>
      <c r="I5363" s="37">
        <f t="shared" si="83"/>
        <v>2.097891350232587E-3</v>
      </c>
      <c r="J5363" s="33"/>
    </row>
    <row r="5364" spans="1:10">
      <c r="A5364" s="33" t="s">
        <v>201</v>
      </c>
      <c r="B5364" s="34">
        <v>350.91399999999999</v>
      </c>
      <c r="C5364" s="35">
        <v>39039.199999999997</v>
      </c>
      <c r="D5364" s="33" t="s">
        <v>277</v>
      </c>
      <c r="E5364" s="34">
        <v>350.88400000000001</v>
      </c>
      <c r="F5364" s="36">
        <v>2.9999999999972701E-2</v>
      </c>
      <c r="G5364" s="34">
        <v>2.9999999999972701E-2</v>
      </c>
      <c r="H5364" s="35">
        <v>260</v>
      </c>
      <c r="I5364" s="37">
        <f t="shared" si="83"/>
        <v>6.6599725404209104E-3</v>
      </c>
      <c r="J5364" s="33"/>
    </row>
    <row r="5365" spans="1:10">
      <c r="A5365" s="33" t="s">
        <v>201</v>
      </c>
      <c r="B5365" s="34">
        <v>350.91399999999999</v>
      </c>
      <c r="C5365" s="35">
        <v>39039.199999999997</v>
      </c>
      <c r="D5365" s="33" t="s">
        <v>278</v>
      </c>
      <c r="E5365" s="34">
        <v>350.90199999999999</v>
      </c>
      <c r="F5365" s="36">
        <v>1.20000000000005E-2</v>
      </c>
      <c r="G5365" s="34">
        <v>1.20000000000005E-2</v>
      </c>
      <c r="H5365" s="35">
        <v>1139</v>
      </c>
      <c r="I5365" s="37">
        <f t="shared" si="83"/>
        <v>2.9175802782843912E-2</v>
      </c>
      <c r="J5365" s="33"/>
    </row>
    <row r="5366" spans="1:10">
      <c r="A5366" s="33" t="s">
        <v>201</v>
      </c>
      <c r="B5366" s="34">
        <v>350.91399999999999</v>
      </c>
      <c r="C5366" s="35">
        <v>39039.199999999997</v>
      </c>
      <c r="D5366" s="33" t="s">
        <v>276</v>
      </c>
      <c r="E5366" s="34">
        <v>350.904</v>
      </c>
      <c r="F5366" s="36">
        <v>9.9999999999909103E-3</v>
      </c>
      <c r="G5366" s="34">
        <v>9.9999999999909103E-3</v>
      </c>
      <c r="H5366" s="35">
        <v>0.3</v>
      </c>
      <c r="I5366" s="37">
        <f t="shared" si="83"/>
        <v>7.6845837004856656E-6</v>
      </c>
      <c r="J5366" s="33"/>
    </row>
    <row r="5367" spans="1:10">
      <c r="A5367" s="33" t="s">
        <v>201</v>
      </c>
      <c r="B5367" s="34">
        <v>350.91399999999999</v>
      </c>
      <c r="C5367" s="35">
        <v>39039.199999999997</v>
      </c>
      <c r="D5367" s="33" t="s">
        <v>271</v>
      </c>
      <c r="E5367" s="34">
        <v>350.90899999999999</v>
      </c>
      <c r="F5367" s="36">
        <v>4.9999999999954499E-3</v>
      </c>
      <c r="G5367" s="34">
        <v>4.9999999999954499E-3</v>
      </c>
      <c r="H5367" s="35">
        <v>133.80000000000001</v>
      </c>
      <c r="I5367" s="37">
        <f t="shared" si="83"/>
        <v>3.4273243304166075E-3</v>
      </c>
      <c r="J5367" s="33"/>
    </row>
    <row r="5368" spans="1:10">
      <c r="A5368" s="33" t="s">
        <v>201</v>
      </c>
      <c r="B5368" s="34">
        <v>350.91399999999999</v>
      </c>
      <c r="C5368" s="35">
        <v>39039.199999999997</v>
      </c>
      <c r="D5368" s="33" t="s">
        <v>97</v>
      </c>
      <c r="E5368" s="34">
        <v>350.91199999999998</v>
      </c>
      <c r="F5368" s="36">
        <v>2.0000000000095501E-3</v>
      </c>
      <c r="G5368" s="34">
        <v>2.0000000000095501E-3</v>
      </c>
      <c r="H5368" s="35">
        <v>0.7</v>
      </c>
      <c r="I5368" s="37">
        <f t="shared" si="83"/>
        <v>1.793069530113322E-5</v>
      </c>
      <c r="J5368" s="33"/>
    </row>
    <row r="5369" spans="1:10">
      <c r="A5369" s="33" t="s">
        <v>201</v>
      </c>
      <c r="B5369" s="34">
        <v>350.91399999999999</v>
      </c>
      <c r="C5369" s="35">
        <v>39039.199999999997</v>
      </c>
      <c r="D5369" s="33" t="s">
        <v>240</v>
      </c>
      <c r="E5369" s="34">
        <v>350.916</v>
      </c>
      <c r="F5369" s="36">
        <v>2.0000000000095501E-3</v>
      </c>
      <c r="G5369" s="34">
        <v>2.0000000000095501E-3</v>
      </c>
      <c r="H5369" s="35">
        <v>0.5</v>
      </c>
      <c r="I5369" s="37">
        <f t="shared" si="83"/>
        <v>1.2807639500809444E-5</v>
      </c>
      <c r="J5369" s="33"/>
    </row>
    <row r="5370" spans="1:10">
      <c r="A5370" s="33" t="s">
        <v>201</v>
      </c>
      <c r="B5370" s="34">
        <v>350.91399999999999</v>
      </c>
      <c r="C5370" s="35">
        <v>39039.199999999997</v>
      </c>
      <c r="D5370" s="33" t="s">
        <v>236</v>
      </c>
      <c r="E5370" s="34">
        <v>350.93200000000002</v>
      </c>
      <c r="F5370" s="36">
        <v>1.80000000000291E-2</v>
      </c>
      <c r="G5370" s="34">
        <v>1.80000000000291E-2</v>
      </c>
      <c r="H5370" s="35">
        <v>653.6</v>
      </c>
      <c r="I5370" s="37">
        <f t="shared" si="83"/>
        <v>1.6742146355458107E-2</v>
      </c>
      <c r="J5370" s="33"/>
    </row>
    <row r="5371" spans="1:10">
      <c r="A5371" s="33" t="s">
        <v>201</v>
      </c>
      <c r="B5371" s="34">
        <v>350.91399999999999</v>
      </c>
      <c r="C5371" s="35">
        <v>39039.199999999997</v>
      </c>
      <c r="D5371" s="33" t="s">
        <v>94</v>
      </c>
      <c r="E5371" s="34">
        <v>350.93700000000001</v>
      </c>
      <c r="F5371" s="36">
        <v>2.3E-2</v>
      </c>
      <c r="G5371" s="34">
        <v>2.3E-2</v>
      </c>
      <c r="H5371" s="35">
        <v>1077</v>
      </c>
      <c r="I5371" s="37">
        <f t="shared" si="83"/>
        <v>2.7587655484743543E-2</v>
      </c>
      <c r="J5371" s="33" t="s">
        <v>116</v>
      </c>
    </row>
    <row r="5372" spans="1:10">
      <c r="A5372" s="33" t="s">
        <v>201</v>
      </c>
      <c r="B5372" s="34">
        <v>350.91399999999999</v>
      </c>
      <c r="C5372" s="35">
        <v>39039.199999999997</v>
      </c>
      <c r="D5372" s="33" t="s">
        <v>277</v>
      </c>
      <c r="E5372" s="34">
        <v>350.96699999999998</v>
      </c>
      <c r="F5372" s="36">
        <v>5.2999999999997299E-2</v>
      </c>
      <c r="G5372" s="34">
        <v>5.2999999999997299E-2</v>
      </c>
      <c r="H5372" s="35">
        <v>401</v>
      </c>
      <c r="I5372" s="37">
        <f t="shared" si="83"/>
        <v>1.0271726879649173E-2</v>
      </c>
      <c r="J5372" s="33"/>
    </row>
    <row r="5373" spans="1:10">
      <c r="A5373" s="33" t="s">
        <v>201</v>
      </c>
      <c r="B5373" s="34">
        <v>350.91399999999999</v>
      </c>
      <c r="C5373" s="35">
        <v>39039.199999999997</v>
      </c>
      <c r="D5373" s="33" t="s">
        <v>268</v>
      </c>
      <c r="E5373" s="34">
        <v>350.97199999999998</v>
      </c>
      <c r="F5373" s="36">
        <v>5.7999999999992703E-2</v>
      </c>
      <c r="G5373" s="34">
        <v>5.7999999999992703E-2</v>
      </c>
      <c r="H5373" s="35">
        <v>48</v>
      </c>
      <c r="I5373" s="37">
        <f t="shared" si="83"/>
        <v>1.2295333920777066E-3</v>
      </c>
      <c r="J5373" s="33"/>
    </row>
    <row r="5374" spans="1:10">
      <c r="A5374" s="33" t="s">
        <v>201</v>
      </c>
      <c r="B5374" s="34">
        <v>350.91399999999999</v>
      </c>
      <c r="C5374" s="35">
        <v>39039.199999999997</v>
      </c>
      <c r="D5374" s="33" t="s">
        <v>54</v>
      </c>
      <c r="E5374" s="34">
        <v>350.98399999999998</v>
      </c>
      <c r="F5374" s="36">
        <v>6.9999999999993207E-2</v>
      </c>
      <c r="G5374" s="34">
        <v>6.9999999999993207E-2</v>
      </c>
      <c r="H5374" s="35">
        <v>1003</v>
      </c>
      <c r="I5374" s="37">
        <f t="shared" si="83"/>
        <v>2.5692124838623744E-2</v>
      </c>
      <c r="J5374" s="33"/>
    </row>
    <row r="5375" spans="1:10">
      <c r="A5375" s="33" t="s">
        <v>201</v>
      </c>
      <c r="B5375" s="34">
        <v>350.91399999999999</v>
      </c>
      <c r="C5375" s="35">
        <v>39039.199999999997</v>
      </c>
      <c r="D5375" s="33" t="s">
        <v>237</v>
      </c>
      <c r="E5375" s="34">
        <v>350.98399999999998</v>
      </c>
      <c r="F5375" s="36">
        <v>6.9999999999993207E-2</v>
      </c>
      <c r="G5375" s="34">
        <v>6.9999999999993207E-2</v>
      </c>
      <c r="H5375" s="35">
        <v>308.89999999999998</v>
      </c>
      <c r="I5375" s="37">
        <f t="shared" si="83"/>
        <v>7.9125596836000737E-3</v>
      </c>
      <c r="J5375" s="33"/>
    </row>
    <row r="5376" spans="1:10">
      <c r="A5376" s="33" t="s">
        <v>201</v>
      </c>
      <c r="B5376" s="34">
        <v>350.91399999999999</v>
      </c>
      <c r="C5376" s="35">
        <v>39039.199999999997</v>
      </c>
      <c r="D5376" s="33" t="s">
        <v>97</v>
      </c>
      <c r="E5376" s="34">
        <v>350.98599999999999</v>
      </c>
      <c r="F5376" s="36">
        <v>7.2000000000002701E-2</v>
      </c>
      <c r="G5376" s="34">
        <v>7.2000000000002701E-2</v>
      </c>
      <c r="H5376" s="35">
        <v>1.5</v>
      </c>
      <c r="I5376" s="37">
        <f t="shared" si="83"/>
        <v>3.842291850242833E-5</v>
      </c>
      <c r="J5376" s="33"/>
    </row>
    <row r="5377" spans="1:10">
      <c r="A5377" s="33" t="s">
        <v>201</v>
      </c>
      <c r="B5377" s="34">
        <v>350.91399999999999</v>
      </c>
      <c r="C5377" s="35">
        <v>39039.199999999997</v>
      </c>
      <c r="D5377" s="33" t="s">
        <v>25</v>
      </c>
      <c r="E5377" s="34">
        <v>350.99299999999999</v>
      </c>
      <c r="F5377" s="36">
        <v>7.9000000000007703E-2</v>
      </c>
      <c r="G5377" s="34">
        <v>7.9000000000007703E-2</v>
      </c>
      <c r="H5377" s="35">
        <v>142.5</v>
      </c>
      <c r="I5377" s="37">
        <f t="shared" si="83"/>
        <v>3.6501772577306915E-3</v>
      </c>
      <c r="J5377" s="33" t="s">
        <v>116</v>
      </c>
    </row>
    <row r="5378" spans="1:10">
      <c r="A5378" s="33" t="s">
        <v>201</v>
      </c>
      <c r="B5378" s="34">
        <v>350.91399999999999</v>
      </c>
      <c r="C5378" s="35">
        <v>39039.199999999997</v>
      </c>
      <c r="D5378" s="33" t="s">
        <v>240</v>
      </c>
      <c r="E5378" s="34">
        <v>350.99400000000003</v>
      </c>
      <c r="F5378" s="36">
        <v>8.00000000000409E-2</v>
      </c>
      <c r="G5378" s="34">
        <v>8.00000000000409E-2</v>
      </c>
      <c r="H5378" s="35">
        <v>3.3</v>
      </c>
      <c r="I5378" s="37">
        <f t="shared" ref="I5378:I5441" si="84">H5378/C5378</f>
        <v>8.4530420705342327E-5</v>
      </c>
      <c r="J5378" s="33"/>
    </row>
    <row r="5379" spans="1:10">
      <c r="A5379" s="33" t="s">
        <v>201</v>
      </c>
      <c r="B5379" s="34">
        <v>350.91399999999999</v>
      </c>
      <c r="C5379" s="35">
        <v>39039.199999999997</v>
      </c>
      <c r="D5379" s="33" t="s">
        <v>133</v>
      </c>
      <c r="E5379" s="34">
        <v>350.99900000000002</v>
      </c>
      <c r="F5379" s="36">
        <v>8.5000000000036394E-2</v>
      </c>
      <c r="G5379" s="34">
        <v>8.5000000000036394E-2</v>
      </c>
      <c r="H5379" s="35">
        <v>958.3</v>
      </c>
      <c r="I5379" s="37">
        <f t="shared" si="84"/>
        <v>2.454712186725138E-2</v>
      </c>
      <c r="J5379" s="33"/>
    </row>
    <row r="5380" spans="1:10">
      <c r="A5380" s="33" t="s">
        <v>201</v>
      </c>
      <c r="B5380" s="34">
        <v>350.91399999999999</v>
      </c>
      <c r="C5380" s="35">
        <v>39039.199999999997</v>
      </c>
      <c r="D5380" s="33" t="s">
        <v>274</v>
      </c>
      <c r="E5380" s="34">
        <v>351.00299999999999</v>
      </c>
      <c r="F5380" s="36">
        <v>8.8999999999998594E-2</v>
      </c>
      <c r="G5380" s="34">
        <v>8.8999999999998594E-2</v>
      </c>
      <c r="H5380" s="35">
        <v>25</v>
      </c>
      <c r="I5380" s="37">
        <f t="shared" si="84"/>
        <v>6.4038197504047217E-4</v>
      </c>
      <c r="J5380" s="33"/>
    </row>
    <row r="5381" spans="1:10">
      <c r="A5381" s="33" t="s">
        <v>201</v>
      </c>
      <c r="B5381" s="34">
        <v>350.91399999999999</v>
      </c>
      <c r="C5381" s="35">
        <v>39039.199999999997</v>
      </c>
      <c r="D5381" s="33" t="s">
        <v>201</v>
      </c>
      <c r="E5381" s="34">
        <v>351.01</v>
      </c>
      <c r="F5381" s="36">
        <v>9.6000000000003596E-2</v>
      </c>
      <c r="G5381" s="34">
        <v>9.6000000000003596E-2</v>
      </c>
      <c r="H5381" s="35">
        <v>2487.1999999999998</v>
      </c>
      <c r="I5381" s="37">
        <f t="shared" si="84"/>
        <v>6.3710321932826497E-2</v>
      </c>
      <c r="J5381" s="33"/>
    </row>
    <row r="5382" spans="1:10">
      <c r="A5382" s="33" t="s">
        <v>201</v>
      </c>
      <c r="B5382" s="34">
        <v>350.91399999999999</v>
      </c>
      <c r="C5382" s="35">
        <v>39039.199999999997</v>
      </c>
      <c r="D5382" s="33" t="s">
        <v>273</v>
      </c>
      <c r="E5382" s="34">
        <v>351.02699999999999</v>
      </c>
      <c r="F5382" s="36">
        <v>0.113</v>
      </c>
      <c r="G5382" s="34">
        <v>0.113</v>
      </c>
      <c r="H5382" s="35">
        <v>1806.4</v>
      </c>
      <c r="I5382" s="37">
        <f t="shared" si="84"/>
        <v>4.6271439988524364E-2</v>
      </c>
      <c r="J5382" s="33"/>
    </row>
    <row r="5383" spans="1:10">
      <c r="A5383" s="33" t="s">
        <v>201</v>
      </c>
      <c r="B5383" s="34">
        <v>350.91399999999999</v>
      </c>
      <c r="C5383" s="35">
        <v>39039.199999999997</v>
      </c>
      <c r="D5383" s="33" t="s">
        <v>165</v>
      </c>
      <c r="E5383" s="34">
        <v>351.03300000000002</v>
      </c>
      <c r="F5383" s="36">
        <v>0.119000000000028</v>
      </c>
      <c r="G5383" s="34">
        <v>0.119000000000028</v>
      </c>
      <c r="H5383" s="35">
        <v>1822.2</v>
      </c>
      <c r="I5383" s="37">
        <f t="shared" si="84"/>
        <v>4.6676161396749939E-2</v>
      </c>
      <c r="J5383" s="33"/>
    </row>
    <row r="5384" spans="1:10">
      <c r="A5384" s="33" t="s">
        <v>201</v>
      </c>
      <c r="B5384" s="34">
        <v>350.91399999999999</v>
      </c>
      <c r="C5384" s="35">
        <v>39039.199999999997</v>
      </c>
      <c r="D5384" s="33" t="s">
        <v>54</v>
      </c>
      <c r="E5384" s="34">
        <v>351.041</v>
      </c>
      <c r="F5384" s="36">
        <v>0.12700000000000999</v>
      </c>
      <c r="G5384" s="34">
        <v>0.12700000000000999</v>
      </c>
      <c r="H5384" s="35">
        <v>4227</v>
      </c>
      <c r="I5384" s="37">
        <f t="shared" si="84"/>
        <v>0.10827578433984304</v>
      </c>
      <c r="J5384" s="33"/>
    </row>
    <row r="5385" spans="1:10">
      <c r="A5385" s="33" t="s">
        <v>201</v>
      </c>
      <c r="B5385" s="34">
        <v>350.91399999999999</v>
      </c>
      <c r="C5385" s="35">
        <v>39039.199999999997</v>
      </c>
      <c r="D5385" s="33" t="s">
        <v>97</v>
      </c>
      <c r="E5385" s="34">
        <v>351.04399999999998</v>
      </c>
      <c r="F5385" s="36">
        <v>0.12999999999999601</v>
      </c>
      <c r="G5385" s="34">
        <v>0.12999999999999601</v>
      </c>
      <c r="H5385" s="35">
        <v>27</v>
      </c>
      <c r="I5385" s="37">
        <f t="shared" si="84"/>
        <v>6.9161253304370995E-4</v>
      </c>
      <c r="J5385" s="33"/>
    </row>
    <row r="5386" spans="1:10">
      <c r="A5386" s="33" t="s">
        <v>201</v>
      </c>
      <c r="B5386" s="34">
        <v>350.91399999999999</v>
      </c>
      <c r="C5386" s="35">
        <v>39039.199999999997</v>
      </c>
      <c r="D5386" s="33" t="s">
        <v>236</v>
      </c>
      <c r="E5386" s="34">
        <v>351.04500000000002</v>
      </c>
      <c r="F5386" s="36">
        <v>0.13100000000002901</v>
      </c>
      <c r="G5386" s="34">
        <v>0.13100000000002901</v>
      </c>
      <c r="H5386" s="35">
        <v>1951.2</v>
      </c>
      <c r="I5386" s="37">
        <f t="shared" si="84"/>
        <v>4.9980532387958777E-2</v>
      </c>
      <c r="J5386" s="33"/>
    </row>
    <row r="5387" spans="1:10">
      <c r="A5387" s="33" t="s">
        <v>201</v>
      </c>
      <c r="B5387" s="34">
        <v>350.91399999999999</v>
      </c>
      <c r="C5387" s="35">
        <v>39039.199999999997</v>
      </c>
      <c r="D5387" s="33" t="s">
        <v>239</v>
      </c>
      <c r="E5387" s="34">
        <v>351.05200000000002</v>
      </c>
      <c r="F5387" s="36">
        <v>0.13800000000003401</v>
      </c>
      <c r="G5387" s="34">
        <v>0.13800000000003401</v>
      </c>
      <c r="H5387" s="35">
        <v>20</v>
      </c>
      <c r="I5387" s="37">
        <f t="shared" si="84"/>
        <v>5.1230558003237771E-4</v>
      </c>
      <c r="J5387" s="33"/>
    </row>
    <row r="5388" spans="1:10">
      <c r="A5388" s="33" t="s">
        <v>201</v>
      </c>
      <c r="B5388" s="34">
        <v>350.91399999999999</v>
      </c>
      <c r="C5388" s="35">
        <v>39039.199999999997</v>
      </c>
      <c r="D5388" s="33" t="s">
        <v>25</v>
      </c>
      <c r="E5388" s="34">
        <v>351.06799999999998</v>
      </c>
      <c r="F5388" s="36">
        <v>0.153999999999996</v>
      </c>
      <c r="G5388" s="34">
        <v>0.153999999999996</v>
      </c>
      <c r="H5388" s="35">
        <v>279.3</v>
      </c>
      <c r="I5388" s="37">
        <f t="shared" si="84"/>
        <v>7.1543474251521558E-3</v>
      </c>
      <c r="J5388" s="33" t="s">
        <v>116</v>
      </c>
    </row>
    <row r="5389" spans="1:10">
      <c r="A5389" s="33" t="s">
        <v>201</v>
      </c>
      <c r="B5389" s="34">
        <v>356.17</v>
      </c>
      <c r="C5389" s="35">
        <v>8337</v>
      </c>
      <c r="D5389" s="33" t="s">
        <v>275</v>
      </c>
      <c r="E5389" s="34">
        <v>356.012</v>
      </c>
      <c r="F5389" s="36">
        <v>0.15800000000001599</v>
      </c>
      <c r="G5389" s="34">
        <v>0.15800000000001599</v>
      </c>
      <c r="H5389" s="35">
        <v>28</v>
      </c>
      <c r="I5389" s="37">
        <f t="shared" si="84"/>
        <v>3.3585222502099076E-3</v>
      </c>
      <c r="J5389" s="33"/>
    </row>
    <row r="5390" spans="1:10">
      <c r="A5390" s="33" t="s">
        <v>201</v>
      </c>
      <c r="B5390" s="34">
        <v>356.17</v>
      </c>
      <c r="C5390" s="35">
        <v>8337</v>
      </c>
      <c r="D5390" s="33" t="s">
        <v>33</v>
      </c>
      <c r="E5390" s="34">
        <v>356.01299999999998</v>
      </c>
      <c r="F5390" s="36">
        <v>0.157000000000039</v>
      </c>
      <c r="G5390" s="34">
        <v>0.157000000000039</v>
      </c>
      <c r="H5390" s="35">
        <v>358</v>
      </c>
      <c r="I5390" s="37">
        <f t="shared" si="84"/>
        <v>4.2941105913398107E-2</v>
      </c>
      <c r="J5390" s="33" t="s">
        <v>116</v>
      </c>
    </row>
    <row r="5391" spans="1:10">
      <c r="A5391" s="33" t="s">
        <v>201</v>
      </c>
      <c r="B5391" s="34">
        <v>356.17</v>
      </c>
      <c r="C5391" s="35">
        <v>8337</v>
      </c>
      <c r="D5391" s="33" t="s">
        <v>94</v>
      </c>
      <c r="E5391" s="34">
        <v>356.01499999999999</v>
      </c>
      <c r="F5391" s="36">
        <v>0.155</v>
      </c>
      <c r="G5391" s="34">
        <v>0.155</v>
      </c>
      <c r="H5391" s="35">
        <v>936</v>
      </c>
      <c r="I5391" s="37">
        <f t="shared" si="84"/>
        <v>0.11227060093558834</v>
      </c>
      <c r="J5391" s="33" t="s">
        <v>116</v>
      </c>
    </row>
    <row r="5392" spans="1:10">
      <c r="A5392" s="33" t="s">
        <v>201</v>
      </c>
      <c r="B5392" s="34">
        <v>356.17</v>
      </c>
      <c r="C5392" s="35">
        <v>8337</v>
      </c>
      <c r="D5392" s="33" t="s">
        <v>270</v>
      </c>
      <c r="E5392" s="34">
        <v>356.02800000000002</v>
      </c>
      <c r="F5392" s="36">
        <v>0.14199999999999599</v>
      </c>
      <c r="G5392" s="34">
        <v>0.14199999999999599</v>
      </c>
      <c r="H5392" s="35">
        <v>163.6</v>
      </c>
      <c r="I5392" s="37">
        <f t="shared" si="84"/>
        <v>1.9623365719083602E-2</v>
      </c>
      <c r="J5392" s="33"/>
    </row>
    <row r="5393" spans="1:10">
      <c r="A5393" s="33" t="s">
        <v>201</v>
      </c>
      <c r="B5393" s="34">
        <v>356.17</v>
      </c>
      <c r="C5393" s="35">
        <v>8337</v>
      </c>
      <c r="D5393" s="33" t="s">
        <v>54</v>
      </c>
      <c r="E5393" s="34">
        <v>356.03</v>
      </c>
      <c r="F5393" s="36">
        <v>0.14000000000004301</v>
      </c>
      <c r="G5393" s="34">
        <v>0.14000000000004301</v>
      </c>
      <c r="H5393" s="35">
        <v>2.4</v>
      </c>
      <c r="I5393" s="37">
        <f t="shared" si="84"/>
        <v>2.8787333573227777E-4</v>
      </c>
      <c r="J5393" s="33"/>
    </row>
    <row r="5394" spans="1:10">
      <c r="A5394" s="33" t="s">
        <v>201</v>
      </c>
      <c r="B5394" s="34">
        <v>356.17</v>
      </c>
      <c r="C5394" s="35">
        <v>8337</v>
      </c>
      <c r="D5394" s="33" t="s">
        <v>277</v>
      </c>
      <c r="E5394" s="34">
        <v>356.03100000000001</v>
      </c>
      <c r="F5394" s="36">
        <v>0.13900000000001</v>
      </c>
      <c r="G5394" s="34">
        <v>0.13900000000001</v>
      </c>
      <c r="H5394" s="35">
        <v>65.2</v>
      </c>
      <c r="I5394" s="37">
        <f t="shared" si="84"/>
        <v>7.8205589540602145E-3</v>
      </c>
      <c r="J5394" s="33"/>
    </row>
    <row r="5395" spans="1:10">
      <c r="A5395" s="33" t="s">
        <v>201</v>
      </c>
      <c r="B5395" s="34">
        <v>356.17</v>
      </c>
      <c r="C5395" s="35">
        <v>8337</v>
      </c>
      <c r="D5395" s="33" t="s">
        <v>201</v>
      </c>
      <c r="E5395" s="34">
        <v>356.03300000000002</v>
      </c>
      <c r="F5395" s="36">
        <v>0.13700000000000101</v>
      </c>
      <c r="G5395" s="34">
        <v>0.13700000000000101</v>
      </c>
      <c r="H5395" s="35">
        <v>781.4</v>
      </c>
      <c r="I5395" s="37">
        <f t="shared" si="84"/>
        <v>9.3726760225500777E-2</v>
      </c>
      <c r="J5395" s="33"/>
    </row>
    <row r="5396" spans="1:10">
      <c r="A5396" s="33" t="s">
        <v>201</v>
      </c>
      <c r="B5396" s="34">
        <v>356.17</v>
      </c>
      <c r="C5396" s="35">
        <v>8337</v>
      </c>
      <c r="D5396" s="33" t="s">
        <v>239</v>
      </c>
      <c r="E5396" s="34">
        <v>356.03500000000003</v>
      </c>
      <c r="F5396" s="36">
        <v>0.13499999999999099</v>
      </c>
      <c r="G5396" s="34">
        <v>0.13499999999999099</v>
      </c>
      <c r="H5396" s="35">
        <v>1.2</v>
      </c>
      <c r="I5396" s="37">
        <f t="shared" si="84"/>
        <v>1.4393666786613888E-4</v>
      </c>
      <c r="J5396" s="33"/>
    </row>
    <row r="5397" spans="1:10">
      <c r="A5397" s="33" t="s">
        <v>201</v>
      </c>
      <c r="B5397" s="34">
        <v>356.17</v>
      </c>
      <c r="C5397" s="35">
        <v>8337</v>
      </c>
      <c r="D5397" s="33" t="s">
        <v>278</v>
      </c>
      <c r="E5397" s="34">
        <v>356.05900000000003</v>
      </c>
      <c r="F5397" s="36">
        <v>0.11099999999999</v>
      </c>
      <c r="G5397" s="34">
        <v>0.11099999999999</v>
      </c>
      <c r="H5397" s="35">
        <v>224.2</v>
      </c>
      <c r="I5397" s="37">
        <f t="shared" si="84"/>
        <v>2.6892167446323615E-2</v>
      </c>
      <c r="J5397" s="33"/>
    </row>
    <row r="5398" spans="1:10">
      <c r="A5398" s="33" t="s">
        <v>201</v>
      </c>
      <c r="B5398" s="34">
        <v>356.17</v>
      </c>
      <c r="C5398" s="35">
        <v>8337</v>
      </c>
      <c r="D5398" s="33" t="s">
        <v>63</v>
      </c>
      <c r="E5398" s="34">
        <v>356.07</v>
      </c>
      <c r="F5398" s="36">
        <v>0.1</v>
      </c>
      <c r="G5398" s="34">
        <v>0.1</v>
      </c>
      <c r="H5398" s="35">
        <v>614.79999999999995</v>
      </c>
      <c r="I5398" s="37">
        <f t="shared" si="84"/>
        <v>7.3743552836751824E-2</v>
      </c>
      <c r="J5398" s="33" t="s">
        <v>116</v>
      </c>
    </row>
    <row r="5399" spans="1:10">
      <c r="A5399" s="33" t="s">
        <v>201</v>
      </c>
      <c r="B5399" s="34">
        <v>356.17</v>
      </c>
      <c r="C5399" s="35">
        <v>8337</v>
      </c>
      <c r="D5399" s="33" t="s">
        <v>27</v>
      </c>
      <c r="E5399" s="34">
        <v>356.072</v>
      </c>
      <c r="F5399" s="36">
        <v>9.8000000000013202E-2</v>
      </c>
      <c r="G5399" s="34">
        <v>9.8000000000013202E-2</v>
      </c>
      <c r="H5399" s="35">
        <v>547.6</v>
      </c>
      <c r="I5399" s="37">
        <f t="shared" si="84"/>
        <v>6.568309943624806E-2</v>
      </c>
      <c r="J5399" s="33" t="s">
        <v>116</v>
      </c>
    </row>
    <row r="5400" spans="1:10">
      <c r="A5400" s="33" t="s">
        <v>201</v>
      </c>
      <c r="B5400" s="34">
        <v>356.17</v>
      </c>
      <c r="C5400" s="35">
        <v>8337</v>
      </c>
      <c r="D5400" s="33" t="s">
        <v>25</v>
      </c>
      <c r="E5400" s="34">
        <v>356.08</v>
      </c>
      <c r="F5400" s="36">
        <v>9.0000000000031805E-2</v>
      </c>
      <c r="G5400" s="34">
        <v>9.0000000000031805E-2</v>
      </c>
      <c r="H5400" s="35">
        <v>2297</v>
      </c>
      <c r="I5400" s="37">
        <f t="shared" si="84"/>
        <v>0.27551877174043421</v>
      </c>
      <c r="J5400" s="33" t="s">
        <v>116</v>
      </c>
    </row>
    <row r="5401" spans="1:10">
      <c r="A5401" s="33" t="s">
        <v>201</v>
      </c>
      <c r="B5401" s="34">
        <v>356.17</v>
      </c>
      <c r="C5401" s="35">
        <v>8337</v>
      </c>
      <c r="D5401" s="33" t="s">
        <v>284</v>
      </c>
      <c r="E5401" s="34">
        <v>356.08600000000001</v>
      </c>
      <c r="F5401" s="36">
        <v>8.4000000000003197E-2</v>
      </c>
      <c r="G5401" s="34">
        <v>8.4000000000003197E-2</v>
      </c>
      <c r="H5401" s="35">
        <v>6.2</v>
      </c>
      <c r="I5401" s="37">
        <f t="shared" si="84"/>
        <v>7.4367278397505102E-4</v>
      </c>
      <c r="J5401" s="33"/>
    </row>
    <row r="5402" spans="1:10">
      <c r="A5402" s="33" t="s">
        <v>201</v>
      </c>
      <c r="B5402" s="34">
        <v>356.17</v>
      </c>
      <c r="C5402" s="35">
        <v>8337</v>
      </c>
      <c r="D5402" s="33" t="s">
        <v>54</v>
      </c>
      <c r="E5402" s="34">
        <v>356.089</v>
      </c>
      <c r="F5402" s="36">
        <v>8.1000000000017294E-2</v>
      </c>
      <c r="G5402" s="34">
        <v>8.1000000000017294E-2</v>
      </c>
      <c r="H5402" s="35">
        <v>1139.3</v>
      </c>
      <c r="I5402" s="37">
        <f t="shared" si="84"/>
        <v>0.1366558714165767</v>
      </c>
      <c r="J5402" s="33"/>
    </row>
    <row r="5403" spans="1:10">
      <c r="A5403" s="33" t="s">
        <v>201</v>
      </c>
      <c r="B5403" s="34">
        <v>356.17</v>
      </c>
      <c r="C5403" s="35">
        <v>8337</v>
      </c>
      <c r="D5403" s="33" t="s">
        <v>296</v>
      </c>
      <c r="E5403" s="34">
        <v>356.10599999999999</v>
      </c>
      <c r="F5403" s="36">
        <v>6.4000000000021401E-2</v>
      </c>
      <c r="G5403" s="34">
        <v>6.4000000000021401E-2</v>
      </c>
      <c r="H5403" s="35">
        <v>0.2</v>
      </c>
      <c r="I5403" s="37">
        <f t="shared" si="84"/>
        <v>2.3989444644356484E-5</v>
      </c>
      <c r="J5403" s="33"/>
    </row>
    <row r="5404" spans="1:10">
      <c r="A5404" s="33" t="s">
        <v>201</v>
      </c>
      <c r="B5404" s="34">
        <v>356.17</v>
      </c>
      <c r="C5404" s="35">
        <v>8337</v>
      </c>
      <c r="D5404" s="33" t="s">
        <v>25</v>
      </c>
      <c r="E5404" s="34">
        <v>356.154</v>
      </c>
      <c r="F5404" s="36">
        <v>1.6000000000019599E-2</v>
      </c>
      <c r="G5404" s="34">
        <v>1.6000000000019599E-2</v>
      </c>
      <c r="H5404" s="35">
        <v>98.9</v>
      </c>
      <c r="I5404" s="37">
        <f t="shared" si="84"/>
        <v>1.1862780376634281E-2</v>
      </c>
      <c r="J5404" s="33" t="s">
        <v>116</v>
      </c>
    </row>
    <row r="5405" spans="1:10">
      <c r="A5405" s="33" t="s">
        <v>201</v>
      </c>
      <c r="B5405" s="34">
        <v>356.17</v>
      </c>
      <c r="C5405" s="35">
        <v>8337</v>
      </c>
      <c r="D5405" s="33" t="s">
        <v>270</v>
      </c>
      <c r="E5405" s="34">
        <v>356.15699999999998</v>
      </c>
      <c r="F5405" s="36">
        <v>1.30000000000337E-2</v>
      </c>
      <c r="G5405" s="34">
        <v>1.30000000000337E-2</v>
      </c>
      <c r="H5405" s="35">
        <v>343.6</v>
      </c>
      <c r="I5405" s="37">
        <f t="shared" si="84"/>
        <v>4.1213865899004443E-2</v>
      </c>
      <c r="J5405" s="33"/>
    </row>
    <row r="5406" spans="1:10">
      <c r="A5406" s="33" t="s">
        <v>201</v>
      </c>
      <c r="B5406" s="34">
        <v>356.17</v>
      </c>
      <c r="C5406" s="35">
        <v>8337</v>
      </c>
      <c r="D5406" s="33" t="s">
        <v>237</v>
      </c>
      <c r="E5406" s="34">
        <v>356.15800000000002</v>
      </c>
      <c r="F5406" s="36">
        <v>1.20000000000005E-2</v>
      </c>
      <c r="G5406" s="34">
        <v>1.20000000000005E-2</v>
      </c>
      <c r="H5406" s="35">
        <v>111.7</v>
      </c>
      <c r="I5406" s="37">
        <f t="shared" si="84"/>
        <v>1.3398104833873097E-2</v>
      </c>
      <c r="J5406" s="33"/>
    </row>
    <row r="5407" spans="1:10">
      <c r="A5407" s="33" t="s">
        <v>201</v>
      </c>
      <c r="B5407" s="34">
        <v>356.17</v>
      </c>
      <c r="C5407" s="35">
        <v>8337</v>
      </c>
      <c r="D5407" s="33" t="s">
        <v>269</v>
      </c>
      <c r="E5407" s="34">
        <v>356.166</v>
      </c>
      <c r="F5407" s="36">
        <v>4.0000000000191003E-3</v>
      </c>
      <c r="G5407" s="34">
        <v>4.0000000000191003E-3</v>
      </c>
      <c r="H5407" s="35">
        <v>6066.9</v>
      </c>
      <c r="I5407" s="37">
        <f t="shared" si="84"/>
        <v>0.72770780856423167</v>
      </c>
      <c r="J5407" s="33"/>
    </row>
    <row r="5408" spans="1:10">
      <c r="A5408" s="33" t="s">
        <v>201</v>
      </c>
      <c r="B5408" s="34">
        <v>356.17</v>
      </c>
      <c r="C5408" s="35">
        <v>8337</v>
      </c>
      <c r="D5408" s="33" t="s">
        <v>165</v>
      </c>
      <c r="E5408" s="34">
        <v>356.17500000000001</v>
      </c>
      <c r="F5408" s="36">
        <v>4.9999999999954499E-3</v>
      </c>
      <c r="G5408" s="34">
        <v>4.9999999999954499E-3</v>
      </c>
      <c r="H5408" s="35">
        <v>12.8</v>
      </c>
      <c r="I5408" s="37">
        <f t="shared" si="84"/>
        <v>1.535324457238815E-3</v>
      </c>
      <c r="J5408" s="33"/>
    </row>
    <row r="5409" spans="1:10">
      <c r="A5409" s="33" t="s">
        <v>201</v>
      </c>
      <c r="B5409" s="34">
        <v>356.17</v>
      </c>
      <c r="C5409" s="35">
        <v>8337</v>
      </c>
      <c r="D5409" s="33" t="s">
        <v>277</v>
      </c>
      <c r="E5409" s="34">
        <v>356.18</v>
      </c>
      <c r="F5409" s="36">
        <v>9.9999999999909103E-3</v>
      </c>
      <c r="G5409" s="34">
        <v>9.9999999999909103E-3</v>
      </c>
      <c r="H5409" s="35">
        <v>151.19999999999999</v>
      </c>
      <c r="I5409" s="37">
        <f t="shared" si="84"/>
        <v>1.8136020151133501E-2</v>
      </c>
      <c r="J5409" s="33"/>
    </row>
    <row r="5410" spans="1:10">
      <c r="A5410" s="33" t="s">
        <v>201</v>
      </c>
      <c r="B5410" s="34">
        <v>356.17</v>
      </c>
      <c r="C5410" s="35">
        <v>8337</v>
      </c>
      <c r="D5410" s="33" t="s">
        <v>237</v>
      </c>
      <c r="E5410" s="34">
        <v>356.18900000000002</v>
      </c>
      <c r="F5410" s="36">
        <v>1.9000000000005499E-2</v>
      </c>
      <c r="G5410" s="34">
        <v>1.9000000000005499E-2</v>
      </c>
      <c r="H5410" s="35">
        <v>55.6</v>
      </c>
      <c r="I5410" s="37">
        <f t="shared" si="84"/>
        <v>6.6690656111311024E-3</v>
      </c>
      <c r="J5410" s="33"/>
    </row>
    <row r="5411" spans="1:10">
      <c r="A5411" s="33" t="s">
        <v>201</v>
      </c>
      <c r="B5411" s="34">
        <v>356.17</v>
      </c>
      <c r="C5411" s="35">
        <v>8337</v>
      </c>
      <c r="D5411" s="33" t="s">
        <v>54</v>
      </c>
      <c r="E5411" s="34">
        <v>356.209</v>
      </c>
      <c r="F5411" s="36">
        <v>3.8999999999987302E-2</v>
      </c>
      <c r="G5411" s="34">
        <v>3.8999999999987302E-2</v>
      </c>
      <c r="H5411" s="35">
        <v>74</v>
      </c>
      <c r="I5411" s="37">
        <f t="shared" si="84"/>
        <v>8.8760945184118995E-3</v>
      </c>
      <c r="J5411" s="33"/>
    </row>
    <row r="5412" spans="1:10">
      <c r="A5412" s="33" t="s">
        <v>201</v>
      </c>
      <c r="B5412" s="34">
        <v>356.17</v>
      </c>
      <c r="C5412" s="35">
        <v>8337</v>
      </c>
      <c r="D5412" s="33" t="s">
        <v>25</v>
      </c>
      <c r="E5412" s="34">
        <v>356.21</v>
      </c>
      <c r="F5412" s="36">
        <v>3.9999999999963599E-2</v>
      </c>
      <c r="G5412" s="34">
        <v>3.9999999999963599E-2</v>
      </c>
      <c r="H5412" s="35">
        <v>114.9</v>
      </c>
      <c r="I5412" s="37">
        <f t="shared" si="84"/>
        <v>1.37819359481828E-2</v>
      </c>
      <c r="J5412" s="33" t="s">
        <v>116</v>
      </c>
    </row>
    <row r="5413" spans="1:10">
      <c r="A5413" s="33" t="s">
        <v>201</v>
      </c>
      <c r="B5413" s="34">
        <v>356.17</v>
      </c>
      <c r="C5413" s="35">
        <v>8337</v>
      </c>
      <c r="D5413" s="33" t="s">
        <v>275</v>
      </c>
      <c r="E5413" s="34">
        <v>356.21</v>
      </c>
      <c r="F5413" s="36">
        <v>3.9999999999963599E-2</v>
      </c>
      <c r="G5413" s="34">
        <v>3.9999999999963599E-2</v>
      </c>
      <c r="H5413" s="35">
        <v>3.3</v>
      </c>
      <c r="I5413" s="37">
        <f t="shared" si="84"/>
        <v>3.9582583663188198E-4</v>
      </c>
      <c r="J5413" s="33"/>
    </row>
    <row r="5414" spans="1:10">
      <c r="A5414" s="33" t="s">
        <v>201</v>
      </c>
      <c r="B5414" s="34">
        <v>356.17</v>
      </c>
      <c r="C5414" s="35">
        <v>8337</v>
      </c>
      <c r="D5414" s="33" t="s">
        <v>239</v>
      </c>
      <c r="E5414" s="34">
        <v>356.22899999999998</v>
      </c>
      <c r="F5414" s="36">
        <v>5.8999999999969098E-2</v>
      </c>
      <c r="G5414" s="34">
        <v>5.8999999999969098E-2</v>
      </c>
      <c r="H5414" s="35">
        <v>27</v>
      </c>
      <c r="I5414" s="37">
        <f t="shared" si="84"/>
        <v>3.2385750269881253E-3</v>
      </c>
      <c r="J5414" s="33"/>
    </row>
    <row r="5415" spans="1:10">
      <c r="A5415" s="33" t="s">
        <v>201</v>
      </c>
      <c r="B5415" s="34">
        <v>356.17</v>
      </c>
      <c r="C5415" s="35">
        <v>8337</v>
      </c>
      <c r="D5415" s="33" t="s">
        <v>284</v>
      </c>
      <c r="E5415" s="34">
        <v>356.23399999999998</v>
      </c>
      <c r="F5415" s="36">
        <v>6.3999999999964502E-2</v>
      </c>
      <c r="G5415" s="34">
        <v>6.3999999999964502E-2</v>
      </c>
      <c r="H5415" s="35">
        <v>0.5</v>
      </c>
      <c r="I5415" s="37">
        <f t="shared" si="84"/>
        <v>5.9973611610891208E-5</v>
      </c>
      <c r="J5415" s="33"/>
    </row>
    <row r="5416" spans="1:10">
      <c r="A5416" s="33" t="s">
        <v>201</v>
      </c>
      <c r="B5416" s="34">
        <v>356.17</v>
      </c>
      <c r="C5416" s="35">
        <v>8337</v>
      </c>
      <c r="D5416" s="33" t="s">
        <v>274</v>
      </c>
      <c r="E5416" s="34">
        <v>356.255</v>
      </c>
      <c r="F5416" s="36">
        <v>8.4999999999979495E-2</v>
      </c>
      <c r="G5416" s="34">
        <v>8.4999999999979495E-2</v>
      </c>
      <c r="H5416" s="35">
        <v>28</v>
      </c>
      <c r="I5416" s="37">
        <f t="shared" si="84"/>
        <v>3.3585222502099076E-3</v>
      </c>
      <c r="J5416" s="33"/>
    </row>
    <row r="5417" spans="1:10">
      <c r="A5417" s="33" t="s">
        <v>201</v>
      </c>
      <c r="B5417" s="34">
        <v>356.17</v>
      </c>
      <c r="C5417" s="35">
        <v>8337</v>
      </c>
      <c r="D5417" s="33" t="s">
        <v>201</v>
      </c>
      <c r="E5417" s="34">
        <v>356.29</v>
      </c>
      <c r="F5417" s="36">
        <v>0.12000000000000501</v>
      </c>
      <c r="G5417" s="34">
        <v>0.12000000000000501</v>
      </c>
      <c r="H5417" s="35">
        <v>1382.1</v>
      </c>
      <c r="I5417" s="37">
        <f t="shared" si="84"/>
        <v>0.16577905721482547</v>
      </c>
      <c r="J5417" s="33"/>
    </row>
    <row r="5418" spans="1:10">
      <c r="A5418" s="33" t="s">
        <v>201</v>
      </c>
      <c r="B5418" s="34">
        <v>356.17</v>
      </c>
      <c r="C5418" s="35">
        <v>8337</v>
      </c>
      <c r="D5418" s="33" t="s">
        <v>54</v>
      </c>
      <c r="E5418" s="34">
        <v>356.291</v>
      </c>
      <c r="F5418" s="36">
        <v>0.120999999999981</v>
      </c>
      <c r="G5418" s="34">
        <v>0.120999999999981</v>
      </c>
      <c r="H5418" s="35">
        <v>74</v>
      </c>
      <c r="I5418" s="37">
        <f t="shared" si="84"/>
        <v>8.8760945184118995E-3</v>
      </c>
      <c r="J5418" s="33"/>
    </row>
    <row r="5419" spans="1:10">
      <c r="A5419" s="33" t="s">
        <v>201</v>
      </c>
      <c r="B5419" s="34">
        <v>356.17</v>
      </c>
      <c r="C5419" s="35">
        <v>8337</v>
      </c>
      <c r="D5419" s="33" t="s">
        <v>184</v>
      </c>
      <c r="E5419" s="34">
        <v>356.30399999999997</v>
      </c>
      <c r="F5419" s="36">
        <v>0.13399999999995801</v>
      </c>
      <c r="G5419" s="34">
        <v>0.13399999999995801</v>
      </c>
      <c r="H5419" s="35">
        <v>10.4</v>
      </c>
      <c r="I5419" s="37">
        <f t="shared" si="84"/>
        <v>1.2474511215065372E-3</v>
      </c>
      <c r="J5419" s="33"/>
    </row>
    <row r="5420" spans="1:10">
      <c r="A5420" s="33" t="s">
        <v>201</v>
      </c>
      <c r="B5420" s="34">
        <v>356.17</v>
      </c>
      <c r="C5420" s="35">
        <v>8337</v>
      </c>
      <c r="D5420" s="33" t="s">
        <v>275</v>
      </c>
      <c r="E5420" s="34">
        <v>356.31400000000002</v>
      </c>
      <c r="F5420" s="36">
        <v>0.14400000000000601</v>
      </c>
      <c r="G5420" s="34">
        <v>0.14400000000000601</v>
      </c>
      <c r="H5420" s="35">
        <v>32.799999999999997</v>
      </c>
      <c r="I5420" s="37">
        <f t="shared" si="84"/>
        <v>3.9342689216744628E-3</v>
      </c>
      <c r="J5420" s="33"/>
    </row>
    <row r="5421" spans="1:10">
      <c r="A5421" s="33" t="s">
        <v>201</v>
      </c>
      <c r="B5421" s="34">
        <v>356.17</v>
      </c>
      <c r="C5421" s="35">
        <v>8337</v>
      </c>
      <c r="D5421" s="33" t="s">
        <v>33</v>
      </c>
      <c r="E5421" s="34">
        <v>356.315</v>
      </c>
      <c r="F5421" s="36">
        <v>0.144999999999982</v>
      </c>
      <c r="G5421" s="34">
        <v>0.144999999999982</v>
      </c>
      <c r="H5421" s="35">
        <v>3327.8</v>
      </c>
      <c r="I5421" s="37">
        <f t="shared" si="84"/>
        <v>0.39916036943744754</v>
      </c>
      <c r="J5421" s="33" t="s">
        <v>116</v>
      </c>
    </row>
    <row r="5422" spans="1:10">
      <c r="A5422" s="33" t="s">
        <v>201</v>
      </c>
      <c r="B5422" s="34">
        <v>356.17</v>
      </c>
      <c r="C5422" s="35">
        <v>8337</v>
      </c>
      <c r="D5422" s="33" t="s">
        <v>287</v>
      </c>
      <c r="E5422" s="34">
        <v>356.32900000000001</v>
      </c>
      <c r="F5422" s="36">
        <v>0.15899999999999201</v>
      </c>
      <c r="G5422" s="34">
        <v>0.15899999999999201</v>
      </c>
      <c r="H5422" s="35">
        <v>3080</v>
      </c>
      <c r="I5422" s="37">
        <f t="shared" si="84"/>
        <v>0.36943744752308982</v>
      </c>
      <c r="J5422" s="33"/>
    </row>
    <row r="5423" spans="1:10">
      <c r="A5423" s="33" t="s">
        <v>201</v>
      </c>
      <c r="B5423" s="34">
        <v>356.17</v>
      </c>
      <c r="C5423" s="35">
        <v>8337</v>
      </c>
      <c r="D5423" s="33" t="s">
        <v>273</v>
      </c>
      <c r="E5423" s="34">
        <v>356.36200000000002</v>
      </c>
      <c r="F5423" s="36">
        <v>0.192000000000007</v>
      </c>
      <c r="G5423" s="34">
        <v>0.192000000000007</v>
      </c>
      <c r="H5423" s="35">
        <v>179.4</v>
      </c>
      <c r="I5423" s="37">
        <f t="shared" si="84"/>
        <v>2.1518531845987766E-2</v>
      </c>
      <c r="J5423" s="33"/>
    </row>
    <row r="5424" spans="1:10">
      <c r="A5424" s="33" t="s">
        <v>201</v>
      </c>
      <c r="B5424" s="34">
        <v>356.17</v>
      </c>
      <c r="C5424" s="35">
        <v>8337</v>
      </c>
      <c r="D5424" s="33" t="s">
        <v>277</v>
      </c>
      <c r="E5424" s="34">
        <v>356.36599999999999</v>
      </c>
      <c r="F5424" s="36">
        <v>0.19599999999997</v>
      </c>
      <c r="G5424" s="34">
        <v>0.19599999999997</v>
      </c>
      <c r="H5424" s="35">
        <v>64.5</v>
      </c>
      <c r="I5424" s="37">
        <f t="shared" si="84"/>
        <v>7.7365958978049655E-3</v>
      </c>
      <c r="J5424" s="33"/>
    </row>
    <row r="5425" spans="1:10">
      <c r="A5425" s="33" t="s">
        <v>201</v>
      </c>
      <c r="B5425" s="34">
        <v>356.17</v>
      </c>
      <c r="C5425" s="35">
        <v>8337</v>
      </c>
      <c r="D5425" s="33" t="s">
        <v>33</v>
      </c>
      <c r="E5425" s="34">
        <v>356.36900000000003</v>
      </c>
      <c r="F5425" s="36">
        <v>0.199000000000012</v>
      </c>
      <c r="G5425" s="34">
        <v>0.199000000000012</v>
      </c>
      <c r="H5425" s="35">
        <v>1171.3</v>
      </c>
      <c r="I5425" s="37">
        <f t="shared" si="84"/>
        <v>0.14049418255967375</v>
      </c>
      <c r="J5425" s="33" t="s">
        <v>116</v>
      </c>
    </row>
    <row r="5426" spans="1:10">
      <c r="A5426" s="33" t="s">
        <v>201</v>
      </c>
      <c r="B5426" s="34">
        <v>356.17</v>
      </c>
      <c r="C5426" s="35">
        <v>8337</v>
      </c>
      <c r="D5426" s="33" t="s">
        <v>275</v>
      </c>
      <c r="E5426" s="34">
        <v>356.375</v>
      </c>
      <c r="F5426" s="36">
        <v>0.204999999999984</v>
      </c>
      <c r="G5426" s="34">
        <v>0.204999999999984</v>
      </c>
      <c r="H5426" s="35">
        <v>44</v>
      </c>
      <c r="I5426" s="37">
        <f t="shared" si="84"/>
        <v>5.2776778217584266E-3</v>
      </c>
      <c r="J5426" s="33"/>
    </row>
    <row r="5427" spans="1:10">
      <c r="A5427" s="33" t="s">
        <v>201</v>
      </c>
      <c r="B5427" s="34">
        <v>356.17</v>
      </c>
      <c r="C5427" s="35">
        <v>8337</v>
      </c>
      <c r="D5427" s="33" t="s">
        <v>25</v>
      </c>
      <c r="E5427" s="34">
        <v>356.38200000000001</v>
      </c>
      <c r="F5427" s="36">
        <v>0.211999999999989</v>
      </c>
      <c r="G5427" s="34">
        <v>0.211999999999989</v>
      </c>
      <c r="H5427" s="35">
        <v>131.77000000000001</v>
      </c>
      <c r="I5427" s="37">
        <f t="shared" si="84"/>
        <v>1.5805445603934268E-2</v>
      </c>
      <c r="J5427" s="33" t="s">
        <v>116</v>
      </c>
    </row>
    <row r="5428" spans="1:10">
      <c r="A5428" s="33" t="s">
        <v>201</v>
      </c>
      <c r="B5428" s="34">
        <v>356.851</v>
      </c>
      <c r="C5428" s="35">
        <v>9509.2999999999993</v>
      </c>
      <c r="D5428" s="33" t="s">
        <v>36</v>
      </c>
      <c r="E5428" s="34">
        <v>356</v>
      </c>
      <c r="F5428" s="36">
        <v>0.85099999999999998</v>
      </c>
      <c r="G5428" s="34">
        <v>0.85099999999999998</v>
      </c>
      <c r="H5428" s="35">
        <v>306.3</v>
      </c>
      <c r="I5428" s="37">
        <f t="shared" si="84"/>
        <v>3.2210572807672491E-2</v>
      </c>
      <c r="J5428" s="33" t="s">
        <v>116</v>
      </c>
    </row>
    <row r="5429" spans="1:10">
      <c r="A5429" s="33" t="s">
        <v>201</v>
      </c>
      <c r="B5429" s="34">
        <v>356.851</v>
      </c>
      <c r="C5429" s="35">
        <v>9509.2999999999993</v>
      </c>
      <c r="D5429" s="33" t="s">
        <v>85</v>
      </c>
      <c r="E5429" s="34">
        <v>356</v>
      </c>
      <c r="F5429" s="36">
        <v>0.85099999999999998</v>
      </c>
      <c r="G5429" s="34">
        <v>0.85099999999999998</v>
      </c>
      <c r="H5429" s="35">
        <v>20</v>
      </c>
      <c r="I5429" s="37">
        <f t="shared" si="84"/>
        <v>2.1032042316469143E-3</v>
      </c>
      <c r="J5429" s="33" t="s">
        <v>116</v>
      </c>
    </row>
    <row r="5430" spans="1:10">
      <c r="A5430" s="33" t="s">
        <v>201</v>
      </c>
      <c r="B5430" s="34">
        <v>356.851</v>
      </c>
      <c r="C5430" s="35">
        <v>9509.2999999999993</v>
      </c>
      <c r="D5430" s="33" t="s">
        <v>270</v>
      </c>
      <c r="E5430" s="34">
        <v>356.68099999999998</v>
      </c>
      <c r="F5430" s="36">
        <v>0.170000000000016</v>
      </c>
      <c r="G5430" s="34">
        <v>0.170000000000016</v>
      </c>
      <c r="H5430" s="35">
        <v>594.6</v>
      </c>
      <c r="I5430" s="37">
        <f t="shared" si="84"/>
        <v>6.2528261806862759E-2</v>
      </c>
      <c r="J5430" s="33"/>
    </row>
    <row r="5431" spans="1:10">
      <c r="A5431" s="33" t="s">
        <v>201</v>
      </c>
      <c r="B5431" s="34">
        <v>356.851</v>
      </c>
      <c r="C5431" s="35">
        <v>9509.2999999999993</v>
      </c>
      <c r="D5431" s="33" t="s">
        <v>271</v>
      </c>
      <c r="E5431" s="34">
        <v>356.70499999999998</v>
      </c>
      <c r="F5431" s="36">
        <v>0.14600000000001501</v>
      </c>
      <c r="G5431" s="34">
        <v>0.14600000000001501</v>
      </c>
      <c r="H5431" s="35">
        <v>149.6</v>
      </c>
      <c r="I5431" s="37">
        <f t="shared" si="84"/>
        <v>1.5731967652718917E-2</v>
      </c>
      <c r="J5431" s="33"/>
    </row>
    <row r="5432" spans="1:10">
      <c r="A5432" s="33" t="s">
        <v>201</v>
      </c>
      <c r="B5432" s="34">
        <v>356.851</v>
      </c>
      <c r="C5432" s="35">
        <v>9509.2999999999993</v>
      </c>
      <c r="D5432" s="33" t="s">
        <v>36</v>
      </c>
      <c r="E5432" s="34">
        <v>356.71199999999999</v>
      </c>
      <c r="F5432" s="36">
        <v>0.13900000000000001</v>
      </c>
      <c r="G5432" s="34">
        <v>0.13900000000000001</v>
      </c>
      <c r="H5432" s="35">
        <v>367.5</v>
      </c>
      <c r="I5432" s="37">
        <f t="shared" si="84"/>
        <v>3.864637775651205E-2</v>
      </c>
      <c r="J5432" s="33" t="s">
        <v>116</v>
      </c>
    </row>
    <row r="5433" spans="1:10">
      <c r="A5433" s="33" t="s">
        <v>201</v>
      </c>
      <c r="B5433" s="34">
        <v>356.851</v>
      </c>
      <c r="C5433" s="35">
        <v>9509.2999999999993</v>
      </c>
      <c r="D5433" s="33" t="s">
        <v>268</v>
      </c>
      <c r="E5433" s="34">
        <v>356.71499999999997</v>
      </c>
      <c r="F5433" s="36">
        <v>0.13600000000002399</v>
      </c>
      <c r="G5433" s="34">
        <v>0.13600000000002399</v>
      </c>
      <c r="H5433" s="35">
        <v>12.1</v>
      </c>
      <c r="I5433" s="37">
        <f t="shared" si="84"/>
        <v>1.2724385601463831E-3</v>
      </c>
      <c r="J5433" s="33"/>
    </row>
    <row r="5434" spans="1:10">
      <c r="A5434" s="33" t="s">
        <v>201</v>
      </c>
      <c r="B5434" s="34">
        <v>356.851</v>
      </c>
      <c r="C5434" s="35">
        <v>9509.2999999999993</v>
      </c>
      <c r="D5434" s="33" t="s">
        <v>201</v>
      </c>
      <c r="E5434" s="34">
        <v>356.73500000000001</v>
      </c>
      <c r="F5434" s="36">
        <v>0.115999999999985</v>
      </c>
      <c r="G5434" s="34">
        <v>0.115999999999985</v>
      </c>
      <c r="H5434" s="35">
        <v>2817.9</v>
      </c>
      <c r="I5434" s="37">
        <f t="shared" si="84"/>
        <v>0.29633096021789201</v>
      </c>
      <c r="J5434" s="33"/>
    </row>
    <row r="5435" spans="1:10">
      <c r="A5435" s="33" t="s">
        <v>201</v>
      </c>
      <c r="B5435" s="34">
        <v>356.851</v>
      </c>
      <c r="C5435" s="35">
        <v>9509.2999999999993</v>
      </c>
      <c r="D5435" s="33" t="s">
        <v>269</v>
      </c>
      <c r="E5435" s="34">
        <v>356.73599999999999</v>
      </c>
      <c r="F5435" s="36">
        <v>0.115000000000009</v>
      </c>
      <c r="G5435" s="34">
        <v>0.115000000000009</v>
      </c>
      <c r="H5435" s="35">
        <v>31</v>
      </c>
      <c r="I5435" s="37">
        <f t="shared" si="84"/>
        <v>3.2599665590527169E-3</v>
      </c>
      <c r="J5435" s="33"/>
    </row>
    <row r="5436" spans="1:10">
      <c r="A5436" s="33" t="s">
        <v>201</v>
      </c>
      <c r="B5436" s="34">
        <v>356.851</v>
      </c>
      <c r="C5436" s="35">
        <v>9509.2999999999993</v>
      </c>
      <c r="D5436" s="33" t="s">
        <v>287</v>
      </c>
      <c r="E5436" s="34">
        <v>356.76600000000002</v>
      </c>
      <c r="F5436" s="36">
        <v>8.4999999999979495E-2</v>
      </c>
      <c r="G5436" s="34">
        <v>8.4999999999979495E-2</v>
      </c>
      <c r="H5436" s="35">
        <v>10988</v>
      </c>
      <c r="I5436" s="37">
        <f t="shared" si="84"/>
        <v>1.1555004048668147</v>
      </c>
      <c r="J5436" s="33"/>
    </row>
    <row r="5437" spans="1:10">
      <c r="A5437" s="33" t="s">
        <v>201</v>
      </c>
      <c r="B5437" s="34">
        <v>356.851</v>
      </c>
      <c r="C5437" s="35">
        <v>9509.2999999999993</v>
      </c>
      <c r="D5437" s="33" t="s">
        <v>184</v>
      </c>
      <c r="E5437" s="34">
        <v>356.77</v>
      </c>
      <c r="F5437" s="36">
        <v>8.1000000000017294E-2</v>
      </c>
      <c r="G5437" s="34">
        <v>8.1000000000017294E-2</v>
      </c>
      <c r="H5437" s="35">
        <v>42086.8</v>
      </c>
      <c r="I5437" s="37">
        <f t="shared" si="84"/>
        <v>4.4258567928238675</v>
      </c>
      <c r="J5437" s="33"/>
    </row>
    <row r="5438" spans="1:10">
      <c r="A5438" s="33" t="s">
        <v>201</v>
      </c>
      <c r="B5438" s="34">
        <v>356.851</v>
      </c>
      <c r="C5438" s="35">
        <v>9509.2999999999993</v>
      </c>
      <c r="D5438" s="33" t="s">
        <v>271</v>
      </c>
      <c r="E5438" s="34">
        <v>356.77</v>
      </c>
      <c r="F5438" s="36">
        <v>8.1000000000017294E-2</v>
      </c>
      <c r="G5438" s="34">
        <v>8.1000000000017294E-2</v>
      </c>
      <c r="H5438" s="35">
        <v>113.9</v>
      </c>
      <c r="I5438" s="37">
        <f t="shared" si="84"/>
        <v>1.1977748099229177E-2</v>
      </c>
      <c r="J5438" s="33"/>
    </row>
    <row r="5439" spans="1:10">
      <c r="A5439" s="33" t="s">
        <v>201</v>
      </c>
      <c r="B5439" s="34">
        <v>356.851</v>
      </c>
      <c r="C5439" s="35">
        <v>9509.2999999999993</v>
      </c>
      <c r="D5439" s="33" t="s">
        <v>290</v>
      </c>
      <c r="E5439" s="34">
        <v>356.79899999999998</v>
      </c>
      <c r="F5439" s="36">
        <v>5.2000000000020898E-2</v>
      </c>
      <c r="G5439" s="34">
        <v>5.2000000000020898E-2</v>
      </c>
      <c r="H5439" s="35">
        <v>42</v>
      </c>
      <c r="I5439" s="37">
        <f t="shared" si="84"/>
        <v>4.4167288864585203E-3</v>
      </c>
      <c r="J5439" s="33"/>
    </row>
    <row r="5440" spans="1:10">
      <c r="A5440" s="33" t="s">
        <v>201</v>
      </c>
      <c r="B5440" s="34">
        <v>356.851</v>
      </c>
      <c r="C5440" s="35">
        <v>9509.2999999999993</v>
      </c>
      <c r="D5440" s="33" t="s">
        <v>274</v>
      </c>
      <c r="E5440" s="34">
        <v>356.80399999999997</v>
      </c>
      <c r="F5440" s="36">
        <v>4.7000000000025501E-2</v>
      </c>
      <c r="G5440" s="34">
        <v>4.7000000000025501E-2</v>
      </c>
      <c r="H5440" s="35">
        <v>9.1999999999999993</v>
      </c>
      <c r="I5440" s="37">
        <f t="shared" si="84"/>
        <v>9.6747394655758052E-4</v>
      </c>
      <c r="J5440" s="33"/>
    </row>
    <row r="5441" spans="1:10">
      <c r="A5441" s="33" t="s">
        <v>201</v>
      </c>
      <c r="B5441" s="34">
        <v>356.851</v>
      </c>
      <c r="C5441" s="35">
        <v>9509.2999999999993</v>
      </c>
      <c r="D5441" s="33" t="s">
        <v>25</v>
      </c>
      <c r="E5441" s="34">
        <v>356.81299999999999</v>
      </c>
      <c r="F5441" s="36">
        <v>3.80000000000109E-2</v>
      </c>
      <c r="G5441" s="34">
        <v>3.80000000000109E-2</v>
      </c>
      <c r="H5441" s="35">
        <v>246.6</v>
      </c>
      <c r="I5441" s="37">
        <f t="shared" si="84"/>
        <v>2.5932508176206452E-2</v>
      </c>
      <c r="J5441" s="33" t="s">
        <v>116</v>
      </c>
    </row>
    <row r="5442" spans="1:10">
      <c r="A5442" s="33" t="s">
        <v>201</v>
      </c>
      <c r="B5442" s="34">
        <v>356.851</v>
      </c>
      <c r="C5442" s="35">
        <v>9509.2999999999993</v>
      </c>
      <c r="D5442" s="33" t="s">
        <v>236</v>
      </c>
      <c r="E5442" s="34">
        <v>356.81400000000002</v>
      </c>
      <c r="F5442" s="36">
        <v>3.6999999999977697E-2</v>
      </c>
      <c r="G5442" s="34">
        <v>3.6999999999977697E-2</v>
      </c>
      <c r="H5442" s="35">
        <v>447.1</v>
      </c>
      <c r="I5442" s="37">
        <f t="shared" ref="I5442:I5505" si="85">H5442/C5442</f>
        <v>4.7017130598466773E-2</v>
      </c>
      <c r="J5442" s="33"/>
    </row>
    <row r="5443" spans="1:10">
      <c r="A5443" s="33" t="s">
        <v>201</v>
      </c>
      <c r="B5443" s="34">
        <v>356.851</v>
      </c>
      <c r="C5443" s="35">
        <v>9509.2999999999993</v>
      </c>
      <c r="D5443" s="33" t="s">
        <v>279</v>
      </c>
      <c r="E5443" s="34">
        <v>356.82299999999998</v>
      </c>
      <c r="F5443" s="36">
        <v>2.8000000000019998E-2</v>
      </c>
      <c r="G5443" s="34">
        <v>2.8000000000019998E-2</v>
      </c>
      <c r="H5443" s="35">
        <v>3.9</v>
      </c>
      <c r="I5443" s="37">
        <f t="shared" si="85"/>
        <v>4.1012482517114825E-4</v>
      </c>
      <c r="J5443" s="33"/>
    </row>
    <row r="5444" spans="1:10">
      <c r="A5444" s="33" t="s">
        <v>201</v>
      </c>
      <c r="B5444" s="34">
        <v>356.851</v>
      </c>
      <c r="C5444" s="35">
        <v>9509.2999999999993</v>
      </c>
      <c r="D5444" s="33" t="s">
        <v>270</v>
      </c>
      <c r="E5444" s="34">
        <v>356.827</v>
      </c>
      <c r="F5444" s="36">
        <v>2.4000000000000899E-2</v>
      </c>
      <c r="G5444" s="34">
        <v>2.4000000000000899E-2</v>
      </c>
      <c r="H5444" s="35">
        <v>12879</v>
      </c>
      <c r="I5444" s="37">
        <f t="shared" si="85"/>
        <v>1.3543583649690305</v>
      </c>
      <c r="J5444" s="33"/>
    </row>
    <row r="5445" spans="1:10">
      <c r="A5445" s="33" t="s">
        <v>201</v>
      </c>
      <c r="B5445" s="34">
        <v>356.851</v>
      </c>
      <c r="C5445" s="35">
        <v>9509.2999999999993</v>
      </c>
      <c r="D5445" s="33" t="s">
        <v>239</v>
      </c>
      <c r="E5445" s="34">
        <v>356.839</v>
      </c>
      <c r="F5445" s="36">
        <v>1.20000000000005E-2</v>
      </c>
      <c r="G5445" s="34">
        <v>1.20000000000005E-2</v>
      </c>
      <c r="H5445" s="35">
        <v>2.6</v>
      </c>
      <c r="I5445" s="37">
        <f t="shared" si="85"/>
        <v>2.7341655011409887E-4</v>
      </c>
      <c r="J5445" s="33"/>
    </row>
    <row r="5446" spans="1:10">
      <c r="A5446" s="33" t="s">
        <v>201</v>
      </c>
      <c r="B5446" s="34">
        <v>356.851</v>
      </c>
      <c r="C5446" s="35">
        <v>9509.2999999999993</v>
      </c>
      <c r="D5446" s="33" t="s">
        <v>273</v>
      </c>
      <c r="E5446" s="34">
        <v>356.84899999999999</v>
      </c>
      <c r="F5446" s="36">
        <v>2.0000000000095501E-3</v>
      </c>
      <c r="G5446" s="34">
        <v>2.0000000000095501E-3</v>
      </c>
      <c r="H5446" s="35">
        <v>330</v>
      </c>
      <c r="I5446" s="37">
        <f t="shared" si="85"/>
        <v>3.4702869822174083E-2</v>
      </c>
      <c r="J5446" s="33"/>
    </row>
    <row r="5447" spans="1:10">
      <c r="A5447" s="33" t="s">
        <v>201</v>
      </c>
      <c r="B5447" s="34">
        <v>356.851</v>
      </c>
      <c r="C5447" s="35">
        <v>9509.2999999999993</v>
      </c>
      <c r="D5447" s="33" t="s">
        <v>236</v>
      </c>
      <c r="E5447" s="34">
        <v>356.88600000000002</v>
      </c>
      <c r="F5447" s="36">
        <v>3.5000000000024997E-2</v>
      </c>
      <c r="G5447" s="34">
        <v>3.5000000000024997E-2</v>
      </c>
      <c r="H5447" s="35">
        <v>52.3</v>
      </c>
      <c r="I5447" s="37">
        <f t="shared" si="85"/>
        <v>5.4998790657566805E-3</v>
      </c>
      <c r="J5447" s="33"/>
    </row>
    <row r="5448" spans="1:10">
      <c r="A5448" s="33" t="s">
        <v>201</v>
      </c>
      <c r="B5448" s="34">
        <v>356.851</v>
      </c>
      <c r="C5448" s="35">
        <v>9509.2999999999993</v>
      </c>
      <c r="D5448" s="33" t="s">
        <v>27</v>
      </c>
      <c r="E5448" s="34">
        <v>356.887</v>
      </c>
      <c r="F5448" s="36">
        <v>3.6000000000001399E-2</v>
      </c>
      <c r="G5448" s="34">
        <v>3.6000000000001399E-2</v>
      </c>
      <c r="H5448" s="35">
        <v>713.5</v>
      </c>
      <c r="I5448" s="37">
        <f t="shared" si="85"/>
        <v>7.5031810964003659E-2</v>
      </c>
      <c r="J5448" s="33" t="s">
        <v>116</v>
      </c>
    </row>
    <row r="5449" spans="1:10">
      <c r="A5449" s="33" t="s">
        <v>201</v>
      </c>
      <c r="B5449" s="34">
        <v>356.851</v>
      </c>
      <c r="C5449" s="35">
        <v>9509.2999999999993</v>
      </c>
      <c r="D5449" s="33" t="s">
        <v>201</v>
      </c>
      <c r="E5449" s="34">
        <v>356.89800000000002</v>
      </c>
      <c r="F5449" s="36">
        <v>4.7000000000025501E-2</v>
      </c>
      <c r="G5449" s="34">
        <v>4.7000000000025501E-2</v>
      </c>
      <c r="H5449" s="35">
        <v>5333.8</v>
      </c>
      <c r="I5449" s="37">
        <f t="shared" si="85"/>
        <v>0.56090353653791558</v>
      </c>
      <c r="J5449" s="33"/>
    </row>
    <row r="5450" spans="1:10">
      <c r="A5450" s="33" t="s">
        <v>201</v>
      </c>
      <c r="B5450" s="34">
        <v>356.851</v>
      </c>
      <c r="C5450" s="35">
        <v>9509.2999999999993</v>
      </c>
      <c r="D5450" s="33" t="s">
        <v>269</v>
      </c>
      <c r="E5450" s="34">
        <v>356.90300000000002</v>
      </c>
      <c r="F5450" s="36">
        <v>5.2000000000020898E-2</v>
      </c>
      <c r="G5450" s="34">
        <v>5.2000000000020898E-2</v>
      </c>
      <c r="H5450" s="35">
        <v>6268.7</v>
      </c>
      <c r="I5450" s="37">
        <f t="shared" si="85"/>
        <v>0.65921781834625059</v>
      </c>
      <c r="J5450" s="33"/>
    </row>
    <row r="5451" spans="1:10">
      <c r="A5451" s="33" t="s">
        <v>201</v>
      </c>
      <c r="B5451" s="34">
        <v>356.851</v>
      </c>
      <c r="C5451" s="35">
        <v>9509.2999999999993</v>
      </c>
      <c r="D5451" s="33" t="s">
        <v>277</v>
      </c>
      <c r="E5451" s="34">
        <v>356.90600000000001</v>
      </c>
      <c r="F5451" s="36">
        <v>5.50000000000068E-2</v>
      </c>
      <c r="G5451" s="34">
        <v>5.50000000000068E-2</v>
      </c>
      <c r="H5451" s="35">
        <v>284</v>
      </c>
      <c r="I5451" s="37">
        <f t="shared" si="85"/>
        <v>2.9865500089386182E-2</v>
      </c>
      <c r="J5451" s="33"/>
    </row>
    <row r="5452" spans="1:10">
      <c r="A5452" s="33" t="s">
        <v>201</v>
      </c>
      <c r="B5452" s="34">
        <v>356.851</v>
      </c>
      <c r="C5452" s="35">
        <v>9509.2999999999993</v>
      </c>
      <c r="D5452" s="33" t="s">
        <v>25</v>
      </c>
      <c r="E5452" s="34">
        <v>356.93099999999998</v>
      </c>
      <c r="F5452" s="36">
        <v>7.9999999999984098E-2</v>
      </c>
      <c r="G5452" s="34">
        <v>7.9999999999984098E-2</v>
      </c>
      <c r="H5452" s="35">
        <v>2127</v>
      </c>
      <c r="I5452" s="37">
        <f t="shared" si="85"/>
        <v>0.22367577003564934</v>
      </c>
      <c r="J5452" s="33" t="s">
        <v>116</v>
      </c>
    </row>
    <row r="5453" spans="1:10">
      <c r="A5453" s="33" t="s">
        <v>201</v>
      </c>
      <c r="B5453" s="34">
        <v>356.851</v>
      </c>
      <c r="C5453" s="35">
        <v>9509.2999999999993</v>
      </c>
      <c r="D5453" s="33" t="s">
        <v>54</v>
      </c>
      <c r="E5453" s="34">
        <v>356.93700000000001</v>
      </c>
      <c r="F5453" s="36">
        <v>8.6000000000012705E-2</v>
      </c>
      <c r="G5453" s="34">
        <v>8.6000000000012705E-2</v>
      </c>
      <c r="H5453" s="35">
        <v>1713.5</v>
      </c>
      <c r="I5453" s="37">
        <f t="shared" si="85"/>
        <v>0.18019202254634939</v>
      </c>
      <c r="J5453" s="33"/>
    </row>
    <row r="5454" spans="1:10">
      <c r="A5454" s="33" t="s">
        <v>201</v>
      </c>
      <c r="B5454" s="34">
        <v>356.851</v>
      </c>
      <c r="C5454" s="35">
        <v>9509.2999999999993</v>
      </c>
      <c r="D5454" s="33" t="s">
        <v>273</v>
      </c>
      <c r="E5454" s="34">
        <v>356.94600000000003</v>
      </c>
      <c r="F5454" s="36">
        <v>9.5000000000027299E-2</v>
      </c>
      <c r="G5454" s="34">
        <v>9.5000000000027299E-2</v>
      </c>
      <c r="H5454" s="35">
        <v>43.9</v>
      </c>
      <c r="I5454" s="37">
        <f t="shared" si="85"/>
        <v>4.6165332884649767E-3</v>
      </c>
      <c r="J5454" s="33"/>
    </row>
    <row r="5455" spans="1:10">
      <c r="A5455" s="33" t="s">
        <v>201</v>
      </c>
      <c r="B5455" s="34">
        <v>356.851</v>
      </c>
      <c r="C5455" s="35">
        <v>9509.2999999999993</v>
      </c>
      <c r="D5455" s="33" t="s">
        <v>240</v>
      </c>
      <c r="E5455" s="34">
        <v>356.94900000000001</v>
      </c>
      <c r="F5455" s="36">
        <v>9.8000000000013202E-2</v>
      </c>
      <c r="G5455" s="34">
        <v>9.8000000000013202E-2</v>
      </c>
      <c r="H5455" s="35">
        <v>1108.5999999999999</v>
      </c>
      <c r="I5455" s="37">
        <f t="shared" si="85"/>
        <v>0.11658061056018845</v>
      </c>
      <c r="J5455" s="33"/>
    </row>
    <row r="5456" spans="1:10">
      <c r="A5456" s="33" t="s">
        <v>201</v>
      </c>
      <c r="B5456" s="34">
        <v>356.851</v>
      </c>
      <c r="C5456" s="35">
        <v>9509.2999999999993</v>
      </c>
      <c r="D5456" s="33" t="s">
        <v>36</v>
      </c>
      <c r="E5456" s="34">
        <v>356.95600000000002</v>
      </c>
      <c r="F5456" s="36">
        <v>0.105</v>
      </c>
      <c r="G5456" s="34">
        <v>0.105</v>
      </c>
      <c r="H5456" s="35">
        <v>300.60000000000002</v>
      </c>
      <c r="I5456" s="37">
        <f t="shared" si="85"/>
        <v>3.1611159601653123E-2</v>
      </c>
      <c r="J5456" s="33" t="s">
        <v>116</v>
      </c>
    </row>
    <row r="5457" spans="1:10">
      <c r="A5457" s="33" t="s">
        <v>201</v>
      </c>
      <c r="B5457" s="34">
        <v>356.851</v>
      </c>
      <c r="C5457" s="35">
        <v>9509.2999999999993</v>
      </c>
      <c r="D5457" s="33" t="s">
        <v>271</v>
      </c>
      <c r="E5457" s="34">
        <v>356.96199999999999</v>
      </c>
      <c r="F5457" s="36">
        <v>0.11099999999999</v>
      </c>
      <c r="G5457" s="34">
        <v>0.11099999999999</v>
      </c>
      <c r="H5457" s="35">
        <v>158.9</v>
      </c>
      <c r="I5457" s="37">
        <f t="shared" si="85"/>
        <v>1.6709957620434736E-2</v>
      </c>
      <c r="J5457" s="33"/>
    </row>
    <row r="5458" spans="1:10">
      <c r="A5458" s="33" t="s">
        <v>201</v>
      </c>
      <c r="B5458" s="34">
        <v>356.851</v>
      </c>
      <c r="C5458" s="35">
        <v>9509.2999999999993</v>
      </c>
      <c r="D5458" s="33" t="s">
        <v>33</v>
      </c>
      <c r="E5458" s="34">
        <v>356.96600000000001</v>
      </c>
      <c r="F5458" s="36">
        <v>0.115000000000009</v>
      </c>
      <c r="G5458" s="34">
        <v>0.115000000000009</v>
      </c>
      <c r="H5458" s="35">
        <v>305.8</v>
      </c>
      <c r="I5458" s="37">
        <f t="shared" si="85"/>
        <v>3.215799270188132E-2</v>
      </c>
      <c r="J5458" s="33" t="s">
        <v>116</v>
      </c>
    </row>
    <row r="5459" spans="1:10">
      <c r="A5459" s="33" t="s">
        <v>201</v>
      </c>
      <c r="B5459" s="34">
        <v>356.851</v>
      </c>
      <c r="C5459" s="35">
        <v>9509.2999999999993</v>
      </c>
      <c r="D5459" s="33" t="s">
        <v>94</v>
      </c>
      <c r="E5459" s="34">
        <v>356.97500000000002</v>
      </c>
      <c r="F5459" s="36">
        <v>0.124</v>
      </c>
      <c r="G5459" s="34">
        <v>0.124</v>
      </c>
      <c r="H5459" s="35">
        <v>30.2</v>
      </c>
      <c r="I5459" s="37">
        <f t="shared" si="85"/>
        <v>3.1758383897868402E-3</v>
      </c>
      <c r="J5459" s="33" t="s">
        <v>116</v>
      </c>
    </row>
    <row r="5460" spans="1:10">
      <c r="A5460" s="33" t="s">
        <v>201</v>
      </c>
      <c r="B5460" s="34">
        <v>356.851</v>
      </c>
      <c r="C5460" s="35">
        <v>9509.2999999999993</v>
      </c>
      <c r="D5460" s="33" t="s">
        <v>284</v>
      </c>
      <c r="E5460" s="34">
        <v>356.97800000000001</v>
      </c>
      <c r="F5460" s="36">
        <v>0.12700000000000999</v>
      </c>
      <c r="G5460" s="34">
        <v>0.12700000000000999</v>
      </c>
      <c r="H5460" s="35">
        <v>1.9</v>
      </c>
      <c r="I5460" s="37">
        <f t="shared" si="85"/>
        <v>1.9980440200645684E-4</v>
      </c>
      <c r="J5460" s="33"/>
    </row>
    <row r="5461" spans="1:10">
      <c r="A5461" s="33" t="s">
        <v>201</v>
      </c>
      <c r="B5461" s="34">
        <v>356.851</v>
      </c>
      <c r="C5461" s="35">
        <v>9509.2999999999993</v>
      </c>
      <c r="D5461" s="33" t="s">
        <v>240</v>
      </c>
      <c r="E5461" s="34">
        <v>356.98</v>
      </c>
      <c r="F5461" s="36">
        <v>0.12900000000001899</v>
      </c>
      <c r="G5461" s="34">
        <v>0.12900000000001899</v>
      </c>
      <c r="H5461" s="35">
        <v>383</v>
      </c>
      <c r="I5461" s="37">
        <f t="shared" si="85"/>
        <v>4.0276361036038405E-2</v>
      </c>
      <c r="J5461" s="33"/>
    </row>
    <row r="5462" spans="1:10">
      <c r="A5462" s="33" t="s">
        <v>201</v>
      </c>
      <c r="B5462" s="34">
        <v>356.851</v>
      </c>
      <c r="C5462" s="35">
        <v>9509.2999999999993</v>
      </c>
      <c r="D5462" s="33" t="s">
        <v>271</v>
      </c>
      <c r="E5462" s="34">
        <v>356.98200000000003</v>
      </c>
      <c r="F5462" s="36">
        <v>0.13100000000002901</v>
      </c>
      <c r="G5462" s="34">
        <v>0.13100000000002901</v>
      </c>
      <c r="H5462" s="35">
        <v>47.1</v>
      </c>
      <c r="I5462" s="37">
        <f t="shared" si="85"/>
        <v>4.9530459655284832E-3</v>
      </c>
      <c r="J5462" s="33"/>
    </row>
    <row r="5463" spans="1:10">
      <c r="A5463" s="33" t="s">
        <v>201</v>
      </c>
      <c r="B5463" s="34">
        <v>356.851</v>
      </c>
      <c r="C5463" s="35">
        <v>9509.2999999999993</v>
      </c>
      <c r="D5463" s="33" t="s">
        <v>97</v>
      </c>
      <c r="E5463" s="34">
        <v>357.01</v>
      </c>
      <c r="F5463" s="36">
        <v>0.15899999999999201</v>
      </c>
      <c r="G5463" s="34">
        <v>0.15899999999999201</v>
      </c>
      <c r="H5463" s="35">
        <v>1536.8</v>
      </c>
      <c r="I5463" s="37">
        <f t="shared" si="85"/>
        <v>0.16161021315974888</v>
      </c>
      <c r="J5463" s="33"/>
    </row>
    <row r="5464" spans="1:10">
      <c r="A5464" s="33" t="s">
        <v>201</v>
      </c>
      <c r="B5464" s="34">
        <v>356.851</v>
      </c>
      <c r="C5464" s="35">
        <v>9509.2999999999993</v>
      </c>
      <c r="D5464" s="33" t="s">
        <v>282</v>
      </c>
      <c r="E5464" s="34">
        <v>357.01799999999997</v>
      </c>
      <c r="F5464" s="36">
        <v>0.166999999999973</v>
      </c>
      <c r="G5464" s="34">
        <v>0.166999999999973</v>
      </c>
      <c r="H5464" s="35">
        <v>336.7</v>
      </c>
      <c r="I5464" s="37">
        <f t="shared" si="85"/>
        <v>3.54074432397758E-2</v>
      </c>
      <c r="J5464" s="33"/>
    </row>
    <row r="5465" spans="1:10">
      <c r="A5465" s="33" t="s">
        <v>201</v>
      </c>
      <c r="B5465" s="34">
        <v>356.851</v>
      </c>
      <c r="C5465" s="35">
        <v>9509.2999999999993</v>
      </c>
      <c r="D5465" s="33" t="s">
        <v>279</v>
      </c>
      <c r="E5465" s="34">
        <v>357.02499999999998</v>
      </c>
      <c r="F5465" s="36">
        <v>0.17399999999997801</v>
      </c>
      <c r="G5465" s="34">
        <v>0.17399999999997801</v>
      </c>
      <c r="H5465" s="35">
        <v>5.67</v>
      </c>
      <c r="I5465" s="37">
        <f t="shared" si="85"/>
        <v>5.9625839967190019E-4</v>
      </c>
      <c r="J5465" s="33"/>
    </row>
    <row r="5466" spans="1:10">
      <c r="A5466" s="33" t="s">
        <v>201</v>
      </c>
      <c r="B5466" s="34">
        <v>360.04399999999998</v>
      </c>
      <c r="C5466" s="35">
        <v>12900</v>
      </c>
      <c r="D5466" s="33" t="s">
        <v>84</v>
      </c>
      <c r="E5466" s="34">
        <v>359.90199999999999</v>
      </c>
      <c r="F5466" s="36">
        <v>0.14199999999999999</v>
      </c>
      <c r="G5466" s="34">
        <v>0.14199999999999999</v>
      </c>
      <c r="H5466" s="35">
        <v>11420.4</v>
      </c>
      <c r="I5466" s="37">
        <f t="shared" si="85"/>
        <v>0.88530232558139532</v>
      </c>
      <c r="J5466" s="33" t="s">
        <v>116</v>
      </c>
    </row>
    <row r="5467" spans="1:10">
      <c r="A5467" s="33" t="s">
        <v>201</v>
      </c>
      <c r="B5467" s="34">
        <v>360.04399999999998</v>
      </c>
      <c r="C5467" s="35">
        <v>12900</v>
      </c>
      <c r="D5467" s="33" t="s">
        <v>286</v>
      </c>
      <c r="E5467" s="34">
        <v>359.91300000000001</v>
      </c>
      <c r="F5467" s="36">
        <v>0.130999999999972</v>
      </c>
      <c r="G5467" s="34">
        <v>0.130999999999972</v>
      </c>
      <c r="H5467" s="35">
        <v>53.8</v>
      </c>
      <c r="I5467" s="37">
        <f t="shared" si="85"/>
        <v>4.1705426356589146E-3</v>
      </c>
      <c r="J5467" s="33"/>
    </row>
    <row r="5468" spans="1:10">
      <c r="A5468" s="33" t="s">
        <v>201</v>
      </c>
      <c r="B5468" s="34">
        <v>360.04399999999998</v>
      </c>
      <c r="C5468" s="35">
        <v>12900</v>
      </c>
      <c r="D5468" s="33" t="s">
        <v>269</v>
      </c>
      <c r="E5468" s="34">
        <v>359.91399999999999</v>
      </c>
      <c r="F5468" s="36">
        <v>0.12999999999999601</v>
      </c>
      <c r="G5468" s="34">
        <v>0.12999999999999601</v>
      </c>
      <c r="H5468" s="35">
        <v>234</v>
      </c>
      <c r="I5468" s="37">
        <f t="shared" si="85"/>
        <v>1.8139534883720929E-2</v>
      </c>
      <c r="J5468" s="33"/>
    </row>
    <row r="5469" spans="1:10">
      <c r="A5469" s="33" t="s">
        <v>201</v>
      </c>
      <c r="B5469" s="34">
        <v>360.04399999999998</v>
      </c>
      <c r="C5469" s="35">
        <v>12900</v>
      </c>
      <c r="D5469" s="33" t="s">
        <v>54</v>
      </c>
      <c r="E5469" s="34">
        <v>359.92099999999999</v>
      </c>
      <c r="F5469" s="36">
        <v>0.12299999999999101</v>
      </c>
      <c r="G5469" s="34">
        <v>0.12299999999999101</v>
      </c>
      <c r="H5469" s="35">
        <v>1.3</v>
      </c>
      <c r="I5469" s="37">
        <f t="shared" si="85"/>
        <v>1.0077519379844962E-4</v>
      </c>
      <c r="J5469" s="33"/>
    </row>
    <row r="5470" spans="1:10">
      <c r="A5470" s="33" t="s">
        <v>201</v>
      </c>
      <c r="B5470" s="34">
        <v>360.04399999999998</v>
      </c>
      <c r="C5470" s="35">
        <v>12900</v>
      </c>
      <c r="D5470" s="33" t="s">
        <v>273</v>
      </c>
      <c r="E5470" s="34">
        <v>359.928</v>
      </c>
      <c r="F5470" s="36">
        <v>0.115999999999985</v>
      </c>
      <c r="G5470" s="34">
        <v>0.115999999999985</v>
      </c>
      <c r="H5470" s="35">
        <v>27.2</v>
      </c>
      <c r="I5470" s="37">
        <f t="shared" si="85"/>
        <v>2.1085271317829459E-3</v>
      </c>
      <c r="J5470" s="33"/>
    </row>
    <row r="5471" spans="1:10">
      <c r="A5471" s="33" t="s">
        <v>201</v>
      </c>
      <c r="B5471" s="34">
        <v>360.04399999999998</v>
      </c>
      <c r="C5471" s="35">
        <v>12900</v>
      </c>
      <c r="D5471" s="33" t="s">
        <v>271</v>
      </c>
      <c r="E5471" s="34">
        <v>359.93599999999998</v>
      </c>
      <c r="F5471" s="36">
        <v>0.108000000000004</v>
      </c>
      <c r="G5471" s="34">
        <v>0.108000000000004</v>
      </c>
      <c r="H5471" s="35">
        <v>174.1</v>
      </c>
      <c r="I5471" s="37">
        <f t="shared" si="85"/>
        <v>1.3496124031007752E-2</v>
      </c>
      <c r="J5471" s="33"/>
    </row>
    <row r="5472" spans="1:10">
      <c r="A5472" s="33" t="s">
        <v>201</v>
      </c>
      <c r="B5472" s="34">
        <v>360.04399999999998</v>
      </c>
      <c r="C5472" s="35">
        <v>12900</v>
      </c>
      <c r="D5472" s="33" t="s">
        <v>239</v>
      </c>
      <c r="E5472" s="34">
        <v>359.93900000000002</v>
      </c>
      <c r="F5472" s="36">
        <v>0.104999999999961</v>
      </c>
      <c r="G5472" s="34">
        <v>0.104999999999961</v>
      </c>
      <c r="H5472" s="35">
        <v>9.1</v>
      </c>
      <c r="I5472" s="37">
        <f t="shared" si="85"/>
        <v>7.0542635658914731E-4</v>
      </c>
      <c r="J5472" s="33"/>
    </row>
    <row r="5473" spans="1:10">
      <c r="A5473" s="33" t="s">
        <v>201</v>
      </c>
      <c r="B5473" s="34">
        <v>360.04399999999998</v>
      </c>
      <c r="C5473" s="35">
        <v>12900</v>
      </c>
      <c r="D5473" s="33" t="s">
        <v>94</v>
      </c>
      <c r="E5473" s="34">
        <v>359.94600000000003</v>
      </c>
      <c r="F5473" s="36">
        <v>9.8000000000000004E-2</v>
      </c>
      <c r="G5473" s="34">
        <v>9.8000000000000004E-2</v>
      </c>
      <c r="H5473" s="35">
        <v>2.2000000000000002</v>
      </c>
      <c r="I5473" s="37">
        <f t="shared" si="85"/>
        <v>1.7054263565891475E-4</v>
      </c>
      <c r="J5473" s="33" t="s">
        <v>116</v>
      </c>
    </row>
    <row r="5474" spans="1:10">
      <c r="A5474" s="33" t="s">
        <v>201</v>
      </c>
      <c r="B5474" s="34">
        <v>360.04399999999998</v>
      </c>
      <c r="C5474" s="35">
        <v>12900</v>
      </c>
      <c r="D5474" s="33" t="s">
        <v>84</v>
      </c>
      <c r="E5474" s="34">
        <v>359.95</v>
      </c>
      <c r="F5474" s="36">
        <v>9.4E-2</v>
      </c>
      <c r="G5474" s="34">
        <v>9.4E-2</v>
      </c>
      <c r="H5474" s="35">
        <v>5162.5</v>
      </c>
      <c r="I5474" s="37">
        <f t="shared" si="85"/>
        <v>0.40019379844961239</v>
      </c>
      <c r="J5474" s="33" t="s">
        <v>116</v>
      </c>
    </row>
    <row r="5475" spans="1:10">
      <c r="A5475" s="33" t="s">
        <v>201</v>
      </c>
      <c r="B5475" s="34">
        <v>360.04399999999998</v>
      </c>
      <c r="C5475" s="35">
        <v>12900</v>
      </c>
      <c r="D5475" s="33" t="s">
        <v>33</v>
      </c>
      <c r="E5475" s="34">
        <v>359.95600000000002</v>
      </c>
      <c r="F5475" s="36">
        <v>8.7999999999965398E-2</v>
      </c>
      <c r="G5475" s="34">
        <v>8.7999999999965398E-2</v>
      </c>
      <c r="H5475" s="35">
        <v>371.9</v>
      </c>
      <c r="I5475" s="37">
        <f t="shared" si="85"/>
        <v>2.8829457364341084E-2</v>
      </c>
      <c r="J5475" s="33" t="s">
        <v>116</v>
      </c>
    </row>
    <row r="5476" spans="1:10">
      <c r="A5476" s="33" t="s">
        <v>201</v>
      </c>
      <c r="B5476" s="34">
        <v>360.04399999999998</v>
      </c>
      <c r="C5476" s="35">
        <v>12900</v>
      </c>
      <c r="D5476" s="33" t="s">
        <v>97</v>
      </c>
      <c r="E5476" s="34">
        <v>359.96199999999999</v>
      </c>
      <c r="F5476" s="36">
        <v>8.1999999999993606E-2</v>
      </c>
      <c r="G5476" s="34">
        <v>8.1999999999993606E-2</v>
      </c>
      <c r="H5476" s="35">
        <v>10.3</v>
      </c>
      <c r="I5476" s="37">
        <f t="shared" si="85"/>
        <v>7.9844961240310079E-4</v>
      </c>
      <c r="J5476" s="33"/>
    </row>
    <row r="5477" spans="1:10">
      <c r="A5477" s="33" t="s">
        <v>201</v>
      </c>
      <c r="B5477" s="34">
        <v>360.04399999999998</v>
      </c>
      <c r="C5477" s="35">
        <v>12900</v>
      </c>
      <c r="D5477" s="33" t="s">
        <v>273</v>
      </c>
      <c r="E5477" s="34">
        <v>359.96300000000002</v>
      </c>
      <c r="F5477" s="36">
        <v>8.0999999999960395E-2</v>
      </c>
      <c r="G5477" s="34">
        <v>8.0999999999960395E-2</v>
      </c>
      <c r="H5477" s="35">
        <v>34.200000000000003</v>
      </c>
      <c r="I5477" s="37">
        <f t="shared" si="85"/>
        <v>2.6511627906976747E-3</v>
      </c>
      <c r="J5477" s="33"/>
    </row>
    <row r="5478" spans="1:10">
      <c r="A5478" s="33" t="s">
        <v>201</v>
      </c>
      <c r="B5478" s="34">
        <v>360.04399999999998</v>
      </c>
      <c r="C5478" s="35">
        <v>12900</v>
      </c>
      <c r="D5478" s="33" t="s">
        <v>287</v>
      </c>
      <c r="E5478" s="34">
        <v>359.971</v>
      </c>
      <c r="F5478" s="36">
        <v>7.2999999999979095E-2</v>
      </c>
      <c r="G5478" s="34">
        <v>7.2999999999979095E-2</v>
      </c>
      <c r="H5478" s="35">
        <v>1050</v>
      </c>
      <c r="I5478" s="37">
        <f t="shared" si="85"/>
        <v>8.1395348837209308E-2</v>
      </c>
      <c r="J5478" s="33"/>
    </row>
    <row r="5479" spans="1:10">
      <c r="A5479" s="33" t="s">
        <v>201</v>
      </c>
      <c r="B5479" s="34">
        <v>360.04399999999998</v>
      </c>
      <c r="C5479" s="35">
        <v>12900</v>
      </c>
      <c r="D5479" s="33" t="s">
        <v>268</v>
      </c>
      <c r="E5479" s="34">
        <v>359.976</v>
      </c>
      <c r="F5479" s="36">
        <v>6.7999999999983601E-2</v>
      </c>
      <c r="G5479" s="34">
        <v>6.7999999999983601E-2</v>
      </c>
      <c r="H5479" s="35">
        <v>493.1</v>
      </c>
      <c r="I5479" s="37">
        <f t="shared" si="85"/>
        <v>3.8224806201550388E-2</v>
      </c>
      <c r="J5479" s="33"/>
    </row>
    <row r="5480" spans="1:10">
      <c r="A5480" s="33" t="s">
        <v>201</v>
      </c>
      <c r="B5480" s="34">
        <v>360.04399999999998</v>
      </c>
      <c r="C5480" s="35">
        <v>12900</v>
      </c>
      <c r="D5480" s="33" t="s">
        <v>277</v>
      </c>
      <c r="E5480" s="34">
        <v>359.98399999999998</v>
      </c>
      <c r="F5480" s="36">
        <v>6.0000000000002301E-2</v>
      </c>
      <c r="G5480" s="34">
        <v>6.0000000000002301E-2</v>
      </c>
      <c r="H5480" s="35">
        <v>398.5</v>
      </c>
      <c r="I5480" s="37">
        <f t="shared" si="85"/>
        <v>3.0891472868217053E-2</v>
      </c>
      <c r="J5480" s="33"/>
    </row>
    <row r="5481" spans="1:10">
      <c r="A5481" s="33" t="s">
        <v>201</v>
      </c>
      <c r="B5481" s="34">
        <v>360.04399999999998</v>
      </c>
      <c r="C5481" s="35">
        <v>12900</v>
      </c>
      <c r="D5481" s="33" t="s">
        <v>271</v>
      </c>
      <c r="E5481" s="34">
        <v>359.98700000000002</v>
      </c>
      <c r="F5481" s="36">
        <v>5.69999999999595E-2</v>
      </c>
      <c r="G5481" s="34">
        <v>5.69999999999595E-2</v>
      </c>
      <c r="H5481" s="35">
        <v>134.4</v>
      </c>
      <c r="I5481" s="37">
        <f t="shared" si="85"/>
        <v>1.0418604651162792E-2</v>
      </c>
      <c r="J5481" s="33"/>
    </row>
    <row r="5482" spans="1:10">
      <c r="A5482" s="33" t="s">
        <v>201</v>
      </c>
      <c r="B5482" s="34">
        <v>360.04399999999998</v>
      </c>
      <c r="C5482" s="35">
        <v>12900</v>
      </c>
      <c r="D5482" s="33" t="s">
        <v>236</v>
      </c>
      <c r="E5482" s="34">
        <v>359.988</v>
      </c>
      <c r="F5482" s="36">
        <v>5.5999999999983202E-2</v>
      </c>
      <c r="G5482" s="34">
        <v>5.5999999999983202E-2</v>
      </c>
      <c r="H5482" s="35">
        <v>1182.0999999999999</v>
      </c>
      <c r="I5482" s="37">
        <f t="shared" si="85"/>
        <v>9.1635658914728677E-2</v>
      </c>
      <c r="J5482" s="33"/>
    </row>
    <row r="5483" spans="1:10">
      <c r="A5483" s="33" t="s">
        <v>201</v>
      </c>
      <c r="B5483" s="34">
        <v>360.04399999999998</v>
      </c>
      <c r="C5483" s="35">
        <v>12900</v>
      </c>
      <c r="D5483" s="33" t="s">
        <v>25</v>
      </c>
      <c r="E5483" s="34">
        <v>359.99700000000001</v>
      </c>
      <c r="F5483" s="36">
        <v>4.6999999999968602E-2</v>
      </c>
      <c r="G5483" s="34">
        <v>4.6999999999968602E-2</v>
      </c>
      <c r="H5483" s="35">
        <v>395.1</v>
      </c>
      <c r="I5483" s="37">
        <f t="shared" si="85"/>
        <v>3.0627906976744189E-2</v>
      </c>
      <c r="J5483" s="33" t="s">
        <v>116</v>
      </c>
    </row>
    <row r="5484" spans="1:10">
      <c r="A5484" s="33" t="s">
        <v>201</v>
      </c>
      <c r="B5484" s="34">
        <v>360.04399999999998</v>
      </c>
      <c r="C5484" s="35">
        <v>12900</v>
      </c>
      <c r="D5484" s="33" t="s">
        <v>33</v>
      </c>
      <c r="E5484" s="34">
        <v>360.03699999999998</v>
      </c>
      <c r="F5484" s="36">
        <v>7.0000000000049996E-3</v>
      </c>
      <c r="G5484" s="34">
        <v>7.0000000000049996E-3</v>
      </c>
      <c r="H5484" s="35">
        <v>3604.2</v>
      </c>
      <c r="I5484" s="37">
        <f t="shared" si="85"/>
        <v>0.27939534883720929</v>
      </c>
      <c r="J5484" s="33" t="s">
        <v>116</v>
      </c>
    </row>
    <row r="5485" spans="1:10">
      <c r="A5485" s="33" t="s">
        <v>201</v>
      </c>
      <c r="B5485" s="34">
        <v>360.04399999999998</v>
      </c>
      <c r="C5485" s="35">
        <v>12900</v>
      </c>
      <c r="D5485" s="33" t="s">
        <v>25</v>
      </c>
      <c r="E5485" s="34">
        <v>360.05799999999999</v>
      </c>
      <c r="F5485" s="36">
        <v>1.4000000000009999E-2</v>
      </c>
      <c r="G5485" s="34">
        <v>1.4000000000009999E-2</v>
      </c>
      <c r="H5485" s="35">
        <v>743</v>
      </c>
      <c r="I5485" s="37">
        <f t="shared" si="85"/>
        <v>5.7596899224806201E-2</v>
      </c>
      <c r="J5485" s="33" t="s">
        <v>116</v>
      </c>
    </row>
    <row r="5486" spans="1:10">
      <c r="A5486" s="33" t="s">
        <v>201</v>
      </c>
      <c r="B5486" s="34">
        <v>360.04399999999998</v>
      </c>
      <c r="C5486" s="35">
        <v>12900</v>
      </c>
      <c r="D5486" s="33" t="s">
        <v>116</v>
      </c>
      <c r="E5486" s="34">
        <v>360.07400000000001</v>
      </c>
      <c r="F5486" s="36">
        <v>0.03</v>
      </c>
      <c r="G5486" s="34">
        <v>0.03</v>
      </c>
      <c r="H5486" s="35">
        <v>341074.1</v>
      </c>
      <c r="I5486" s="37">
        <f t="shared" si="85"/>
        <v>26.439852713178293</v>
      </c>
      <c r="J5486" s="33" t="s">
        <v>116</v>
      </c>
    </row>
    <row r="5487" spans="1:10">
      <c r="A5487" s="33" t="s">
        <v>201</v>
      </c>
      <c r="B5487" s="34">
        <v>360.04399999999998</v>
      </c>
      <c r="C5487" s="35">
        <v>12900</v>
      </c>
      <c r="D5487" s="33" t="s">
        <v>282</v>
      </c>
      <c r="E5487" s="34">
        <v>360.07600000000002</v>
      </c>
      <c r="F5487" s="36">
        <v>3.2000000000039101E-2</v>
      </c>
      <c r="G5487" s="34">
        <v>3.2000000000039101E-2</v>
      </c>
      <c r="H5487" s="35">
        <v>5.9</v>
      </c>
      <c r="I5487" s="37">
        <f t="shared" si="85"/>
        <v>4.5736434108527134E-4</v>
      </c>
      <c r="J5487" s="33"/>
    </row>
    <row r="5488" spans="1:10">
      <c r="A5488" s="33" t="s">
        <v>201</v>
      </c>
      <c r="B5488" s="34">
        <v>360.04399999999998</v>
      </c>
      <c r="C5488" s="35">
        <v>12900</v>
      </c>
      <c r="D5488" s="33" t="s">
        <v>165</v>
      </c>
      <c r="E5488" s="34">
        <v>360.08199999999999</v>
      </c>
      <c r="F5488" s="36">
        <v>3.80000000000109E-2</v>
      </c>
      <c r="G5488" s="34">
        <v>3.80000000000109E-2</v>
      </c>
      <c r="H5488" s="35">
        <v>5.9</v>
      </c>
      <c r="I5488" s="37">
        <f t="shared" si="85"/>
        <v>4.5736434108527134E-4</v>
      </c>
      <c r="J5488" s="33"/>
    </row>
    <row r="5489" spans="1:10">
      <c r="A5489" s="33" t="s">
        <v>201</v>
      </c>
      <c r="B5489" s="34">
        <v>360.04399999999998</v>
      </c>
      <c r="C5489" s="35">
        <v>12900</v>
      </c>
      <c r="D5489" s="33" t="s">
        <v>27</v>
      </c>
      <c r="E5489" s="34">
        <v>360.09</v>
      </c>
      <c r="F5489" s="36">
        <v>4.5999999999992297E-2</v>
      </c>
      <c r="G5489" s="34">
        <v>4.5999999999992297E-2</v>
      </c>
      <c r="H5489" s="35">
        <v>918.5</v>
      </c>
      <c r="I5489" s="37">
        <f t="shared" si="85"/>
        <v>7.1201550387596901E-2</v>
      </c>
      <c r="J5489" s="33" t="s">
        <v>116</v>
      </c>
    </row>
    <row r="5490" spans="1:10">
      <c r="A5490" s="33" t="s">
        <v>201</v>
      </c>
      <c r="B5490" s="34">
        <v>360.04399999999998</v>
      </c>
      <c r="C5490" s="35">
        <v>12900</v>
      </c>
      <c r="D5490" s="33" t="s">
        <v>94</v>
      </c>
      <c r="E5490" s="34">
        <v>360.09500000000003</v>
      </c>
      <c r="F5490" s="36">
        <v>5.0999999999999997E-2</v>
      </c>
      <c r="G5490" s="34">
        <v>5.0999999999999997E-2</v>
      </c>
      <c r="H5490" s="35">
        <v>4325</v>
      </c>
      <c r="I5490" s="37">
        <f t="shared" si="85"/>
        <v>0.33527131782945735</v>
      </c>
      <c r="J5490" s="33" t="s">
        <v>116</v>
      </c>
    </row>
    <row r="5491" spans="1:10">
      <c r="A5491" s="33" t="s">
        <v>201</v>
      </c>
      <c r="B5491" s="34">
        <v>360.04399999999998</v>
      </c>
      <c r="C5491" s="35">
        <v>12900</v>
      </c>
      <c r="D5491" s="33" t="s">
        <v>36</v>
      </c>
      <c r="E5491" s="34">
        <v>360.096</v>
      </c>
      <c r="F5491" s="36">
        <v>5.1999999999999998E-2</v>
      </c>
      <c r="G5491" s="34">
        <v>5.1999999999999998E-2</v>
      </c>
      <c r="H5491" s="35">
        <v>3396.3</v>
      </c>
      <c r="I5491" s="37">
        <f t="shared" si="85"/>
        <v>0.26327906976744186</v>
      </c>
      <c r="J5491" s="33" t="s">
        <v>116</v>
      </c>
    </row>
    <row r="5492" spans="1:10">
      <c r="A5492" s="33" t="s">
        <v>201</v>
      </c>
      <c r="B5492" s="34">
        <v>360.04399999999998</v>
      </c>
      <c r="C5492" s="35">
        <v>12900</v>
      </c>
      <c r="D5492" s="33" t="s">
        <v>271</v>
      </c>
      <c r="E5492" s="34">
        <v>360.10300000000001</v>
      </c>
      <c r="F5492" s="36">
        <v>5.90000000000259E-2</v>
      </c>
      <c r="G5492" s="34">
        <v>5.90000000000259E-2</v>
      </c>
      <c r="H5492" s="35">
        <v>2433.5</v>
      </c>
      <c r="I5492" s="37">
        <f t="shared" si="85"/>
        <v>0.18864341085271319</v>
      </c>
      <c r="J5492" s="33"/>
    </row>
    <row r="5493" spans="1:10">
      <c r="A5493" s="33" t="s">
        <v>201</v>
      </c>
      <c r="B5493" s="34">
        <v>360.04399999999998</v>
      </c>
      <c r="C5493" s="35">
        <v>12900</v>
      </c>
      <c r="D5493" s="33" t="s">
        <v>133</v>
      </c>
      <c r="E5493" s="34">
        <v>360.10500000000002</v>
      </c>
      <c r="F5493" s="36">
        <v>6.1000000000035498E-2</v>
      </c>
      <c r="G5493" s="34">
        <v>6.1000000000035498E-2</v>
      </c>
      <c r="H5493" s="35">
        <v>829.6</v>
      </c>
      <c r="I5493" s="37">
        <f t="shared" si="85"/>
        <v>6.4310077519379852E-2</v>
      </c>
      <c r="J5493" s="33"/>
    </row>
    <row r="5494" spans="1:10">
      <c r="A5494" s="33" t="s">
        <v>201</v>
      </c>
      <c r="B5494" s="34">
        <v>360.04399999999998</v>
      </c>
      <c r="C5494" s="35">
        <v>12900</v>
      </c>
      <c r="D5494" s="33" t="s">
        <v>236</v>
      </c>
      <c r="E5494" s="34">
        <v>360.11700000000002</v>
      </c>
      <c r="F5494" s="36">
        <v>7.3000000000035897E-2</v>
      </c>
      <c r="G5494" s="34">
        <v>7.3000000000035897E-2</v>
      </c>
      <c r="H5494" s="35">
        <v>2260.1</v>
      </c>
      <c r="I5494" s="37">
        <f t="shared" si="85"/>
        <v>0.17520155038759688</v>
      </c>
      <c r="J5494" s="33"/>
    </row>
    <row r="5495" spans="1:10">
      <c r="A5495" s="33" t="s">
        <v>201</v>
      </c>
      <c r="B5495" s="34">
        <v>360.04399999999998</v>
      </c>
      <c r="C5495" s="35">
        <v>12900</v>
      </c>
      <c r="D5495" s="33" t="s">
        <v>277</v>
      </c>
      <c r="E5495" s="34">
        <v>360.12</v>
      </c>
      <c r="F5495" s="36">
        <v>7.60000000000218E-2</v>
      </c>
      <c r="G5495" s="34">
        <v>7.60000000000218E-2</v>
      </c>
      <c r="H5495" s="35">
        <v>73.3</v>
      </c>
      <c r="I5495" s="37">
        <f t="shared" si="85"/>
        <v>5.6821705426356589E-3</v>
      </c>
      <c r="J5495" s="33"/>
    </row>
    <row r="5496" spans="1:10">
      <c r="A5496" s="33" t="s">
        <v>201</v>
      </c>
      <c r="B5496" s="34">
        <v>360.04399999999998</v>
      </c>
      <c r="C5496" s="35">
        <v>12900</v>
      </c>
      <c r="D5496" s="33" t="s">
        <v>239</v>
      </c>
      <c r="E5496" s="34">
        <v>360.16399999999999</v>
      </c>
      <c r="F5496" s="36">
        <v>0.12000000000000501</v>
      </c>
      <c r="G5496" s="34">
        <v>0.12000000000000501</v>
      </c>
      <c r="H5496" s="35">
        <v>108.3</v>
      </c>
      <c r="I5496" s="37">
        <f t="shared" si="85"/>
        <v>8.3953488372093023E-3</v>
      </c>
      <c r="J5496" s="33"/>
    </row>
    <row r="5497" spans="1:10">
      <c r="A5497" s="33" t="s">
        <v>201</v>
      </c>
      <c r="B5497" s="34">
        <v>360.04399999999998</v>
      </c>
      <c r="C5497" s="35">
        <v>12900</v>
      </c>
      <c r="D5497" s="33" t="s">
        <v>270</v>
      </c>
      <c r="E5497" s="34">
        <v>360.16899999999998</v>
      </c>
      <c r="F5497" s="36">
        <v>0.125</v>
      </c>
      <c r="G5497" s="34">
        <v>0.125</v>
      </c>
      <c r="H5497" s="35">
        <v>2213.1999999999998</v>
      </c>
      <c r="I5497" s="37">
        <f t="shared" si="85"/>
        <v>0.17156589147286821</v>
      </c>
      <c r="J5497" s="33"/>
    </row>
    <row r="5498" spans="1:10">
      <c r="A5498" s="33" t="s">
        <v>201</v>
      </c>
      <c r="B5498" s="34">
        <v>360.04399999999998</v>
      </c>
      <c r="C5498" s="35">
        <v>12900</v>
      </c>
      <c r="D5498" s="33" t="s">
        <v>25</v>
      </c>
      <c r="E5498" s="34">
        <v>360.17599999999999</v>
      </c>
      <c r="F5498" s="36">
        <v>0.132000000000005</v>
      </c>
      <c r="G5498" s="34">
        <v>0.132000000000005</v>
      </c>
      <c r="H5498" s="35">
        <v>143.4</v>
      </c>
      <c r="I5498" s="37">
        <f t="shared" si="85"/>
        <v>1.1116279069767442E-2</v>
      </c>
      <c r="J5498" s="33" t="s">
        <v>116</v>
      </c>
    </row>
    <row r="5499" spans="1:10">
      <c r="A5499" s="33" t="s">
        <v>201</v>
      </c>
      <c r="B5499" s="34">
        <v>360.04399999999998</v>
      </c>
      <c r="C5499" s="35">
        <v>12900</v>
      </c>
      <c r="D5499" s="33" t="s">
        <v>240</v>
      </c>
      <c r="E5499" s="34">
        <v>360.178</v>
      </c>
      <c r="F5499" s="36">
        <v>0.134000000000015</v>
      </c>
      <c r="G5499" s="34">
        <v>0.134000000000015</v>
      </c>
      <c r="H5499" s="35">
        <v>2.4</v>
      </c>
      <c r="I5499" s="37">
        <f t="shared" si="85"/>
        <v>1.8604651162790697E-4</v>
      </c>
      <c r="J5499" s="33"/>
    </row>
    <row r="5500" spans="1:10">
      <c r="A5500" s="33" t="s">
        <v>201</v>
      </c>
      <c r="B5500" s="34">
        <v>360.04399999999998</v>
      </c>
      <c r="C5500" s="35">
        <v>12900</v>
      </c>
      <c r="D5500" s="33" t="s">
        <v>284</v>
      </c>
      <c r="E5500" s="34">
        <v>360.18299999999999</v>
      </c>
      <c r="F5500" s="36">
        <v>0.13900000000001</v>
      </c>
      <c r="G5500" s="34">
        <v>0.13900000000001</v>
      </c>
      <c r="H5500" s="35">
        <v>0.9</v>
      </c>
      <c r="I5500" s="37">
        <f t="shared" si="85"/>
        <v>6.9767441860465112E-5</v>
      </c>
      <c r="J5500" s="33"/>
    </row>
    <row r="5501" spans="1:10">
      <c r="A5501" s="33" t="s">
        <v>201</v>
      </c>
      <c r="B5501" s="34">
        <v>360.04399999999998</v>
      </c>
      <c r="C5501" s="35">
        <v>12900</v>
      </c>
      <c r="D5501" s="33" t="s">
        <v>275</v>
      </c>
      <c r="E5501" s="34">
        <v>360.18799999999999</v>
      </c>
      <c r="F5501" s="36">
        <v>0.14400000000000601</v>
      </c>
      <c r="G5501" s="34">
        <v>0.14400000000000601</v>
      </c>
      <c r="H5501" s="35">
        <v>3.1</v>
      </c>
      <c r="I5501" s="37">
        <f t="shared" si="85"/>
        <v>2.4031007751937984E-4</v>
      </c>
      <c r="J5501" s="33"/>
    </row>
    <row r="5502" spans="1:10">
      <c r="A5502" s="33" t="s">
        <v>201</v>
      </c>
      <c r="B5502" s="34">
        <v>360.04399999999998</v>
      </c>
      <c r="C5502" s="35">
        <v>12900</v>
      </c>
      <c r="D5502" s="33" t="s">
        <v>116</v>
      </c>
      <c r="E5502" s="34">
        <v>360.19200000000001</v>
      </c>
      <c r="F5502" s="36">
        <v>0.14799999999999999</v>
      </c>
      <c r="G5502" s="34">
        <v>0.14799999999999999</v>
      </c>
      <c r="H5502" s="35">
        <v>122495.4</v>
      </c>
      <c r="I5502" s="37">
        <f t="shared" si="85"/>
        <v>9.4957674418604654</v>
      </c>
      <c r="J5502" s="33" t="s">
        <v>116</v>
      </c>
    </row>
    <row r="5503" spans="1:10">
      <c r="A5503" s="33" t="s">
        <v>201</v>
      </c>
      <c r="B5503" s="34">
        <v>360.04399999999998</v>
      </c>
      <c r="C5503" s="35">
        <v>12900</v>
      </c>
      <c r="D5503" s="33" t="s">
        <v>36</v>
      </c>
      <c r="E5503" s="34">
        <v>360.20100000000002</v>
      </c>
      <c r="F5503" s="36">
        <v>0.157</v>
      </c>
      <c r="G5503" s="34">
        <v>0.157</v>
      </c>
      <c r="H5503" s="35">
        <v>456</v>
      </c>
      <c r="I5503" s="37">
        <f t="shared" si="85"/>
        <v>3.5348837209302326E-2</v>
      </c>
      <c r="J5503" s="33" t="s">
        <v>116</v>
      </c>
    </row>
    <row r="5504" spans="1:10">
      <c r="A5504" s="33" t="s">
        <v>201</v>
      </c>
      <c r="B5504" s="34">
        <v>360.04399999999998</v>
      </c>
      <c r="C5504" s="35">
        <v>12900</v>
      </c>
      <c r="D5504" s="33" t="s">
        <v>286</v>
      </c>
      <c r="E5504" s="34">
        <v>360.202</v>
      </c>
      <c r="F5504" s="36">
        <v>0.15800000000001599</v>
      </c>
      <c r="G5504" s="34">
        <v>0.15800000000001599</v>
      </c>
      <c r="H5504" s="35">
        <v>42.37</v>
      </c>
      <c r="I5504" s="37">
        <f t="shared" si="85"/>
        <v>3.2844961240310077E-3</v>
      </c>
      <c r="J5504" s="33"/>
    </row>
    <row r="5505" spans="1:10">
      <c r="A5505" s="33" t="s">
        <v>201</v>
      </c>
      <c r="B5505" s="34">
        <v>367.63600000000002</v>
      </c>
      <c r="C5505" s="35">
        <v>21568.5</v>
      </c>
      <c r="D5505" s="33" t="s">
        <v>63</v>
      </c>
      <c r="E5505" s="34">
        <v>367.50799999999998</v>
      </c>
      <c r="F5505" s="36">
        <v>0.128</v>
      </c>
      <c r="G5505" s="34">
        <v>0.128</v>
      </c>
      <c r="H5505" s="35">
        <v>921.5</v>
      </c>
      <c r="I5505" s="37">
        <f t="shared" si="85"/>
        <v>4.2724343371119917E-2</v>
      </c>
      <c r="J5505" s="33" t="s">
        <v>116</v>
      </c>
    </row>
    <row r="5506" spans="1:10">
      <c r="A5506" s="33" t="s">
        <v>201</v>
      </c>
      <c r="B5506" s="34">
        <v>367.63600000000002</v>
      </c>
      <c r="C5506" s="35">
        <v>21568.5</v>
      </c>
      <c r="D5506" s="33" t="s">
        <v>193</v>
      </c>
      <c r="E5506" s="34">
        <v>367.51299999999998</v>
      </c>
      <c r="F5506" s="36">
        <v>0.123000000000047</v>
      </c>
      <c r="G5506" s="34">
        <v>0.123000000000047</v>
      </c>
      <c r="H5506" s="35">
        <v>5.3</v>
      </c>
      <c r="I5506" s="37">
        <f t="shared" ref="I5506:I5569" si="86">H5506/C5506</f>
        <v>2.4572872476064632E-4</v>
      </c>
      <c r="J5506" s="33"/>
    </row>
    <row r="5507" spans="1:10">
      <c r="A5507" s="33" t="s">
        <v>201</v>
      </c>
      <c r="B5507" s="34">
        <v>367.63600000000002</v>
      </c>
      <c r="C5507" s="35">
        <v>21568.5</v>
      </c>
      <c r="D5507" s="33" t="s">
        <v>287</v>
      </c>
      <c r="E5507" s="34">
        <v>367.524</v>
      </c>
      <c r="F5507" s="36">
        <v>0.112000000000023</v>
      </c>
      <c r="G5507" s="34">
        <v>0.112000000000023</v>
      </c>
      <c r="H5507" s="35">
        <v>2423</v>
      </c>
      <c r="I5507" s="37">
        <f t="shared" si="86"/>
        <v>0.11233975473491434</v>
      </c>
      <c r="J5507" s="33"/>
    </row>
    <row r="5508" spans="1:10">
      <c r="A5508" s="33" t="s">
        <v>201</v>
      </c>
      <c r="B5508" s="34">
        <v>367.63600000000002</v>
      </c>
      <c r="C5508" s="35">
        <v>21568.5</v>
      </c>
      <c r="D5508" s="33" t="s">
        <v>184</v>
      </c>
      <c r="E5508" s="34">
        <v>367.52600000000001</v>
      </c>
      <c r="F5508" s="36">
        <v>0.110000000000014</v>
      </c>
      <c r="G5508" s="34">
        <v>0.110000000000014</v>
      </c>
      <c r="H5508" s="35">
        <v>568.9</v>
      </c>
      <c r="I5508" s="37">
        <f t="shared" si="86"/>
        <v>2.6376428587987111E-2</v>
      </c>
      <c r="J5508" s="33"/>
    </row>
    <row r="5509" spans="1:10">
      <c r="A5509" s="33" t="s">
        <v>201</v>
      </c>
      <c r="B5509" s="34">
        <v>367.63600000000002</v>
      </c>
      <c r="C5509" s="35">
        <v>21568.5</v>
      </c>
      <c r="D5509" s="33" t="s">
        <v>284</v>
      </c>
      <c r="E5509" s="34">
        <v>367.54500000000002</v>
      </c>
      <c r="F5509" s="36">
        <v>9.1000000000008199E-2</v>
      </c>
      <c r="G5509" s="34">
        <v>9.1000000000008199E-2</v>
      </c>
      <c r="H5509" s="35">
        <v>0.6</v>
      </c>
      <c r="I5509" s="37">
        <f t="shared" si="86"/>
        <v>2.781834619931845E-5</v>
      </c>
      <c r="J5509" s="33"/>
    </row>
    <row r="5510" spans="1:10">
      <c r="A5510" s="33" t="s">
        <v>201</v>
      </c>
      <c r="B5510" s="34">
        <v>367.63600000000002</v>
      </c>
      <c r="C5510" s="35">
        <v>21568.5</v>
      </c>
      <c r="D5510" s="33" t="s">
        <v>274</v>
      </c>
      <c r="E5510" s="34">
        <v>367.55500000000001</v>
      </c>
      <c r="F5510" s="36">
        <v>8.1000000000017294E-2</v>
      </c>
      <c r="G5510" s="34">
        <v>8.1000000000017294E-2</v>
      </c>
      <c r="H5510" s="35">
        <v>11.4</v>
      </c>
      <c r="I5510" s="37">
        <f t="shared" si="86"/>
        <v>5.2854857778705062E-4</v>
      </c>
      <c r="J5510" s="33"/>
    </row>
    <row r="5511" spans="1:10">
      <c r="A5511" s="33" t="s">
        <v>201</v>
      </c>
      <c r="B5511" s="34">
        <v>367.63600000000002</v>
      </c>
      <c r="C5511" s="35">
        <v>21568.5</v>
      </c>
      <c r="D5511" s="33" t="s">
        <v>271</v>
      </c>
      <c r="E5511" s="34">
        <v>367.55700000000002</v>
      </c>
      <c r="F5511" s="36">
        <v>7.9000000000007703E-2</v>
      </c>
      <c r="G5511" s="34">
        <v>7.9000000000007703E-2</v>
      </c>
      <c r="H5511" s="35">
        <v>3620</v>
      </c>
      <c r="I5511" s="37">
        <f t="shared" si="86"/>
        <v>0.16783735540255465</v>
      </c>
      <c r="J5511" s="33"/>
    </row>
    <row r="5512" spans="1:10">
      <c r="A5512" s="33" t="s">
        <v>201</v>
      </c>
      <c r="B5512" s="34">
        <v>367.63600000000002</v>
      </c>
      <c r="C5512" s="35">
        <v>21568.5</v>
      </c>
      <c r="D5512" s="33" t="s">
        <v>278</v>
      </c>
      <c r="E5512" s="34">
        <v>367.56200000000001</v>
      </c>
      <c r="F5512" s="36">
        <v>7.4000000000012306E-2</v>
      </c>
      <c r="G5512" s="34">
        <v>7.4000000000012306E-2</v>
      </c>
      <c r="H5512" s="35">
        <v>105.2</v>
      </c>
      <c r="I5512" s="37">
        <f t="shared" si="86"/>
        <v>4.8774833669471681E-3</v>
      </c>
      <c r="J5512" s="33"/>
    </row>
    <row r="5513" spans="1:10">
      <c r="A5513" s="33" t="s">
        <v>201</v>
      </c>
      <c r="B5513" s="34">
        <v>367.63600000000002</v>
      </c>
      <c r="C5513" s="35">
        <v>21568.5</v>
      </c>
      <c r="D5513" s="33" t="s">
        <v>282</v>
      </c>
      <c r="E5513" s="34">
        <v>367.56900000000002</v>
      </c>
      <c r="F5513" s="36">
        <v>6.7000000000007304E-2</v>
      </c>
      <c r="G5513" s="34">
        <v>6.7000000000007304E-2</v>
      </c>
      <c r="H5513" s="35">
        <v>1.4</v>
      </c>
      <c r="I5513" s="37">
        <f t="shared" si="86"/>
        <v>6.4909474465076384E-5</v>
      </c>
      <c r="J5513" s="33"/>
    </row>
    <row r="5514" spans="1:10">
      <c r="A5514" s="33" t="s">
        <v>201</v>
      </c>
      <c r="B5514" s="34">
        <v>367.63600000000002</v>
      </c>
      <c r="C5514" s="35">
        <v>21568.5</v>
      </c>
      <c r="D5514" s="33" t="s">
        <v>269</v>
      </c>
      <c r="E5514" s="34">
        <v>367.57400000000001</v>
      </c>
      <c r="F5514" s="36">
        <v>6.2000000000011803E-2</v>
      </c>
      <c r="G5514" s="34">
        <v>6.2000000000011803E-2</v>
      </c>
      <c r="H5514" s="35">
        <v>114.3</v>
      </c>
      <c r="I5514" s="37">
        <f t="shared" si="86"/>
        <v>5.2993949509701644E-3</v>
      </c>
      <c r="J5514" s="33"/>
    </row>
    <row r="5515" spans="1:10">
      <c r="A5515" s="33" t="s">
        <v>201</v>
      </c>
      <c r="B5515" s="34">
        <v>367.63600000000002</v>
      </c>
      <c r="C5515" s="35">
        <v>21568.5</v>
      </c>
      <c r="D5515" s="33" t="s">
        <v>201</v>
      </c>
      <c r="E5515" s="34">
        <v>367.57799999999997</v>
      </c>
      <c r="F5515" s="36">
        <v>5.8000000000049602E-2</v>
      </c>
      <c r="G5515" s="34">
        <v>5.8000000000049602E-2</v>
      </c>
      <c r="H5515" s="35">
        <v>1120.2</v>
      </c>
      <c r="I5515" s="37">
        <f t="shared" si="86"/>
        <v>5.1936852354127552E-2</v>
      </c>
      <c r="J5515" s="33"/>
    </row>
    <row r="5516" spans="1:10">
      <c r="A5516" s="33" t="s">
        <v>201</v>
      </c>
      <c r="B5516" s="34">
        <v>367.63600000000002</v>
      </c>
      <c r="C5516" s="35">
        <v>21568.5</v>
      </c>
      <c r="D5516" s="33" t="s">
        <v>275</v>
      </c>
      <c r="E5516" s="34">
        <v>367.59699999999998</v>
      </c>
      <c r="F5516" s="36">
        <v>3.9000000000044097E-2</v>
      </c>
      <c r="G5516" s="34">
        <v>3.9000000000044097E-2</v>
      </c>
      <c r="H5516" s="35">
        <v>5.8</v>
      </c>
      <c r="I5516" s="37">
        <f t="shared" si="86"/>
        <v>2.6891067992674503E-4</v>
      </c>
      <c r="J5516" s="33"/>
    </row>
    <row r="5517" spans="1:10">
      <c r="A5517" s="33" t="s">
        <v>201</v>
      </c>
      <c r="B5517" s="34">
        <v>367.63600000000002</v>
      </c>
      <c r="C5517" s="35">
        <v>21568.5</v>
      </c>
      <c r="D5517" s="33" t="s">
        <v>279</v>
      </c>
      <c r="E5517" s="34">
        <v>367.6</v>
      </c>
      <c r="F5517" s="36">
        <v>3.6000000000001399E-2</v>
      </c>
      <c r="G5517" s="34">
        <v>3.6000000000001399E-2</v>
      </c>
      <c r="H5517" s="35">
        <v>23</v>
      </c>
      <c r="I5517" s="37">
        <f t="shared" si="86"/>
        <v>1.0663699376405407E-3</v>
      </c>
      <c r="J5517" s="33"/>
    </row>
    <row r="5518" spans="1:10">
      <c r="A5518" s="33" t="s">
        <v>201</v>
      </c>
      <c r="B5518" s="34">
        <v>367.63600000000002</v>
      </c>
      <c r="C5518" s="35">
        <v>21568.5</v>
      </c>
      <c r="D5518" s="33" t="s">
        <v>33</v>
      </c>
      <c r="E5518" s="34">
        <v>367.60199999999998</v>
      </c>
      <c r="F5518" s="36">
        <v>3.40000000000487E-2</v>
      </c>
      <c r="G5518" s="34">
        <v>3.40000000000487E-2</v>
      </c>
      <c r="H5518" s="35">
        <v>382.3</v>
      </c>
      <c r="I5518" s="37">
        <f t="shared" si="86"/>
        <v>1.7724922919999074E-2</v>
      </c>
      <c r="J5518" s="33" t="s">
        <v>116</v>
      </c>
    </row>
    <row r="5519" spans="1:10">
      <c r="A5519" s="33" t="s">
        <v>201</v>
      </c>
      <c r="B5519" s="34">
        <v>367.63600000000002</v>
      </c>
      <c r="C5519" s="35">
        <v>21568.5</v>
      </c>
      <c r="D5519" s="33" t="s">
        <v>193</v>
      </c>
      <c r="E5519" s="34">
        <v>367.60899999999998</v>
      </c>
      <c r="F5519" s="36">
        <v>2.7000000000043701E-2</v>
      </c>
      <c r="G5519" s="34">
        <v>2.7000000000043701E-2</v>
      </c>
      <c r="H5519" s="35">
        <v>74.400000000000006</v>
      </c>
      <c r="I5519" s="37">
        <f t="shared" si="86"/>
        <v>3.4494749287154883E-3</v>
      </c>
      <c r="J5519" s="33"/>
    </row>
    <row r="5520" spans="1:10">
      <c r="A5520" s="33" t="s">
        <v>201</v>
      </c>
      <c r="B5520" s="34">
        <v>367.63600000000002</v>
      </c>
      <c r="C5520" s="35">
        <v>21568.5</v>
      </c>
      <c r="D5520" s="33" t="s">
        <v>25</v>
      </c>
      <c r="E5520" s="34">
        <v>367.61500000000001</v>
      </c>
      <c r="F5520" s="36">
        <v>2.1000000000015E-2</v>
      </c>
      <c r="G5520" s="34">
        <v>2.1000000000015E-2</v>
      </c>
      <c r="H5520" s="35">
        <v>396.8</v>
      </c>
      <c r="I5520" s="37">
        <f t="shared" si="86"/>
        <v>1.8397199619815934E-2</v>
      </c>
      <c r="J5520" s="33" t="s">
        <v>116</v>
      </c>
    </row>
    <row r="5521" spans="1:10">
      <c r="A5521" s="33" t="s">
        <v>201</v>
      </c>
      <c r="B5521" s="34">
        <v>367.63600000000002</v>
      </c>
      <c r="C5521" s="35">
        <v>21568.5</v>
      </c>
      <c r="D5521" s="33" t="s">
        <v>97</v>
      </c>
      <c r="E5521" s="34">
        <v>367.63099999999997</v>
      </c>
      <c r="F5521" s="36">
        <v>5.0000000000523003E-3</v>
      </c>
      <c r="G5521" s="34">
        <v>5.0000000000523003E-3</v>
      </c>
      <c r="H5521" s="35">
        <v>15.2</v>
      </c>
      <c r="I5521" s="37">
        <f t="shared" si="86"/>
        <v>7.0473143704940068E-4</v>
      </c>
      <c r="J5521" s="33"/>
    </row>
    <row r="5522" spans="1:10">
      <c r="A5522" s="33" t="s">
        <v>201</v>
      </c>
      <c r="B5522" s="34">
        <v>367.63600000000002</v>
      </c>
      <c r="C5522" s="35">
        <v>21568.5</v>
      </c>
      <c r="D5522" s="33" t="s">
        <v>239</v>
      </c>
      <c r="E5522" s="34">
        <v>367.63200000000001</v>
      </c>
      <c r="F5522" s="36">
        <v>4.0000000000191003E-3</v>
      </c>
      <c r="G5522" s="34">
        <v>4.0000000000191003E-3</v>
      </c>
      <c r="H5522" s="35">
        <v>20.2</v>
      </c>
      <c r="I5522" s="37">
        <f t="shared" si="86"/>
        <v>9.3655098871038784E-4</v>
      </c>
      <c r="J5522" s="33"/>
    </row>
    <row r="5523" spans="1:10">
      <c r="A5523" s="33" t="s">
        <v>201</v>
      </c>
      <c r="B5523" s="34">
        <v>367.63600000000002</v>
      </c>
      <c r="C5523" s="35">
        <v>21568.5</v>
      </c>
      <c r="D5523" s="33" t="s">
        <v>84</v>
      </c>
      <c r="E5523" s="34">
        <v>367.65100000000001</v>
      </c>
      <c r="F5523" s="36">
        <v>1.4999999999999999E-2</v>
      </c>
      <c r="G5523" s="34">
        <v>1.4999999999999999E-2</v>
      </c>
      <c r="H5523" s="35">
        <v>1052.3</v>
      </c>
      <c r="I5523" s="37">
        <f t="shared" si="86"/>
        <v>4.8788742842571342E-2</v>
      </c>
      <c r="J5523" s="33" t="s">
        <v>116</v>
      </c>
    </row>
    <row r="5524" spans="1:10">
      <c r="A5524" s="33" t="s">
        <v>201</v>
      </c>
      <c r="B5524" s="34">
        <v>367.63600000000002</v>
      </c>
      <c r="C5524" s="35">
        <v>21568.5</v>
      </c>
      <c r="D5524" s="33" t="s">
        <v>54</v>
      </c>
      <c r="E5524" s="34">
        <v>367.65499999999997</v>
      </c>
      <c r="F5524" s="36">
        <v>1.89999999999486E-2</v>
      </c>
      <c r="G5524" s="34">
        <v>1.89999999999486E-2</v>
      </c>
      <c r="H5524" s="35">
        <v>119.1</v>
      </c>
      <c r="I5524" s="37">
        <f t="shared" si="86"/>
        <v>5.5219417205647119E-3</v>
      </c>
      <c r="J5524" s="33"/>
    </row>
    <row r="5525" spans="1:10">
      <c r="A5525" s="33" t="s">
        <v>201</v>
      </c>
      <c r="B5525" s="34">
        <v>367.63600000000002</v>
      </c>
      <c r="C5525" s="35">
        <v>21568.5</v>
      </c>
      <c r="D5525" s="33" t="s">
        <v>277</v>
      </c>
      <c r="E5525" s="34">
        <v>367.65600000000001</v>
      </c>
      <c r="F5525" s="36">
        <v>1.99999999999818E-2</v>
      </c>
      <c r="G5525" s="34">
        <v>1.99999999999818E-2</v>
      </c>
      <c r="H5525" s="35">
        <v>300.60000000000002</v>
      </c>
      <c r="I5525" s="37">
        <f t="shared" si="86"/>
        <v>1.3936991445858546E-2</v>
      </c>
      <c r="J5525" s="33"/>
    </row>
    <row r="5526" spans="1:10">
      <c r="A5526" s="33" t="s">
        <v>201</v>
      </c>
      <c r="B5526" s="34">
        <v>367.63600000000002</v>
      </c>
      <c r="C5526" s="35">
        <v>21568.5</v>
      </c>
      <c r="D5526" s="33" t="s">
        <v>33</v>
      </c>
      <c r="E5526" s="34">
        <v>367.65899999999999</v>
      </c>
      <c r="F5526" s="36">
        <v>2.2999999999967699E-2</v>
      </c>
      <c r="G5526" s="34">
        <v>2.2999999999967699E-2</v>
      </c>
      <c r="H5526" s="35">
        <v>5742.3</v>
      </c>
      <c r="I5526" s="37">
        <f t="shared" si="86"/>
        <v>0.26623548230057725</v>
      </c>
      <c r="J5526" s="33" t="s">
        <v>116</v>
      </c>
    </row>
    <row r="5527" spans="1:10">
      <c r="A5527" s="33" t="s">
        <v>201</v>
      </c>
      <c r="B5527" s="34">
        <v>367.63600000000002</v>
      </c>
      <c r="C5527" s="35">
        <v>21568.5</v>
      </c>
      <c r="D5527" s="33" t="s">
        <v>184</v>
      </c>
      <c r="E5527" s="34">
        <v>367.66300000000001</v>
      </c>
      <c r="F5527" s="36">
        <v>2.6999999999986798E-2</v>
      </c>
      <c r="G5527" s="34">
        <v>2.6999999999986798E-2</v>
      </c>
      <c r="H5527" s="35">
        <v>268.5</v>
      </c>
      <c r="I5527" s="37">
        <f t="shared" si="86"/>
        <v>1.2448709924195006E-2</v>
      </c>
      <c r="J5527" s="33"/>
    </row>
    <row r="5528" spans="1:10">
      <c r="A5528" s="33" t="s">
        <v>201</v>
      </c>
      <c r="B5528" s="34">
        <v>367.63600000000002</v>
      </c>
      <c r="C5528" s="35">
        <v>21568.5</v>
      </c>
      <c r="D5528" s="33" t="s">
        <v>271</v>
      </c>
      <c r="E5528" s="34">
        <v>367.66899999999998</v>
      </c>
      <c r="F5528" s="36">
        <v>3.2999999999958597E-2</v>
      </c>
      <c r="G5528" s="34">
        <v>3.2999999999958597E-2</v>
      </c>
      <c r="H5528" s="35">
        <v>166.7</v>
      </c>
      <c r="I5528" s="37">
        <f t="shared" si="86"/>
        <v>7.7288638523773092E-3</v>
      </c>
      <c r="J5528" s="33"/>
    </row>
    <row r="5529" spans="1:10">
      <c r="A5529" s="33" t="s">
        <v>201</v>
      </c>
      <c r="B5529" s="34">
        <v>367.63600000000002</v>
      </c>
      <c r="C5529" s="35">
        <v>21568.5</v>
      </c>
      <c r="D5529" s="33" t="s">
        <v>278</v>
      </c>
      <c r="E5529" s="34">
        <v>367.67</v>
      </c>
      <c r="F5529" s="36">
        <v>3.3999999999991801E-2</v>
      </c>
      <c r="G5529" s="34">
        <v>3.3999999999991801E-2</v>
      </c>
      <c r="H5529" s="35">
        <v>95.5</v>
      </c>
      <c r="I5529" s="37">
        <f t="shared" si="86"/>
        <v>4.4277534367248537E-3</v>
      </c>
      <c r="J5529" s="33"/>
    </row>
    <row r="5530" spans="1:10">
      <c r="A5530" s="33" t="s">
        <v>201</v>
      </c>
      <c r="B5530" s="34">
        <v>367.63600000000002</v>
      </c>
      <c r="C5530" s="35">
        <v>21568.5</v>
      </c>
      <c r="D5530" s="33" t="s">
        <v>240</v>
      </c>
      <c r="E5530" s="34">
        <v>367.69200000000001</v>
      </c>
      <c r="F5530" s="36">
        <v>5.5999999999983202E-2</v>
      </c>
      <c r="G5530" s="34">
        <v>5.5999999999983202E-2</v>
      </c>
      <c r="H5530" s="35">
        <v>27.1</v>
      </c>
      <c r="I5530" s="37">
        <f t="shared" si="86"/>
        <v>1.25646197000255E-3</v>
      </c>
      <c r="J5530" s="33"/>
    </row>
    <row r="5531" spans="1:10">
      <c r="A5531" s="33" t="s">
        <v>201</v>
      </c>
      <c r="B5531" s="34">
        <v>367.63600000000002</v>
      </c>
      <c r="C5531" s="35">
        <v>21568.5</v>
      </c>
      <c r="D5531" s="33" t="s">
        <v>273</v>
      </c>
      <c r="E5531" s="34">
        <v>367.70800000000003</v>
      </c>
      <c r="F5531" s="36">
        <v>7.2000000000002701E-2</v>
      </c>
      <c r="G5531" s="34">
        <v>7.2000000000002701E-2</v>
      </c>
      <c r="H5531" s="35">
        <v>25.3</v>
      </c>
      <c r="I5531" s="37">
        <f t="shared" si="86"/>
        <v>1.1730069314045946E-3</v>
      </c>
      <c r="J5531" s="33"/>
    </row>
    <row r="5532" spans="1:10">
      <c r="A5532" s="33" t="s">
        <v>201</v>
      </c>
      <c r="B5532" s="34">
        <v>367.63600000000002</v>
      </c>
      <c r="C5532" s="35">
        <v>21568.5</v>
      </c>
      <c r="D5532" s="33" t="s">
        <v>97</v>
      </c>
      <c r="E5532" s="34">
        <v>367.76299999999998</v>
      </c>
      <c r="F5532" s="36">
        <v>0.12699999999995301</v>
      </c>
      <c r="G5532" s="34">
        <v>0.12699999999995301</v>
      </c>
      <c r="H5532" s="35">
        <v>70.8</v>
      </c>
      <c r="I5532" s="37">
        <f t="shared" si="86"/>
        <v>3.282564851519577E-3</v>
      </c>
      <c r="J5532" s="33"/>
    </row>
    <row r="5533" spans="1:10">
      <c r="A5533" s="33" t="s">
        <v>201</v>
      </c>
      <c r="B5533" s="34">
        <v>367.63600000000002</v>
      </c>
      <c r="C5533" s="35">
        <v>21568.5</v>
      </c>
      <c r="D5533" s="33" t="s">
        <v>277</v>
      </c>
      <c r="E5533" s="34">
        <v>367.767</v>
      </c>
      <c r="F5533" s="36">
        <v>0.130999999999972</v>
      </c>
      <c r="G5533" s="34">
        <v>0.130999999999972</v>
      </c>
      <c r="H5533" s="35">
        <v>315</v>
      </c>
      <c r="I5533" s="37">
        <f t="shared" si="86"/>
        <v>1.4604631754642187E-2</v>
      </c>
      <c r="J5533" s="33"/>
    </row>
    <row r="5534" spans="1:10">
      <c r="A5534" s="33" t="s">
        <v>201</v>
      </c>
      <c r="B5534" s="34">
        <v>367.63600000000002</v>
      </c>
      <c r="C5534" s="35">
        <v>21568.5</v>
      </c>
      <c r="D5534" s="33" t="s">
        <v>240</v>
      </c>
      <c r="E5534" s="34">
        <v>367.77100000000002</v>
      </c>
      <c r="F5534" s="36">
        <v>0.13499999999999099</v>
      </c>
      <c r="G5534" s="34">
        <v>0.13499999999999099</v>
      </c>
      <c r="H5534" s="35">
        <v>1.4</v>
      </c>
      <c r="I5534" s="37">
        <f t="shared" si="86"/>
        <v>6.4909474465076384E-5</v>
      </c>
      <c r="J5534" s="33"/>
    </row>
    <row r="5535" spans="1:10">
      <c r="A5535" s="33" t="s">
        <v>201</v>
      </c>
      <c r="B5535" s="34">
        <v>367.63600000000002</v>
      </c>
      <c r="C5535" s="35">
        <v>21568.5</v>
      </c>
      <c r="D5535" s="33" t="s">
        <v>270</v>
      </c>
      <c r="E5535" s="34">
        <v>367.77300000000002</v>
      </c>
      <c r="F5535" s="36">
        <v>0.13700000000000101</v>
      </c>
      <c r="G5535" s="34">
        <v>0.13700000000000101</v>
      </c>
      <c r="H5535" s="35">
        <v>1901.6</v>
      </c>
      <c r="I5535" s="37">
        <f t="shared" si="86"/>
        <v>8.8165611887706608E-2</v>
      </c>
      <c r="J5535" s="33"/>
    </row>
    <row r="5536" spans="1:10">
      <c r="A5536" s="33" t="s">
        <v>201</v>
      </c>
      <c r="B5536" s="34">
        <v>367.63600000000002</v>
      </c>
      <c r="C5536" s="35">
        <v>21568.5</v>
      </c>
      <c r="D5536" s="33" t="s">
        <v>273</v>
      </c>
      <c r="E5536" s="34">
        <v>367.77800000000002</v>
      </c>
      <c r="F5536" s="36">
        <v>0.14199999999999599</v>
      </c>
      <c r="G5536" s="34">
        <v>0.14199999999999599</v>
      </c>
      <c r="H5536" s="35">
        <v>45.6</v>
      </c>
      <c r="I5536" s="37">
        <f t="shared" si="86"/>
        <v>2.1141943111482025E-3</v>
      </c>
      <c r="J5536" s="33"/>
    </row>
    <row r="5537" spans="1:10">
      <c r="A5537" s="33" t="s">
        <v>201</v>
      </c>
      <c r="B5537" s="34">
        <v>367.63600000000002</v>
      </c>
      <c r="C5537" s="35">
        <v>21568.5</v>
      </c>
      <c r="D5537" s="33" t="s">
        <v>239</v>
      </c>
      <c r="E5537" s="34">
        <v>367.78500000000003</v>
      </c>
      <c r="F5537" s="36">
        <v>0.14900000000000099</v>
      </c>
      <c r="G5537" s="34">
        <v>0.14900000000000099</v>
      </c>
      <c r="H5537" s="35">
        <v>467.5</v>
      </c>
      <c r="I5537" s="37">
        <f t="shared" si="86"/>
        <v>2.1675128080302291E-2</v>
      </c>
      <c r="J5537" s="33"/>
    </row>
    <row r="5538" spans="1:10">
      <c r="A5538" s="33" t="s">
        <v>201</v>
      </c>
      <c r="B5538" s="34">
        <v>367.63600000000002</v>
      </c>
      <c r="C5538" s="35">
        <v>21568.5</v>
      </c>
      <c r="D5538" s="33" t="s">
        <v>201</v>
      </c>
      <c r="E5538" s="34">
        <v>367.78899999999999</v>
      </c>
      <c r="F5538" s="36">
        <v>0.152999999999963</v>
      </c>
      <c r="G5538" s="34">
        <v>0.152999999999963</v>
      </c>
      <c r="H5538" s="35">
        <v>2012</v>
      </c>
      <c r="I5538" s="37">
        <f t="shared" si="86"/>
        <v>9.3284187588381209E-2</v>
      </c>
      <c r="J5538" s="33"/>
    </row>
    <row r="5539" spans="1:10">
      <c r="A5539" s="33" t="s">
        <v>201</v>
      </c>
      <c r="B5539" s="34">
        <v>367.63600000000002</v>
      </c>
      <c r="C5539" s="35">
        <v>21568.5</v>
      </c>
      <c r="D5539" s="33" t="s">
        <v>271</v>
      </c>
      <c r="E5539" s="34">
        <v>367.80500000000001</v>
      </c>
      <c r="F5539" s="36">
        <v>0.168999999999983</v>
      </c>
      <c r="G5539" s="34">
        <v>0.168999999999983</v>
      </c>
      <c r="H5539" s="35">
        <v>2162.5</v>
      </c>
      <c r="I5539" s="37">
        <f t="shared" si="86"/>
        <v>0.10026195609337692</v>
      </c>
      <c r="J5539" s="33"/>
    </row>
    <row r="5540" spans="1:10">
      <c r="A5540" s="33" t="s">
        <v>201</v>
      </c>
      <c r="B5540" s="34">
        <v>367.63600000000002</v>
      </c>
      <c r="C5540" s="35">
        <v>21568.5</v>
      </c>
      <c r="D5540" s="33" t="s">
        <v>273</v>
      </c>
      <c r="E5540" s="34">
        <v>367.80799999999999</v>
      </c>
      <c r="F5540" s="36">
        <v>0.17199999999996901</v>
      </c>
      <c r="G5540" s="34">
        <v>0.17199999999996901</v>
      </c>
      <c r="H5540" s="35">
        <v>219.2</v>
      </c>
      <c r="I5540" s="37">
        <f t="shared" si="86"/>
        <v>1.0162969144817673E-2</v>
      </c>
      <c r="J5540" s="33"/>
    </row>
    <row r="5541" spans="1:10">
      <c r="A5541" s="33" t="s">
        <v>201</v>
      </c>
      <c r="B5541" s="34">
        <v>367.63600000000002</v>
      </c>
      <c r="C5541" s="35">
        <v>21568.5</v>
      </c>
      <c r="D5541" s="33" t="s">
        <v>27</v>
      </c>
      <c r="E5541" s="34">
        <v>367.81799999999998</v>
      </c>
      <c r="F5541" s="36">
        <v>0.18199999999996</v>
      </c>
      <c r="G5541" s="34">
        <v>0.18199999999996</v>
      </c>
      <c r="H5541" s="35">
        <v>949.1</v>
      </c>
      <c r="I5541" s="37">
        <f t="shared" si="86"/>
        <v>4.4003987296288571E-2</v>
      </c>
      <c r="J5541" s="33" t="s">
        <v>116</v>
      </c>
    </row>
    <row r="5542" spans="1:10">
      <c r="A5542" s="33" t="s">
        <v>201</v>
      </c>
      <c r="B5542" s="34">
        <v>370.28500000000003</v>
      </c>
      <c r="C5542" s="35">
        <v>13490.7</v>
      </c>
      <c r="D5542" s="33" t="s">
        <v>109</v>
      </c>
      <c r="E5542" s="34">
        <v>370.13600000000002</v>
      </c>
      <c r="F5542" s="36">
        <v>0.14900000000000099</v>
      </c>
      <c r="G5542" s="34">
        <v>0.14900000000000099</v>
      </c>
      <c r="H5542" s="35">
        <v>22589.4</v>
      </c>
      <c r="I5542" s="37">
        <f t="shared" si="86"/>
        <v>1.6744423936489581</v>
      </c>
      <c r="J5542" s="33" t="s">
        <v>116</v>
      </c>
    </row>
    <row r="5543" spans="1:10">
      <c r="A5543" s="33" t="s">
        <v>201</v>
      </c>
      <c r="B5543" s="34">
        <v>370.28500000000003</v>
      </c>
      <c r="C5543" s="35">
        <v>13490.7</v>
      </c>
      <c r="D5543" s="33" t="s">
        <v>116</v>
      </c>
      <c r="E5543" s="34">
        <v>370.142</v>
      </c>
      <c r="F5543" s="36">
        <v>0.14299999999999999</v>
      </c>
      <c r="G5543" s="34">
        <v>0.14299999999999999</v>
      </c>
      <c r="H5543" s="35">
        <v>129.80000000000001</v>
      </c>
      <c r="I5543" s="37">
        <f t="shared" si="86"/>
        <v>9.6214429199374379E-3</v>
      </c>
      <c r="J5543" s="33" t="s">
        <v>116</v>
      </c>
    </row>
    <row r="5544" spans="1:10">
      <c r="A5544" s="33" t="s">
        <v>201</v>
      </c>
      <c r="B5544" s="34">
        <v>370.28500000000003</v>
      </c>
      <c r="C5544" s="35">
        <v>13490.7</v>
      </c>
      <c r="D5544" s="33" t="s">
        <v>84</v>
      </c>
      <c r="E5544" s="34">
        <v>370.15</v>
      </c>
      <c r="F5544" s="36">
        <v>0.13500000000000001</v>
      </c>
      <c r="G5544" s="34">
        <v>0.13500000000000001</v>
      </c>
      <c r="H5544" s="35">
        <v>933.4</v>
      </c>
      <c r="I5544" s="37">
        <f t="shared" si="86"/>
        <v>6.9188403863402193E-2</v>
      </c>
      <c r="J5544" s="33" t="s">
        <v>116</v>
      </c>
    </row>
    <row r="5545" spans="1:10">
      <c r="A5545" s="33" t="s">
        <v>201</v>
      </c>
      <c r="B5545" s="34">
        <v>370.28500000000003</v>
      </c>
      <c r="C5545" s="35">
        <v>13490.7</v>
      </c>
      <c r="D5545" s="33" t="s">
        <v>277</v>
      </c>
      <c r="E5545" s="34">
        <v>370.15199999999999</v>
      </c>
      <c r="F5545" s="36">
        <v>0.133000000000038</v>
      </c>
      <c r="G5545" s="34">
        <v>0.133000000000038</v>
      </c>
      <c r="H5545" s="35">
        <v>924.2</v>
      </c>
      <c r="I5545" s="37">
        <f t="shared" si="86"/>
        <v>6.8506452593267958E-2</v>
      </c>
      <c r="J5545" s="33"/>
    </row>
    <row r="5546" spans="1:10">
      <c r="A5546" s="33" t="s">
        <v>201</v>
      </c>
      <c r="B5546" s="34">
        <v>370.28500000000003</v>
      </c>
      <c r="C5546" s="35">
        <v>13490.7</v>
      </c>
      <c r="D5546" s="33" t="s">
        <v>270</v>
      </c>
      <c r="E5546" s="34">
        <v>370.15499999999997</v>
      </c>
      <c r="F5546" s="36">
        <v>0.13000000000005199</v>
      </c>
      <c r="G5546" s="34">
        <v>0.13000000000005199</v>
      </c>
      <c r="H5546" s="35">
        <v>336.3</v>
      </c>
      <c r="I5546" s="37">
        <f t="shared" si="86"/>
        <v>2.4928283928928818E-2</v>
      </c>
      <c r="J5546" s="33"/>
    </row>
    <row r="5547" spans="1:10">
      <c r="A5547" s="33" t="s">
        <v>201</v>
      </c>
      <c r="B5547" s="34">
        <v>370.28500000000003</v>
      </c>
      <c r="C5547" s="35">
        <v>13490.7</v>
      </c>
      <c r="D5547" s="33" t="s">
        <v>33</v>
      </c>
      <c r="E5547" s="34">
        <v>370.16199999999998</v>
      </c>
      <c r="F5547" s="36">
        <v>0.123000000000047</v>
      </c>
      <c r="G5547" s="34">
        <v>0.123000000000047</v>
      </c>
      <c r="H5547" s="35">
        <v>1221.3</v>
      </c>
      <c r="I5547" s="37">
        <f t="shared" si="86"/>
        <v>9.0529031110320429E-2</v>
      </c>
      <c r="J5547" s="33" t="s">
        <v>116</v>
      </c>
    </row>
    <row r="5548" spans="1:10">
      <c r="A5548" s="33" t="s">
        <v>201</v>
      </c>
      <c r="B5548" s="34">
        <v>370.28500000000003</v>
      </c>
      <c r="C5548" s="35">
        <v>13490.7</v>
      </c>
      <c r="D5548" s="33" t="s">
        <v>240</v>
      </c>
      <c r="E5548" s="34">
        <v>370.17200000000003</v>
      </c>
      <c r="F5548" s="36">
        <v>0.113</v>
      </c>
      <c r="G5548" s="34">
        <v>0.113</v>
      </c>
      <c r="H5548" s="35">
        <v>5.8</v>
      </c>
      <c r="I5548" s="37">
        <f t="shared" si="86"/>
        <v>4.2992580073680385E-4</v>
      </c>
      <c r="J5548" s="33"/>
    </row>
    <row r="5549" spans="1:10">
      <c r="A5549" s="33" t="s">
        <v>201</v>
      </c>
      <c r="B5549" s="34">
        <v>370.28500000000003</v>
      </c>
      <c r="C5549" s="35">
        <v>13490.7</v>
      </c>
      <c r="D5549" s="33" t="s">
        <v>25</v>
      </c>
      <c r="E5549" s="34">
        <v>370.173</v>
      </c>
      <c r="F5549" s="36">
        <v>0.112000000000023</v>
      </c>
      <c r="G5549" s="34">
        <v>0.112000000000023</v>
      </c>
      <c r="H5549" s="35">
        <v>53.8</v>
      </c>
      <c r="I5549" s="37">
        <f t="shared" si="86"/>
        <v>3.9879324275241459E-3</v>
      </c>
      <c r="J5549" s="33" t="s">
        <v>116</v>
      </c>
    </row>
    <row r="5550" spans="1:10">
      <c r="A5550" s="33" t="s">
        <v>201</v>
      </c>
      <c r="B5550" s="34">
        <v>370.28500000000003</v>
      </c>
      <c r="C5550" s="35">
        <v>13490.7</v>
      </c>
      <c r="D5550" s="33" t="s">
        <v>133</v>
      </c>
      <c r="E5550" s="34">
        <v>370.18099999999998</v>
      </c>
      <c r="F5550" s="36">
        <v>0.104000000000042</v>
      </c>
      <c r="G5550" s="34">
        <v>0.104000000000042</v>
      </c>
      <c r="H5550" s="35">
        <v>450.1</v>
      </c>
      <c r="I5550" s="37">
        <f t="shared" si="86"/>
        <v>3.3363724639937142E-2</v>
      </c>
      <c r="J5550" s="33"/>
    </row>
    <row r="5551" spans="1:10">
      <c r="A5551" s="33" t="s">
        <v>201</v>
      </c>
      <c r="B5551" s="34">
        <v>370.28500000000003</v>
      </c>
      <c r="C5551" s="35">
        <v>13490.7</v>
      </c>
      <c r="D5551" s="33" t="s">
        <v>97</v>
      </c>
      <c r="E5551" s="34">
        <v>370.20299999999997</v>
      </c>
      <c r="F5551" s="36">
        <v>8.2000000000050505E-2</v>
      </c>
      <c r="G5551" s="34">
        <v>8.2000000000050505E-2</v>
      </c>
      <c r="H5551" s="35">
        <v>3.2</v>
      </c>
      <c r="I5551" s="37">
        <f t="shared" si="86"/>
        <v>2.3720044178582281E-4</v>
      </c>
      <c r="J5551" s="33"/>
    </row>
    <row r="5552" spans="1:10">
      <c r="A5552" s="33" t="s">
        <v>201</v>
      </c>
      <c r="B5552" s="34">
        <v>370.28500000000003</v>
      </c>
      <c r="C5552" s="35">
        <v>13490.7</v>
      </c>
      <c r="D5552" s="33" t="s">
        <v>275</v>
      </c>
      <c r="E5552" s="34">
        <v>370.20299999999997</v>
      </c>
      <c r="F5552" s="36">
        <v>8.2000000000050505E-2</v>
      </c>
      <c r="G5552" s="34">
        <v>8.2000000000050505E-2</v>
      </c>
      <c r="H5552" s="35">
        <v>18.3</v>
      </c>
      <c r="I5552" s="37">
        <f t="shared" si="86"/>
        <v>1.3564900264626742E-3</v>
      </c>
      <c r="J5552" s="33"/>
    </row>
    <row r="5553" spans="1:10">
      <c r="A5553" s="33" t="s">
        <v>201</v>
      </c>
      <c r="B5553" s="34">
        <v>370.28500000000003</v>
      </c>
      <c r="C5553" s="35">
        <v>13490.7</v>
      </c>
      <c r="D5553" s="33" t="s">
        <v>277</v>
      </c>
      <c r="E5553" s="34">
        <v>370.22199999999998</v>
      </c>
      <c r="F5553" s="36">
        <v>6.3000000000045006E-2</v>
      </c>
      <c r="G5553" s="34">
        <v>6.3000000000045006E-2</v>
      </c>
      <c r="H5553" s="35">
        <v>87.8</v>
      </c>
      <c r="I5553" s="37">
        <f t="shared" si="86"/>
        <v>6.508187121498513E-3</v>
      </c>
      <c r="J5553" s="33"/>
    </row>
    <row r="5554" spans="1:10">
      <c r="A5554" s="33" t="s">
        <v>201</v>
      </c>
      <c r="B5554" s="34">
        <v>370.28500000000003</v>
      </c>
      <c r="C5554" s="35">
        <v>13490.7</v>
      </c>
      <c r="D5554" s="33" t="s">
        <v>54</v>
      </c>
      <c r="E5554" s="34">
        <v>370.22300000000001</v>
      </c>
      <c r="F5554" s="36">
        <v>6.2000000000011803E-2</v>
      </c>
      <c r="G5554" s="34">
        <v>6.2000000000011803E-2</v>
      </c>
      <c r="H5554" s="35">
        <v>78.8</v>
      </c>
      <c r="I5554" s="37">
        <f t="shared" si="86"/>
        <v>5.8410608789758863E-3</v>
      </c>
      <c r="J5554" s="33"/>
    </row>
    <row r="5555" spans="1:10">
      <c r="A5555" s="33" t="s">
        <v>201</v>
      </c>
      <c r="B5555" s="34">
        <v>370.28500000000003</v>
      </c>
      <c r="C5555" s="35">
        <v>13490.7</v>
      </c>
      <c r="D5555" s="33" t="s">
        <v>268</v>
      </c>
      <c r="E5555" s="34">
        <v>370.22300000000001</v>
      </c>
      <c r="F5555" s="36">
        <v>6.2000000000011803E-2</v>
      </c>
      <c r="G5555" s="34">
        <v>6.2000000000011803E-2</v>
      </c>
      <c r="H5555" s="35">
        <v>2.6</v>
      </c>
      <c r="I5555" s="37">
        <f t="shared" si="86"/>
        <v>1.9272535895098104E-4</v>
      </c>
      <c r="J5555" s="33"/>
    </row>
    <row r="5556" spans="1:10">
      <c r="A5556" s="33" t="s">
        <v>201</v>
      </c>
      <c r="B5556" s="34">
        <v>370.28500000000003</v>
      </c>
      <c r="C5556" s="35">
        <v>13490.7</v>
      </c>
      <c r="D5556" s="33" t="s">
        <v>274</v>
      </c>
      <c r="E5556" s="34">
        <v>370.23200000000003</v>
      </c>
      <c r="F5556" s="36">
        <v>5.2999999999997299E-2</v>
      </c>
      <c r="G5556" s="34">
        <v>5.2999999999997299E-2</v>
      </c>
      <c r="H5556" s="35">
        <v>3.3</v>
      </c>
      <c r="I5556" s="37">
        <f t="shared" si="86"/>
        <v>2.4461295559162976E-4</v>
      </c>
      <c r="J5556" s="33"/>
    </row>
    <row r="5557" spans="1:10">
      <c r="A5557" s="33" t="s">
        <v>201</v>
      </c>
      <c r="B5557" s="34">
        <v>370.28500000000003</v>
      </c>
      <c r="C5557" s="35">
        <v>13490.7</v>
      </c>
      <c r="D5557" s="33" t="s">
        <v>94</v>
      </c>
      <c r="E5557" s="34">
        <v>370.23500000000001</v>
      </c>
      <c r="F5557" s="36">
        <v>0.05</v>
      </c>
      <c r="G5557" s="34">
        <v>0.05</v>
      </c>
      <c r="H5557" s="35">
        <v>1279.5</v>
      </c>
      <c r="I5557" s="37">
        <f t="shared" si="86"/>
        <v>9.4843114145300084E-2</v>
      </c>
      <c r="J5557" s="33" t="s">
        <v>116</v>
      </c>
    </row>
    <row r="5558" spans="1:10">
      <c r="A5558" s="33" t="s">
        <v>201</v>
      </c>
      <c r="B5558" s="34">
        <v>370.28500000000003</v>
      </c>
      <c r="C5558" s="35">
        <v>13490.7</v>
      </c>
      <c r="D5558" s="33" t="s">
        <v>97</v>
      </c>
      <c r="E5558" s="34">
        <v>370.24900000000002</v>
      </c>
      <c r="F5558" s="36">
        <v>3.6000000000001399E-2</v>
      </c>
      <c r="G5558" s="34">
        <v>3.6000000000001399E-2</v>
      </c>
      <c r="H5558" s="35">
        <v>11</v>
      </c>
      <c r="I5558" s="37">
        <f t="shared" si="86"/>
        <v>8.1537651863876597E-4</v>
      </c>
      <c r="J5558" s="33"/>
    </row>
    <row r="5559" spans="1:10">
      <c r="A5559" s="33" t="s">
        <v>201</v>
      </c>
      <c r="B5559" s="34">
        <v>370.28500000000003</v>
      </c>
      <c r="C5559" s="35">
        <v>13490.7</v>
      </c>
      <c r="D5559" s="33" t="s">
        <v>84</v>
      </c>
      <c r="E5559" s="34">
        <v>370.25099999999998</v>
      </c>
      <c r="F5559" s="36">
        <v>3.4000000000000002E-2</v>
      </c>
      <c r="G5559" s="34">
        <v>3.4000000000000002E-2</v>
      </c>
      <c r="H5559" s="35">
        <v>215.6</v>
      </c>
      <c r="I5559" s="37">
        <f t="shared" si="86"/>
        <v>1.5981379765319811E-2</v>
      </c>
      <c r="J5559" s="33" t="s">
        <v>116</v>
      </c>
    </row>
    <row r="5560" spans="1:10">
      <c r="A5560" s="33" t="s">
        <v>201</v>
      </c>
      <c r="B5560" s="34">
        <v>370.28500000000003</v>
      </c>
      <c r="C5560" s="35">
        <v>13490.7</v>
      </c>
      <c r="D5560" s="33" t="s">
        <v>275</v>
      </c>
      <c r="E5560" s="34">
        <v>370.25400000000002</v>
      </c>
      <c r="F5560" s="36">
        <v>3.1000000000005901E-2</v>
      </c>
      <c r="G5560" s="34">
        <v>3.1000000000005901E-2</v>
      </c>
      <c r="H5560" s="35">
        <v>501.7</v>
      </c>
      <c r="I5560" s="37">
        <f t="shared" si="86"/>
        <v>3.7188581763733533E-2</v>
      </c>
      <c r="J5560" s="33"/>
    </row>
    <row r="5561" spans="1:10">
      <c r="A5561" s="33" t="s">
        <v>201</v>
      </c>
      <c r="B5561" s="34">
        <v>370.28500000000003</v>
      </c>
      <c r="C5561" s="35">
        <v>13490.7</v>
      </c>
      <c r="D5561" s="33" t="s">
        <v>25</v>
      </c>
      <c r="E5561" s="34">
        <v>370.27800000000002</v>
      </c>
      <c r="F5561" s="36">
        <v>7.0000000000049996E-3</v>
      </c>
      <c r="G5561" s="34">
        <v>7.0000000000049996E-3</v>
      </c>
      <c r="H5561" s="35">
        <v>282.60000000000002</v>
      </c>
      <c r="I5561" s="37">
        <f t="shared" si="86"/>
        <v>2.0947764015210479E-2</v>
      </c>
      <c r="J5561" s="33" t="s">
        <v>116</v>
      </c>
    </row>
    <row r="5562" spans="1:10">
      <c r="A5562" s="33" t="s">
        <v>201</v>
      </c>
      <c r="B5562" s="34">
        <v>370.28500000000003</v>
      </c>
      <c r="C5562" s="35">
        <v>13490.7</v>
      </c>
      <c r="D5562" s="33" t="s">
        <v>271</v>
      </c>
      <c r="E5562" s="34">
        <v>370.286</v>
      </c>
      <c r="F5562" s="36">
        <v>9.9999999997635292E-4</v>
      </c>
      <c r="G5562" s="34">
        <v>9.9999999997635292E-4</v>
      </c>
      <c r="H5562" s="35">
        <v>143.69999999999999</v>
      </c>
      <c r="I5562" s="37">
        <f t="shared" si="86"/>
        <v>1.0651782338944605E-2</v>
      </c>
      <c r="J5562" s="33"/>
    </row>
    <row r="5563" spans="1:10">
      <c r="A5563" s="33" t="s">
        <v>201</v>
      </c>
      <c r="B5563" s="34">
        <v>370.28500000000003</v>
      </c>
      <c r="C5563" s="35">
        <v>13490.7</v>
      </c>
      <c r="D5563" s="33" t="s">
        <v>279</v>
      </c>
      <c r="E5563" s="34">
        <v>370.32400000000001</v>
      </c>
      <c r="F5563" s="36">
        <v>3.8999999999987302E-2</v>
      </c>
      <c r="G5563" s="34">
        <v>3.8999999999987302E-2</v>
      </c>
      <c r="H5563" s="35">
        <v>24</v>
      </c>
      <c r="I5563" s="37">
        <f t="shared" si="86"/>
        <v>1.7790033133936712E-3</v>
      </c>
      <c r="J5563" s="33"/>
    </row>
    <row r="5564" spans="1:10">
      <c r="A5564" s="33" t="s">
        <v>201</v>
      </c>
      <c r="B5564" s="34">
        <v>370.28500000000003</v>
      </c>
      <c r="C5564" s="35">
        <v>13490.7</v>
      </c>
      <c r="D5564" s="33" t="s">
        <v>284</v>
      </c>
      <c r="E5564" s="34">
        <v>370.32499999999999</v>
      </c>
      <c r="F5564" s="36">
        <v>3.9999999999963599E-2</v>
      </c>
      <c r="G5564" s="34">
        <v>3.9999999999963599E-2</v>
      </c>
      <c r="H5564" s="35">
        <v>0.8</v>
      </c>
      <c r="I5564" s="37">
        <f t="shared" si="86"/>
        <v>5.9300110446455704E-5</v>
      </c>
      <c r="J5564" s="33"/>
    </row>
    <row r="5565" spans="1:10">
      <c r="A5565" s="33" t="s">
        <v>201</v>
      </c>
      <c r="B5565" s="34">
        <v>370.28500000000003</v>
      </c>
      <c r="C5565" s="35">
        <v>13490.7</v>
      </c>
      <c r="D5565" s="33" t="s">
        <v>277</v>
      </c>
      <c r="E5565" s="34">
        <v>370.327</v>
      </c>
      <c r="F5565" s="36">
        <v>4.1999999999973198E-2</v>
      </c>
      <c r="G5565" s="34">
        <v>4.1999999999973198E-2</v>
      </c>
      <c r="H5565" s="35">
        <v>64.3</v>
      </c>
      <c r="I5565" s="37">
        <f t="shared" si="86"/>
        <v>4.7662463771338771E-3</v>
      </c>
      <c r="J5565" s="33"/>
    </row>
    <row r="5566" spans="1:10">
      <c r="A5566" s="33" t="s">
        <v>201</v>
      </c>
      <c r="B5566" s="34">
        <v>370.28500000000003</v>
      </c>
      <c r="C5566" s="35">
        <v>13490.7</v>
      </c>
      <c r="D5566" s="33" t="s">
        <v>292</v>
      </c>
      <c r="E5566" s="34">
        <v>370.32900000000001</v>
      </c>
      <c r="F5566" s="36">
        <v>4.3999999999982699E-2</v>
      </c>
      <c r="G5566" s="34">
        <v>4.3999999999982699E-2</v>
      </c>
      <c r="H5566" s="35">
        <v>0.3</v>
      </c>
      <c r="I5566" s="37">
        <f t="shared" si="86"/>
        <v>2.2237541417420886E-5</v>
      </c>
      <c r="J5566" s="33"/>
    </row>
    <row r="5567" spans="1:10">
      <c r="A5567" s="33" t="s">
        <v>201</v>
      </c>
      <c r="B5567" s="34">
        <v>370.28500000000003</v>
      </c>
      <c r="C5567" s="35">
        <v>13490.7</v>
      </c>
      <c r="D5567" s="33" t="s">
        <v>36</v>
      </c>
      <c r="E5567" s="34">
        <v>370.351</v>
      </c>
      <c r="F5567" s="36">
        <v>6.6000000000000003E-2</v>
      </c>
      <c r="G5567" s="34">
        <v>6.6000000000000003E-2</v>
      </c>
      <c r="H5567" s="35">
        <v>156.30000000000001</v>
      </c>
      <c r="I5567" s="37">
        <f t="shared" si="86"/>
        <v>1.1585759078476284E-2</v>
      </c>
      <c r="J5567" s="33" t="s">
        <v>116</v>
      </c>
    </row>
    <row r="5568" spans="1:10">
      <c r="A5568" s="33" t="s">
        <v>201</v>
      </c>
      <c r="B5568" s="34">
        <v>370.28500000000003</v>
      </c>
      <c r="C5568" s="35">
        <v>13490.7</v>
      </c>
      <c r="D5568" s="33" t="s">
        <v>278</v>
      </c>
      <c r="E5568" s="34">
        <v>370.35700000000003</v>
      </c>
      <c r="F5568" s="36">
        <v>7.2000000000002701E-2</v>
      </c>
      <c r="G5568" s="34">
        <v>7.2000000000002701E-2</v>
      </c>
      <c r="H5568" s="35">
        <v>1186.2</v>
      </c>
      <c r="I5568" s="37">
        <f t="shared" si="86"/>
        <v>8.7927238764482191E-2</v>
      </c>
      <c r="J5568" s="33"/>
    </row>
    <row r="5569" spans="1:10">
      <c r="A5569" s="33" t="s">
        <v>201</v>
      </c>
      <c r="B5569" s="34">
        <v>370.28500000000003</v>
      </c>
      <c r="C5569" s="35">
        <v>13490.7</v>
      </c>
      <c r="D5569" s="33" t="s">
        <v>97</v>
      </c>
      <c r="E5569" s="34">
        <v>370.36900000000003</v>
      </c>
      <c r="F5569" s="36">
        <v>8.4000000000003197E-2</v>
      </c>
      <c r="G5569" s="34">
        <v>8.4000000000003197E-2</v>
      </c>
      <c r="H5569" s="35">
        <v>5.4</v>
      </c>
      <c r="I5569" s="37">
        <f t="shared" si="86"/>
        <v>4.0027574551357602E-4</v>
      </c>
      <c r="J5569" s="33"/>
    </row>
    <row r="5570" spans="1:10">
      <c r="A5570" s="33" t="s">
        <v>201</v>
      </c>
      <c r="B5570" s="34">
        <v>370.28500000000003</v>
      </c>
      <c r="C5570" s="35">
        <v>13490.7</v>
      </c>
      <c r="D5570" s="33" t="s">
        <v>271</v>
      </c>
      <c r="E5570" s="34">
        <v>370.39100000000002</v>
      </c>
      <c r="F5570" s="36">
        <v>0.105999999999995</v>
      </c>
      <c r="G5570" s="34">
        <v>0.105999999999995</v>
      </c>
      <c r="H5570" s="35">
        <v>788.8</v>
      </c>
      <c r="I5570" s="37">
        <f t="shared" ref="I5570:I5633" si="87">H5570/C5570</f>
        <v>5.8469908900205321E-2</v>
      </c>
      <c r="J5570" s="33"/>
    </row>
    <row r="5571" spans="1:10">
      <c r="A5571" s="33" t="s">
        <v>201</v>
      </c>
      <c r="B5571" s="34">
        <v>370.28500000000003</v>
      </c>
      <c r="C5571" s="35">
        <v>13490.7</v>
      </c>
      <c r="D5571" s="33" t="s">
        <v>201</v>
      </c>
      <c r="E5571" s="34">
        <v>370.392</v>
      </c>
      <c r="F5571" s="36">
        <v>0.10699999999997099</v>
      </c>
      <c r="G5571" s="34">
        <v>0.10699999999997099</v>
      </c>
      <c r="H5571" s="35">
        <v>8325.5</v>
      </c>
      <c r="I5571" s="37">
        <f t="shared" si="87"/>
        <v>0.61712883690245868</v>
      </c>
      <c r="J5571" s="33"/>
    </row>
    <row r="5572" spans="1:10">
      <c r="A5572" s="33" t="s">
        <v>201</v>
      </c>
      <c r="B5572" s="34">
        <v>370.28500000000003</v>
      </c>
      <c r="C5572" s="35">
        <v>13490.7</v>
      </c>
      <c r="D5572" s="33" t="s">
        <v>54</v>
      </c>
      <c r="E5572" s="34">
        <v>370.40600000000001</v>
      </c>
      <c r="F5572" s="36">
        <v>0.120999999999981</v>
      </c>
      <c r="G5572" s="34">
        <v>0.120999999999981</v>
      </c>
      <c r="H5572" s="35">
        <v>121.6</v>
      </c>
      <c r="I5572" s="37">
        <f t="shared" si="87"/>
        <v>9.0136167878612661E-3</v>
      </c>
      <c r="J5572" s="33"/>
    </row>
    <row r="5573" spans="1:10">
      <c r="A5573" s="33" t="s">
        <v>201</v>
      </c>
      <c r="B5573" s="34">
        <v>370.28500000000003</v>
      </c>
      <c r="C5573" s="35">
        <v>13490.7</v>
      </c>
      <c r="D5573" s="33" t="s">
        <v>277</v>
      </c>
      <c r="E5573" s="34">
        <v>370.40800000000002</v>
      </c>
      <c r="F5573" s="36">
        <v>0.12299999999999101</v>
      </c>
      <c r="G5573" s="34">
        <v>0.12299999999999101</v>
      </c>
      <c r="H5573" s="35">
        <v>91.2</v>
      </c>
      <c r="I5573" s="37">
        <f t="shared" si="87"/>
        <v>6.76021259089595E-3</v>
      </c>
      <c r="J5573" s="33"/>
    </row>
    <row r="5574" spans="1:10">
      <c r="A5574" s="33" t="s">
        <v>201</v>
      </c>
      <c r="B5574" s="34">
        <v>370.28500000000003</v>
      </c>
      <c r="C5574" s="35">
        <v>13490.7</v>
      </c>
      <c r="D5574" s="33" t="s">
        <v>273</v>
      </c>
      <c r="E5574" s="34">
        <v>370.41300000000001</v>
      </c>
      <c r="F5574" s="36">
        <v>0.12799999999998601</v>
      </c>
      <c r="G5574" s="34">
        <v>0.12799999999998601</v>
      </c>
      <c r="H5574" s="35">
        <v>24.2</v>
      </c>
      <c r="I5574" s="37">
        <f t="shared" si="87"/>
        <v>1.7938283410052849E-3</v>
      </c>
      <c r="J5574" s="33"/>
    </row>
    <row r="5575" spans="1:10">
      <c r="A5575" s="33" t="s">
        <v>201</v>
      </c>
      <c r="B5575" s="34">
        <v>370.28500000000003</v>
      </c>
      <c r="C5575" s="35">
        <v>13490.7</v>
      </c>
      <c r="D5575" s="33" t="s">
        <v>237</v>
      </c>
      <c r="E5575" s="34">
        <v>370.42899999999997</v>
      </c>
      <c r="F5575" s="36">
        <v>0.143999999999949</v>
      </c>
      <c r="G5575" s="34">
        <v>0.143999999999949</v>
      </c>
      <c r="H5575" s="35">
        <v>42.2</v>
      </c>
      <c r="I5575" s="37">
        <f t="shared" si="87"/>
        <v>3.1280808260505384E-3</v>
      </c>
      <c r="J5575" s="33"/>
    </row>
    <row r="5576" spans="1:10">
      <c r="A5576" s="33" t="s">
        <v>201</v>
      </c>
      <c r="B5576" s="34">
        <v>370.28500000000003</v>
      </c>
      <c r="C5576" s="35">
        <v>13490.7</v>
      </c>
      <c r="D5576" s="33" t="s">
        <v>184</v>
      </c>
      <c r="E5576" s="34">
        <v>370.43099999999998</v>
      </c>
      <c r="F5576" s="36">
        <v>0.145999999999958</v>
      </c>
      <c r="G5576" s="34">
        <v>0.145999999999958</v>
      </c>
      <c r="H5576" s="35">
        <v>595.4</v>
      </c>
      <c r="I5576" s="37">
        <f t="shared" si="87"/>
        <v>4.4134107199774654E-2</v>
      </c>
      <c r="J5576" s="33"/>
    </row>
    <row r="5577" spans="1:10">
      <c r="A5577" s="33" t="s">
        <v>201</v>
      </c>
      <c r="B5577" s="34">
        <v>370.28500000000003</v>
      </c>
      <c r="C5577" s="35">
        <v>13490.7</v>
      </c>
      <c r="D5577" s="33" t="s">
        <v>97</v>
      </c>
      <c r="E5577" s="34">
        <v>370.44600000000003</v>
      </c>
      <c r="F5577" s="36">
        <v>0.161000000000001</v>
      </c>
      <c r="G5577" s="34">
        <v>0.161000000000001</v>
      </c>
      <c r="H5577" s="35">
        <v>16.100000000000001</v>
      </c>
      <c r="I5577" s="37">
        <f t="shared" si="87"/>
        <v>1.1934147227349212E-3</v>
      </c>
      <c r="J5577" s="33"/>
    </row>
    <row r="5578" spans="1:10">
      <c r="A5578" s="33" t="s">
        <v>201</v>
      </c>
      <c r="B5578" s="34">
        <v>370.28500000000003</v>
      </c>
      <c r="C5578" s="35">
        <v>13490.7</v>
      </c>
      <c r="D5578" s="33" t="s">
        <v>282</v>
      </c>
      <c r="E5578" s="34">
        <v>370.45100000000002</v>
      </c>
      <c r="F5578" s="36">
        <v>0.16599999999999701</v>
      </c>
      <c r="G5578" s="34">
        <v>0.16599999999999701</v>
      </c>
      <c r="H5578" s="35">
        <v>1.9</v>
      </c>
      <c r="I5578" s="37">
        <f t="shared" si="87"/>
        <v>1.4083776231033228E-4</v>
      </c>
      <c r="J5578" s="33"/>
    </row>
    <row r="5579" spans="1:10">
      <c r="A5579" s="33" t="s">
        <v>201</v>
      </c>
      <c r="B5579" s="34">
        <v>370.28500000000003</v>
      </c>
      <c r="C5579" s="35">
        <v>13490.7</v>
      </c>
      <c r="D5579" s="33" t="s">
        <v>133</v>
      </c>
      <c r="E5579" s="34">
        <v>370.452</v>
      </c>
      <c r="F5579" s="36">
        <v>0.166999999999973</v>
      </c>
      <c r="G5579" s="34">
        <v>0.166999999999973</v>
      </c>
      <c r="H5579" s="35">
        <v>29.9</v>
      </c>
      <c r="I5579" s="37">
        <f t="shared" si="87"/>
        <v>2.2163416279362817E-3</v>
      </c>
      <c r="J5579" s="33"/>
    </row>
    <row r="5580" spans="1:10">
      <c r="A5580" s="33" t="s">
        <v>201</v>
      </c>
      <c r="B5580" s="34">
        <v>370.28500000000003</v>
      </c>
      <c r="C5580" s="35">
        <v>13490.7</v>
      </c>
      <c r="D5580" s="33" t="s">
        <v>268</v>
      </c>
      <c r="E5580" s="34">
        <v>370.45499999999998</v>
      </c>
      <c r="F5580" s="36">
        <v>0.16999999999995899</v>
      </c>
      <c r="G5580" s="34">
        <v>0.16999999999995899</v>
      </c>
      <c r="H5580" s="35">
        <v>29</v>
      </c>
      <c r="I5580" s="37">
        <f t="shared" si="87"/>
        <v>2.1496290036840194E-3</v>
      </c>
      <c r="J5580" s="33"/>
    </row>
    <row r="5581" spans="1:10">
      <c r="A5581" s="33" t="s">
        <v>201</v>
      </c>
      <c r="B5581" s="34">
        <v>370.28500000000003</v>
      </c>
      <c r="C5581" s="35">
        <v>13490.7</v>
      </c>
      <c r="D5581" s="33" t="s">
        <v>278</v>
      </c>
      <c r="E5581" s="34">
        <v>370.471</v>
      </c>
      <c r="F5581" s="36">
        <v>0.18599999999997899</v>
      </c>
      <c r="G5581" s="34">
        <v>0.18599999999997899</v>
      </c>
      <c r="H5581" s="35">
        <v>694.7</v>
      </c>
      <c r="I5581" s="37">
        <f t="shared" si="87"/>
        <v>5.1494733408940972E-2</v>
      </c>
      <c r="J5581" s="33"/>
    </row>
    <row r="5582" spans="1:10">
      <c r="A5582" s="33" t="s">
        <v>201</v>
      </c>
      <c r="B5582" s="34">
        <v>384.87299999999999</v>
      </c>
      <c r="C5582" s="35">
        <v>11783.8</v>
      </c>
      <c r="D5582" s="33" t="s">
        <v>27</v>
      </c>
      <c r="E5582" s="34">
        <v>384.67700000000002</v>
      </c>
      <c r="F5582" s="36">
        <v>0.19599999999997</v>
      </c>
      <c r="G5582" s="34">
        <v>0.19599999999997</v>
      </c>
      <c r="H5582" s="35">
        <v>813.6</v>
      </c>
      <c r="I5582" s="37">
        <f t="shared" si="87"/>
        <v>6.904394168264906E-2</v>
      </c>
      <c r="J5582" s="33" t="s">
        <v>116</v>
      </c>
    </row>
    <row r="5583" spans="1:10">
      <c r="A5583" s="33" t="s">
        <v>201</v>
      </c>
      <c r="B5583" s="34">
        <v>384.87299999999999</v>
      </c>
      <c r="C5583" s="35">
        <v>11783.8</v>
      </c>
      <c r="D5583" s="33" t="s">
        <v>25</v>
      </c>
      <c r="E5583" s="34">
        <v>384.678</v>
      </c>
      <c r="F5583" s="36">
        <v>0.19499999999999301</v>
      </c>
      <c r="G5583" s="34">
        <v>0.19499999999999301</v>
      </c>
      <c r="H5583" s="35">
        <v>193.4</v>
      </c>
      <c r="I5583" s="37">
        <f t="shared" si="87"/>
        <v>1.6412362735280642E-2</v>
      </c>
      <c r="J5583" s="33" t="s">
        <v>116</v>
      </c>
    </row>
    <row r="5584" spans="1:10">
      <c r="A5584" s="33" t="s">
        <v>201</v>
      </c>
      <c r="B5584" s="34">
        <v>384.87299999999999</v>
      </c>
      <c r="C5584" s="35">
        <v>11783.8</v>
      </c>
      <c r="D5584" s="33" t="s">
        <v>97</v>
      </c>
      <c r="E5584" s="34">
        <v>384.68</v>
      </c>
      <c r="F5584" s="36">
        <v>0.19299999999998399</v>
      </c>
      <c r="G5584" s="34">
        <v>0.19299999999998399</v>
      </c>
      <c r="H5584" s="35">
        <v>25.8</v>
      </c>
      <c r="I5584" s="37">
        <f t="shared" si="87"/>
        <v>2.1894465282845943E-3</v>
      </c>
      <c r="J5584" s="33"/>
    </row>
    <row r="5585" spans="1:10">
      <c r="A5585" s="33" t="s">
        <v>201</v>
      </c>
      <c r="B5585" s="34">
        <v>384.87299999999999</v>
      </c>
      <c r="C5585" s="35">
        <v>11783.8</v>
      </c>
      <c r="D5585" s="33" t="s">
        <v>271</v>
      </c>
      <c r="E5585" s="34">
        <v>384.68299999999999</v>
      </c>
      <c r="F5585" s="36">
        <v>0.189999999999998</v>
      </c>
      <c r="G5585" s="34">
        <v>0.189999999999998</v>
      </c>
      <c r="H5585" s="35">
        <v>74</v>
      </c>
      <c r="I5585" s="37">
        <f t="shared" si="87"/>
        <v>6.2798078718240297E-3</v>
      </c>
      <c r="J5585" s="33"/>
    </row>
    <row r="5586" spans="1:10">
      <c r="A5586" s="33" t="s">
        <v>201</v>
      </c>
      <c r="B5586" s="34">
        <v>384.87299999999999</v>
      </c>
      <c r="C5586" s="35">
        <v>11783.8</v>
      </c>
      <c r="D5586" s="33" t="s">
        <v>236</v>
      </c>
      <c r="E5586" s="34">
        <v>384.702</v>
      </c>
      <c r="F5586" s="36">
        <v>0.17099999999999199</v>
      </c>
      <c r="G5586" s="34">
        <v>0.17099999999999199</v>
      </c>
      <c r="H5586" s="35">
        <v>119.7</v>
      </c>
      <c r="I5586" s="37">
        <f t="shared" si="87"/>
        <v>1.015801354401806E-2</v>
      </c>
      <c r="J5586" s="33"/>
    </row>
    <row r="5587" spans="1:10">
      <c r="A5587" s="33" t="s">
        <v>201</v>
      </c>
      <c r="B5587" s="34">
        <v>384.87299999999999</v>
      </c>
      <c r="C5587" s="35">
        <v>11783.8</v>
      </c>
      <c r="D5587" s="33" t="s">
        <v>275</v>
      </c>
      <c r="E5587" s="34">
        <v>384.72500000000002</v>
      </c>
      <c r="F5587" s="36">
        <v>0.14799999999996799</v>
      </c>
      <c r="G5587" s="34">
        <v>0.14799999999996799</v>
      </c>
      <c r="H5587" s="35">
        <v>31.9</v>
      </c>
      <c r="I5587" s="37">
        <f t="shared" si="87"/>
        <v>2.7071063663673856E-3</v>
      </c>
      <c r="J5587" s="33"/>
    </row>
    <row r="5588" spans="1:10">
      <c r="A5588" s="33" t="s">
        <v>201</v>
      </c>
      <c r="B5588" s="34">
        <v>384.87299999999999</v>
      </c>
      <c r="C5588" s="35">
        <v>11783.8</v>
      </c>
      <c r="D5588" s="33" t="s">
        <v>278</v>
      </c>
      <c r="E5588" s="34">
        <v>384.73399999999998</v>
      </c>
      <c r="F5588" s="36">
        <v>0.13900000000001</v>
      </c>
      <c r="G5588" s="34">
        <v>0.13900000000001</v>
      </c>
      <c r="H5588" s="35">
        <v>352.4</v>
      </c>
      <c r="I5588" s="37">
        <f t="shared" si="87"/>
        <v>2.9905463432848486E-2</v>
      </c>
      <c r="J5588" s="33"/>
    </row>
    <row r="5589" spans="1:10">
      <c r="A5589" s="33" t="s">
        <v>201</v>
      </c>
      <c r="B5589" s="34">
        <v>384.87299999999999</v>
      </c>
      <c r="C5589" s="35">
        <v>11783.8</v>
      </c>
      <c r="D5589" s="33" t="s">
        <v>274</v>
      </c>
      <c r="E5589" s="34">
        <v>384.74900000000002</v>
      </c>
      <c r="F5589" s="36">
        <v>0.123999999999967</v>
      </c>
      <c r="G5589" s="34">
        <v>0.123999999999967</v>
      </c>
      <c r="H5589" s="35">
        <v>23.3</v>
      </c>
      <c r="I5589" s="37">
        <f t="shared" si="87"/>
        <v>1.977290856939188E-3</v>
      </c>
      <c r="J5589" s="33"/>
    </row>
    <row r="5590" spans="1:10">
      <c r="A5590" s="33" t="s">
        <v>201</v>
      </c>
      <c r="B5590" s="34">
        <v>384.87299999999999</v>
      </c>
      <c r="C5590" s="35">
        <v>11783.8</v>
      </c>
      <c r="D5590" s="33" t="s">
        <v>270</v>
      </c>
      <c r="E5590" s="34">
        <v>384.75200000000001</v>
      </c>
      <c r="F5590" s="36">
        <v>0.120999999999981</v>
      </c>
      <c r="G5590" s="34">
        <v>0.120999999999981</v>
      </c>
      <c r="H5590" s="35">
        <v>1765.3</v>
      </c>
      <c r="I5590" s="37">
        <f t="shared" si="87"/>
        <v>0.14980736265041839</v>
      </c>
      <c r="J5590" s="33"/>
    </row>
    <row r="5591" spans="1:10">
      <c r="A5591" s="33" t="s">
        <v>201</v>
      </c>
      <c r="B5591" s="34">
        <v>384.87299999999999</v>
      </c>
      <c r="C5591" s="35">
        <v>11783.8</v>
      </c>
      <c r="D5591" s="33" t="s">
        <v>193</v>
      </c>
      <c r="E5591" s="34">
        <v>384.80399999999997</v>
      </c>
      <c r="F5591" s="36">
        <v>6.9000000000016798E-2</v>
      </c>
      <c r="G5591" s="34">
        <v>6.9000000000016798E-2</v>
      </c>
      <c r="H5591" s="35">
        <v>13.3</v>
      </c>
      <c r="I5591" s="37">
        <f t="shared" si="87"/>
        <v>1.1286681715575622E-3</v>
      </c>
      <c r="J5591" s="33"/>
    </row>
    <row r="5592" spans="1:10">
      <c r="A5592" s="33" t="s">
        <v>201</v>
      </c>
      <c r="B5592" s="34">
        <v>384.87299999999999</v>
      </c>
      <c r="C5592" s="35">
        <v>11783.8</v>
      </c>
      <c r="D5592" s="33" t="s">
        <v>278</v>
      </c>
      <c r="E5592" s="34">
        <v>384.80500000000001</v>
      </c>
      <c r="F5592" s="36">
        <v>6.7999999999983601E-2</v>
      </c>
      <c r="G5592" s="34">
        <v>6.7999999999983601E-2</v>
      </c>
      <c r="H5592" s="35">
        <v>156.4</v>
      </c>
      <c r="I5592" s="37">
        <f t="shared" si="87"/>
        <v>1.3272458799368626E-2</v>
      </c>
      <c r="J5592" s="33"/>
    </row>
    <row r="5593" spans="1:10">
      <c r="A5593" s="33" t="s">
        <v>201</v>
      </c>
      <c r="B5593" s="34">
        <v>384.87299999999999</v>
      </c>
      <c r="C5593" s="35">
        <v>11783.8</v>
      </c>
      <c r="D5593" s="33" t="s">
        <v>277</v>
      </c>
      <c r="E5593" s="34">
        <v>384.80700000000002</v>
      </c>
      <c r="F5593" s="36">
        <v>6.5999999999974093E-2</v>
      </c>
      <c r="G5593" s="34">
        <v>6.5999999999974093E-2</v>
      </c>
      <c r="H5593" s="35">
        <v>84.9</v>
      </c>
      <c r="I5593" s="37">
        <f t="shared" si="87"/>
        <v>7.2048065988900021E-3</v>
      </c>
      <c r="J5593" s="33"/>
    </row>
    <row r="5594" spans="1:10">
      <c r="A5594" s="33" t="s">
        <v>201</v>
      </c>
      <c r="B5594" s="34">
        <v>384.87299999999999</v>
      </c>
      <c r="C5594" s="35">
        <v>11783.8</v>
      </c>
      <c r="D5594" s="33" t="s">
        <v>25</v>
      </c>
      <c r="E5594" s="34">
        <v>384.81</v>
      </c>
      <c r="F5594" s="36">
        <v>6.2999999999988204E-2</v>
      </c>
      <c r="G5594" s="34">
        <v>6.2999999999988204E-2</v>
      </c>
      <c r="H5594" s="35">
        <v>813</v>
      </c>
      <c r="I5594" s="37">
        <f t="shared" si="87"/>
        <v>6.8993024321526167E-2</v>
      </c>
      <c r="J5594" s="33" t="s">
        <v>116</v>
      </c>
    </row>
    <row r="5595" spans="1:10">
      <c r="A5595" s="33" t="s">
        <v>201</v>
      </c>
      <c r="B5595" s="34">
        <v>384.87299999999999</v>
      </c>
      <c r="C5595" s="35">
        <v>11783.8</v>
      </c>
      <c r="D5595" s="33" t="s">
        <v>275</v>
      </c>
      <c r="E5595" s="34">
        <v>384.83</v>
      </c>
      <c r="F5595" s="36">
        <v>4.3000000000006401E-2</v>
      </c>
      <c r="G5595" s="34">
        <v>4.3000000000006401E-2</v>
      </c>
      <c r="H5595" s="35">
        <v>20.6</v>
      </c>
      <c r="I5595" s="37">
        <f t="shared" si="87"/>
        <v>1.7481627318861491E-3</v>
      </c>
      <c r="J5595" s="33"/>
    </row>
    <row r="5596" spans="1:10">
      <c r="A5596" s="33" t="s">
        <v>201</v>
      </c>
      <c r="B5596" s="34">
        <v>384.87299999999999</v>
      </c>
      <c r="C5596" s="35">
        <v>11783.8</v>
      </c>
      <c r="D5596" s="33" t="s">
        <v>27</v>
      </c>
      <c r="E5596" s="34">
        <v>384.851</v>
      </c>
      <c r="F5596" s="36">
        <v>2.1999999999991401E-2</v>
      </c>
      <c r="G5596" s="34">
        <v>2.1999999999991401E-2</v>
      </c>
      <c r="H5596" s="35">
        <v>6191.2</v>
      </c>
      <c r="I5596" s="37">
        <f t="shared" si="87"/>
        <v>0.52539927697347211</v>
      </c>
      <c r="J5596" s="33" t="s">
        <v>116</v>
      </c>
    </row>
    <row r="5597" spans="1:10">
      <c r="A5597" s="33" t="s">
        <v>201</v>
      </c>
      <c r="B5597" s="34">
        <v>384.87299999999999</v>
      </c>
      <c r="C5597" s="35">
        <v>11783.8</v>
      </c>
      <c r="D5597" s="33" t="s">
        <v>25</v>
      </c>
      <c r="E5597" s="34">
        <v>384.85899999999998</v>
      </c>
      <c r="F5597" s="36">
        <v>1.4000000000009999E-2</v>
      </c>
      <c r="G5597" s="34">
        <v>1.4000000000009999E-2</v>
      </c>
      <c r="H5597" s="35">
        <v>2327.5</v>
      </c>
      <c r="I5597" s="37">
        <f t="shared" si="87"/>
        <v>0.19751693002257337</v>
      </c>
      <c r="J5597" s="33" t="s">
        <v>116</v>
      </c>
    </row>
    <row r="5598" spans="1:10">
      <c r="A5598" s="33" t="s">
        <v>201</v>
      </c>
      <c r="B5598" s="34">
        <v>384.87299999999999</v>
      </c>
      <c r="C5598" s="35">
        <v>11783.8</v>
      </c>
      <c r="D5598" s="33" t="s">
        <v>277</v>
      </c>
      <c r="E5598" s="34">
        <v>384.86</v>
      </c>
      <c r="F5598" s="36">
        <v>1.2999999999976799E-2</v>
      </c>
      <c r="G5598" s="34">
        <v>1.2999999999976799E-2</v>
      </c>
      <c r="H5598" s="35">
        <v>188.5</v>
      </c>
      <c r="I5598" s="37">
        <f t="shared" si="87"/>
        <v>1.5996537619443644E-2</v>
      </c>
      <c r="J5598" s="33"/>
    </row>
    <row r="5599" spans="1:10">
      <c r="A5599" s="33" t="s">
        <v>201</v>
      </c>
      <c r="B5599" s="34">
        <v>384.87299999999999</v>
      </c>
      <c r="C5599" s="35">
        <v>11783.8</v>
      </c>
      <c r="D5599" s="33" t="s">
        <v>270</v>
      </c>
      <c r="E5599" s="34">
        <v>384.87599999999998</v>
      </c>
      <c r="F5599" s="36">
        <v>2.9999999999858998E-3</v>
      </c>
      <c r="G5599" s="34">
        <v>2.9999999999858998E-3</v>
      </c>
      <c r="H5599" s="35">
        <v>1634.2</v>
      </c>
      <c r="I5599" s="37">
        <f t="shared" si="87"/>
        <v>0.13868191924506526</v>
      </c>
      <c r="J5599" s="33"/>
    </row>
    <row r="5600" spans="1:10">
      <c r="A5600" s="33" t="s">
        <v>201</v>
      </c>
      <c r="B5600" s="34">
        <v>384.87299999999999</v>
      </c>
      <c r="C5600" s="35">
        <v>11783.8</v>
      </c>
      <c r="D5600" s="33" t="s">
        <v>239</v>
      </c>
      <c r="E5600" s="34">
        <v>384.89800000000002</v>
      </c>
      <c r="F5600" s="36">
        <v>2.5000000000034099E-2</v>
      </c>
      <c r="G5600" s="34">
        <v>2.5000000000034099E-2</v>
      </c>
      <c r="H5600" s="35">
        <v>27.3</v>
      </c>
      <c r="I5600" s="37">
        <f t="shared" si="87"/>
        <v>2.3167399310918381E-3</v>
      </c>
      <c r="J5600" s="33"/>
    </row>
    <row r="5601" spans="1:10">
      <c r="A5601" s="33" t="s">
        <v>201</v>
      </c>
      <c r="B5601" s="34">
        <v>384.87299999999999</v>
      </c>
      <c r="C5601" s="35">
        <v>11783.8</v>
      </c>
      <c r="D5601" s="33" t="s">
        <v>133</v>
      </c>
      <c r="E5601" s="34">
        <v>384.90100000000001</v>
      </c>
      <c r="F5601" s="36">
        <v>2.8000000000019998E-2</v>
      </c>
      <c r="G5601" s="34">
        <v>2.8000000000019998E-2</v>
      </c>
      <c r="H5601" s="35">
        <v>20606.900000000001</v>
      </c>
      <c r="I5601" s="37">
        <f t="shared" si="87"/>
        <v>1.7487482815390623</v>
      </c>
      <c r="J5601" s="33"/>
    </row>
    <row r="5602" spans="1:10">
      <c r="A5602" s="33" t="s">
        <v>201</v>
      </c>
      <c r="B5602" s="34">
        <v>384.87299999999999</v>
      </c>
      <c r="C5602" s="35">
        <v>11783.8</v>
      </c>
      <c r="D5602" s="33" t="s">
        <v>236</v>
      </c>
      <c r="E5602" s="34">
        <v>384.92500000000001</v>
      </c>
      <c r="F5602" s="36">
        <v>5.2000000000020898E-2</v>
      </c>
      <c r="G5602" s="34">
        <v>5.2000000000020898E-2</v>
      </c>
      <c r="H5602" s="35">
        <v>151.80000000000001</v>
      </c>
      <c r="I5602" s="37">
        <f t="shared" si="87"/>
        <v>1.2882092364093078E-2</v>
      </c>
      <c r="J5602" s="33"/>
    </row>
    <row r="5603" spans="1:10">
      <c r="A5603" s="33" t="s">
        <v>201</v>
      </c>
      <c r="B5603" s="34">
        <v>384.87299999999999</v>
      </c>
      <c r="C5603" s="35">
        <v>11783.8</v>
      </c>
      <c r="D5603" s="33" t="s">
        <v>278</v>
      </c>
      <c r="E5603" s="34">
        <v>384.93200000000002</v>
      </c>
      <c r="F5603" s="36">
        <v>5.90000000000259E-2</v>
      </c>
      <c r="G5603" s="34">
        <v>5.90000000000259E-2</v>
      </c>
      <c r="H5603" s="35">
        <v>37.9</v>
      </c>
      <c r="I5603" s="37">
        <f t="shared" si="87"/>
        <v>3.2162799775963613E-3</v>
      </c>
      <c r="J5603" s="33"/>
    </row>
    <row r="5604" spans="1:10">
      <c r="A5604" s="33" t="s">
        <v>201</v>
      </c>
      <c r="B5604" s="34">
        <v>384.87299999999999</v>
      </c>
      <c r="C5604" s="35">
        <v>11783.8</v>
      </c>
      <c r="D5604" s="33" t="s">
        <v>239</v>
      </c>
      <c r="E5604" s="34">
        <v>384.93700000000001</v>
      </c>
      <c r="F5604" s="36">
        <v>6.4000000000021401E-2</v>
      </c>
      <c r="G5604" s="34">
        <v>6.4000000000021401E-2</v>
      </c>
      <c r="H5604" s="35">
        <v>83.4</v>
      </c>
      <c r="I5604" s="37">
        <f t="shared" si="87"/>
        <v>7.0775131960827582E-3</v>
      </c>
      <c r="J5604" s="33"/>
    </row>
    <row r="5605" spans="1:10">
      <c r="A5605" s="33" t="s">
        <v>201</v>
      </c>
      <c r="B5605" s="34">
        <v>384.87299999999999</v>
      </c>
      <c r="C5605" s="35">
        <v>11783.8</v>
      </c>
      <c r="D5605" s="33" t="s">
        <v>33</v>
      </c>
      <c r="E5605" s="34">
        <v>384.93900000000002</v>
      </c>
      <c r="F5605" s="36">
        <v>6.6000000000030895E-2</v>
      </c>
      <c r="G5605" s="34">
        <v>6.6000000000030895E-2</v>
      </c>
      <c r="H5605" s="35">
        <v>413.7</v>
      </c>
      <c r="I5605" s="37">
        <f t="shared" si="87"/>
        <v>3.5107520494237855E-2</v>
      </c>
      <c r="J5605" s="33" t="s">
        <v>116</v>
      </c>
    </row>
    <row r="5606" spans="1:10">
      <c r="A5606" s="33" t="s">
        <v>201</v>
      </c>
      <c r="B5606" s="34">
        <v>384.87299999999999</v>
      </c>
      <c r="C5606" s="35">
        <v>11783.8</v>
      </c>
      <c r="D5606" s="33" t="s">
        <v>269</v>
      </c>
      <c r="E5606" s="34">
        <v>384.95</v>
      </c>
      <c r="F5606" s="36">
        <v>7.6999999999998195E-2</v>
      </c>
      <c r="G5606" s="34">
        <v>7.6999999999998195E-2</v>
      </c>
      <c r="H5606" s="35">
        <v>1093.0999999999999</v>
      </c>
      <c r="I5606" s="37">
        <f t="shared" si="87"/>
        <v>9.2762945739065489E-2</v>
      </c>
      <c r="J5606" s="33"/>
    </row>
    <row r="5607" spans="1:10">
      <c r="A5607" s="33" t="s">
        <v>201</v>
      </c>
      <c r="B5607" s="34">
        <v>384.87299999999999</v>
      </c>
      <c r="C5607" s="35">
        <v>11783.8</v>
      </c>
      <c r="D5607" s="33" t="s">
        <v>173</v>
      </c>
      <c r="E5607" s="34">
        <v>384.95299999999997</v>
      </c>
      <c r="F5607" s="36">
        <v>7.9999999999984098E-2</v>
      </c>
      <c r="G5607" s="34">
        <v>7.9999999999984098E-2</v>
      </c>
      <c r="H5607" s="35">
        <v>52.4</v>
      </c>
      <c r="I5607" s="37">
        <f t="shared" si="87"/>
        <v>4.4467828713997187E-3</v>
      </c>
      <c r="J5607" s="33"/>
    </row>
    <row r="5608" spans="1:10">
      <c r="A5608" s="33" t="s">
        <v>201</v>
      </c>
      <c r="B5608" s="34">
        <v>384.87299999999999</v>
      </c>
      <c r="C5608" s="35">
        <v>11783.8</v>
      </c>
      <c r="D5608" s="33" t="s">
        <v>165</v>
      </c>
      <c r="E5608" s="34">
        <v>384.95499999999998</v>
      </c>
      <c r="F5608" s="36">
        <v>8.1999999999993606E-2</v>
      </c>
      <c r="G5608" s="34">
        <v>8.1999999999993606E-2</v>
      </c>
      <c r="H5608" s="35">
        <v>3.8</v>
      </c>
      <c r="I5608" s="37">
        <f t="shared" si="87"/>
        <v>3.2247662044501772E-4</v>
      </c>
      <c r="J5608" s="33"/>
    </row>
    <row r="5609" spans="1:10">
      <c r="A5609" s="33" t="s">
        <v>201</v>
      </c>
      <c r="B5609" s="34">
        <v>384.87299999999999</v>
      </c>
      <c r="C5609" s="35">
        <v>11783.8</v>
      </c>
      <c r="D5609" s="33" t="s">
        <v>25</v>
      </c>
      <c r="E5609" s="34">
        <v>384.96699999999998</v>
      </c>
      <c r="F5609" s="36">
        <v>9.3999999999994102E-2</v>
      </c>
      <c r="G5609" s="34">
        <v>9.3999999999994102E-2</v>
      </c>
      <c r="H5609" s="35">
        <v>656.9</v>
      </c>
      <c r="I5609" s="37">
        <f t="shared" si="87"/>
        <v>5.5746024202718986E-2</v>
      </c>
      <c r="J5609" s="33" t="s">
        <v>116</v>
      </c>
    </row>
    <row r="5610" spans="1:10">
      <c r="A5610" s="33" t="s">
        <v>201</v>
      </c>
      <c r="B5610" s="34">
        <v>384.87299999999999</v>
      </c>
      <c r="C5610" s="35">
        <v>11783.8</v>
      </c>
      <c r="D5610" s="33" t="s">
        <v>277</v>
      </c>
      <c r="E5610" s="34">
        <v>384.98500000000001</v>
      </c>
      <c r="F5610" s="36">
        <v>0.112000000000023</v>
      </c>
      <c r="G5610" s="34">
        <v>0.112000000000023</v>
      </c>
      <c r="H5610" s="35">
        <v>231.6</v>
      </c>
      <c r="I5610" s="37">
        <f t="shared" si="87"/>
        <v>1.9654101393438449E-2</v>
      </c>
      <c r="J5610" s="33"/>
    </row>
    <row r="5611" spans="1:10">
      <c r="A5611" s="33" t="s">
        <v>201</v>
      </c>
      <c r="B5611" s="34">
        <v>384.87299999999999</v>
      </c>
      <c r="C5611" s="35">
        <v>11783.8</v>
      </c>
      <c r="D5611" s="33" t="s">
        <v>97</v>
      </c>
      <c r="E5611" s="34">
        <v>384.99700000000001</v>
      </c>
      <c r="F5611" s="36">
        <v>0.12400000000002399</v>
      </c>
      <c r="G5611" s="34">
        <v>0.12400000000002399</v>
      </c>
      <c r="H5611" s="35">
        <v>148.6</v>
      </c>
      <c r="I5611" s="37">
        <f t="shared" si="87"/>
        <v>1.2610533104770958E-2</v>
      </c>
      <c r="J5611" s="33"/>
    </row>
    <row r="5612" spans="1:10">
      <c r="A5612" s="33" t="s">
        <v>201</v>
      </c>
      <c r="B5612" s="34">
        <v>384.87299999999999</v>
      </c>
      <c r="C5612" s="35">
        <v>11783.8</v>
      </c>
      <c r="D5612" s="33" t="s">
        <v>284</v>
      </c>
      <c r="E5612" s="34">
        <v>384.99799999999999</v>
      </c>
      <c r="F5612" s="36">
        <v>0.125</v>
      </c>
      <c r="G5612" s="34">
        <v>0.125</v>
      </c>
      <c r="H5612" s="35">
        <v>0.8</v>
      </c>
      <c r="I5612" s="37">
        <f t="shared" si="87"/>
        <v>6.7889814830530062E-5</v>
      </c>
      <c r="J5612" s="33"/>
    </row>
    <row r="5613" spans="1:10">
      <c r="A5613" s="33" t="s">
        <v>201</v>
      </c>
      <c r="B5613" s="34">
        <v>384.87299999999999</v>
      </c>
      <c r="C5613" s="35">
        <v>11783.8</v>
      </c>
      <c r="D5613" s="33" t="s">
        <v>239</v>
      </c>
      <c r="E5613" s="34">
        <v>385.00200000000001</v>
      </c>
      <c r="F5613" s="36">
        <v>0.12900000000001899</v>
      </c>
      <c r="G5613" s="34">
        <v>0.12900000000001899</v>
      </c>
      <c r="H5613" s="35">
        <v>66.8</v>
      </c>
      <c r="I5613" s="37">
        <f t="shared" si="87"/>
        <v>5.6687995383492597E-3</v>
      </c>
      <c r="J5613" s="33"/>
    </row>
    <row r="5614" spans="1:10">
      <c r="A5614" s="33" t="s">
        <v>201</v>
      </c>
      <c r="B5614" s="34">
        <v>384.87299999999999</v>
      </c>
      <c r="C5614" s="35">
        <v>11783.8</v>
      </c>
      <c r="D5614" s="33" t="s">
        <v>25</v>
      </c>
      <c r="E5614" s="34">
        <v>385.00900000000001</v>
      </c>
      <c r="F5614" s="36">
        <v>0.13600000000002399</v>
      </c>
      <c r="G5614" s="34">
        <v>0.13600000000002399</v>
      </c>
      <c r="H5614" s="35">
        <v>364.9</v>
      </c>
      <c r="I5614" s="37">
        <f t="shared" si="87"/>
        <v>3.0966241789575518E-2</v>
      </c>
      <c r="J5614" s="33" t="s">
        <v>116</v>
      </c>
    </row>
    <row r="5615" spans="1:10">
      <c r="A5615" s="33" t="s">
        <v>201</v>
      </c>
      <c r="B5615" s="34">
        <v>384.87299999999999</v>
      </c>
      <c r="C5615" s="35">
        <v>11783.8</v>
      </c>
      <c r="D5615" s="33" t="s">
        <v>54</v>
      </c>
      <c r="E5615" s="34">
        <v>385.01</v>
      </c>
      <c r="F5615" s="36">
        <v>0.13700000000000101</v>
      </c>
      <c r="G5615" s="34">
        <v>0.13700000000000101</v>
      </c>
      <c r="H5615" s="35">
        <v>1.1000000000000001</v>
      </c>
      <c r="I5615" s="37">
        <f t="shared" si="87"/>
        <v>9.3348495391978837E-5</v>
      </c>
      <c r="J5615" s="33"/>
    </row>
    <row r="5616" spans="1:10">
      <c r="A5616" s="33" t="s">
        <v>201</v>
      </c>
      <c r="B5616" s="34">
        <v>384.87299999999999</v>
      </c>
      <c r="C5616" s="35">
        <v>11783.8</v>
      </c>
      <c r="D5616" s="33" t="s">
        <v>271</v>
      </c>
      <c r="E5616" s="34">
        <v>385.01299999999998</v>
      </c>
      <c r="F5616" s="36">
        <v>0.139999999999986</v>
      </c>
      <c r="G5616" s="34">
        <v>0.139999999999986</v>
      </c>
      <c r="H5616" s="35">
        <v>352.9</v>
      </c>
      <c r="I5616" s="37">
        <f t="shared" si="87"/>
        <v>2.9947894567117567E-2</v>
      </c>
      <c r="J5616" s="33"/>
    </row>
    <row r="5617" spans="1:10">
      <c r="A5617" s="33" t="s">
        <v>201</v>
      </c>
      <c r="B5617" s="34">
        <v>387.41699999999997</v>
      </c>
      <c r="C5617" s="35">
        <v>24848.2</v>
      </c>
      <c r="D5617" s="33" t="s">
        <v>271</v>
      </c>
      <c r="E5617" s="34">
        <v>387.27199999999999</v>
      </c>
      <c r="F5617" s="36">
        <v>0.144999999999982</v>
      </c>
      <c r="G5617" s="34">
        <v>0.144999999999982</v>
      </c>
      <c r="H5617" s="35">
        <v>3361</v>
      </c>
      <c r="I5617" s="37">
        <f t="shared" si="87"/>
        <v>0.1352613066540031</v>
      </c>
      <c r="J5617" s="33"/>
    </row>
    <row r="5618" spans="1:10">
      <c r="A5618" s="33" t="s">
        <v>201</v>
      </c>
      <c r="B5618" s="34">
        <v>387.41699999999997</v>
      </c>
      <c r="C5618" s="35">
        <v>24848.2</v>
      </c>
      <c r="D5618" s="33" t="s">
        <v>274</v>
      </c>
      <c r="E5618" s="34">
        <v>387.28300000000002</v>
      </c>
      <c r="F5618" s="36">
        <v>0.13399999999995801</v>
      </c>
      <c r="G5618" s="34">
        <v>0.13399999999995801</v>
      </c>
      <c r="H5618" s="35">
        <v>45</v>
      </c>
      <c r="I5618" s="37">
        <f t="shared" si="87"/>
        <v>1.8109963699583873E-3</v>
      </c>
      <c r="J5618" s="33"/>
    </row>
    <row r="5619" spans="1:10">
      <c r="A5619" s="33" t="s">
        <v>201</v>
      </c>
      <c r="B5619" s="34">
        <v>387.41699999999997</v>
      </c>
      <c r="C5619" s="35">
        <v>24848.2</v>
      </c>
      <c r="D5619" s="33" t="s">
        <v>201</v>
      </c>
      <c r="E5619" s="34">
        <v>387.286</v>
      </c>
      <c r="F5619" s="36">
        <v>0.130999999999972</v>
      </c>
      <c r="G5619" s="34">
        <v>0.130999999999972</v>
      </c>
      <c r="H5619" s="35">
        <v>73.900000000000006</v>
      </c>
      <c r="I5619" s="37">
        <f t="shared" si="87"/>
        <v>2.9740584831094408E-3</v>
      </c>
      <c r="J5619" s="33"/>
    </row>
    <row r="5620" spans="1:10">
      <c r="A5620" s="33" t="s">
        <v>201</v>
      </c>
      <c r="B5620" s="34">
        <v>387.41699999999997</v>
      </c>
      <c r="C5620" s="35">
        <v>24848.2</v>
      </c>
      <c r="D5620" s="33" t="s">
        <v>54</v>
      </c>
      <c r="E5620" s="34">
        <v>387.30200000000002</v>
      </c>
      <c r="F5620" s="36">
        <v>0.114999999999952</v>
      </c>
      <c r="G5620" s="34">
        <v>0.114999999999952</v>
      </c>
      <c r="H5620" s="35">
        <v>1811.5</v>
      </c>
      <c r="I5620" s="37">
        <f t="shared" si="87"/>
        <v>7.2902664981769297E-2</v>
      </c>
      <c r="J5620" s="33"/>
    </row>
    <row r="5621" spans="1:10">
      <c r="A5621" s="33" t="s">
        <v>201</v>
      </c>
      <c r="B5621" s="34">
        <v>387.41699999999997</v>
      </c>
      <c r="C5621" s="35">
        <v>24848.2</v>
      </c>
      <c r="D5621" s="33" t="s">
        <v>275</v>
      </c>
      <c r="E5621" s="34">
        <v>387.31099999999998</v>
      </c>
      <c r="F5621" s="36">
        <v>0.105999999999995</v>
      </c>
      <c r="G5621" s="34">
        <v>0.105999999999995</v>
      </c>
      <c r="H5621" s="35">
        <v>13.1</v>
      </c>
      <c r="I5621" s="37">
        <f t="shared" si="87"/>
        <v>5.272011654767749E-4</v>
      </c>
      <c r="J5621" s="33"/>
    </row>
    <row r="5622" spans="1:10">
      <c r="A5622" s="33" t="s">
        <v>201</v>
      </c>
      <c r="B5622" s="34">
        <v>387.41699999999997</v>
      </c>
      <c r="C5622" s="35">
        <v>24848.2</v>
      </c>
      <c r="D5622" s="33" t="s">
        <v>270</v>
      </c>
      <c r="E5622" s="34">
        <v>387.32100000000003</v>
      </c>
      <c r="F5622" s="36">
        <v>9.5999999999946795E-2</v>
      </c>
      <c r="G5622" s="34">
        <v>9.5999999999946795E-2</v>
      </c>
      <c r="H5622" s="35">
        <v>1165.8</v>
      </c>
      <c r="I5622" s="37">
        <f t="shared" si="87"/>
        <v>4.6916879291055286E-2</v>
      </c>
      <c r="J5622" s="33"/>
    </row>
    <row r="5623" spans="1:10">
      <c r="A5623" s="33" t="s">
        <v>201</v>
      </c>
      <c r="B5623" s="34">
        <v>387.41699999999997</v>
      </c>
      <c r="C5623" s="35">
        <v>24848.2</v>
      </c>
      <c r="D5623" s="33" t="s">
        <v>237</v>
      </c>
      <c r="E5623" s="34">
        <v>387.322</v>
      </c>
      <c r="F5623" s="36">
        <v>9.49999999999704E-2</v>
      </c>
      <c r="G5623" s="34">
        <v>9.49999999999704E-2</v>
      </c>
      <c r="H5623" s="35">
        <v>99.7</v>
      </c>
      <c r="I5623" s="37">
        <f t="shared" si="87"/>
        <v>4.0123630685522495E-3</v>
      </c>
      <c r="J5623" s="33"/>
    </row>
    <row r="5624" spans="1:10">
      <c r="A5624" s="33" t="s">
        <v>201</v>
      </c>
      <c r="B5624" s="34">
        <v>387.41699999999997</v>
      </c>
      <c r="C5624" s="35">
        <v>24848.2</v>
      </c>
      <c r="D5624" s="33" t="s">
        <v>25</v>
      </c>
      <c r="E5624" s="34">
        <v>387.32499999999999</v>
      </c>
      <c r="F5624" s="36">
        <v>9.1999999999984497E-2</v>
      </c>
      <c r="G5624" s="34">
        <v>9.1999999999984497E-2</v>
      </c>
      <c r="H5624" s="35">
        <v>514.79999999999995</v>
      </c>
      <c r="I5624" s="37">
        <f t="shared" si="87"/>
        <v>2.071779847232395E-2</v>
      </c>
      <c r="J5624" s="33" t="s">
        <v>116</v>
      </c>
    </row>
    <row r="5625" spans="1:10">
      <c r="A5625" s="33" t="s">
        <v>201</v>
      </c>
      <c r="B5625" s="34">
        <v>387.41699999999997</v>
      </c>
      <c r="C5625" s="35">
        <v>24848.2</v>
      </c>
      <c r="D5625" s="33" t="s">
        <v>268</v>
      </c>
      <c r="E5625" s="34">
        <v>387.35300000000001</v>
      </c>
      <c r="F5625" s="36">
        <v>6.3999999999964502E-2</v>
      </c>
      <c r="G5625" s="34">
        <v>6.3999999999964502E-2</v>
      </c>
      <c r="H5625" s="35">
        <v>55.2</v>
      </c>
      <c r="I5625" s="37">
        <f t="shared" si="87"/>
        <v>2.2214888804822884E-3</v>
      </c>
      <c r="J5625" s="33"/>
    </row>
    <row r="5626" spans="1:10">
      <c r="A5626" s="33" t="s">
        <v>201</v>
      </c>
      <c r="B5626" s="34">
        <v>387.41699999999997</v>
      </c>
      <c r="C5626" s="35">
        <v>24848.2</v>
      </c>
      <c r="D5626" s="33" t="s">
        <v>270</v>
      </c>
      <c r="E5626" s="34">
        <v>387.35899999999998</v>
      </c>
      <c r="F5626" s="36">
        <v>5.7999999999992703E-2</v>
      </c>
      <c r="G5626" s="34">
        <v>5.7999999999992703E-2</v>
      </c>
      <c r="H5626" s="35">
        <v>322.89999999999998</v>
      </c>
      <c r="I5626" s="37">
        <f t="shared" si="87"/>
        <v>1.2994905063545848E-2</v>
      </c>
      <c r="J5626" s="33"/>
    </row>
    <row r="5627" spans="1:10">
      <c r="A5627" s="33" t="s">
        <v>201</v>
      </c>
      <c r="B5627" s="34">
        <v>387.41699999999997</v>
      </c>
      <c r="C5627" s="35">
        <v>24848.2</v>
      </c>
      <c r="D5627" s="33" t="s">
        <v>278</v>
      </c>
      <c r="E5627" s="34">
        <v>387.36099999999999</v>
      </c>
      <c r="F5627" s="36">
        <v>5.5999999999983202E-2</v>
      </c>
      <c r="G5627" s="34">
        <v>5.5999999999983202E-2</v>
      </c>
      <c r="H5627" s="35">
        <v>333.6</v>
      </c>
      <c r="I5627" s="37">
        <f t="shared" si="87"/>
        <v>1.3425519755958178E-2</v>
      </c>
      <c r="J5627" s="33"/>
    </row>
    <row r="5628" spans="1:10">
      <c r="A5628" s="33" t="s">
        <v>201</v>
      </c>
      <c r="B5628" s="34">
        <v>387.41699999999997</v>
      </c>
      <c r="C5628" s="35">
        <v>24848.2</v>
      </c>
      <c r="D5628" s="33" t="s">
        <v>278</v>
      </c>
      <c r="E5628" s="34">
        <v>387.36200000000002</v>
      </c>
      <c r="F5628" s="36">
        <v>5.4999999999949999E-2</v>
      </c>
      <c r="G5628" s="34">
        <v>5.4999999999949999E-2</v>
      </c>
      <c r="H5628" s="35">
        <v>35.5</v>
      </c>
      <c r="I5628" s="37">
        <f t="shared" si="87"/>
        <v>1.4286749140782833E-3</v>
      </c>
      <c r="J5628" s="33"/>
    </row>
    <row r="5629" spans="1:10">
      <c r="A5629" s="33" t="s">
        <v>201</v>
      </c>
      <c r="B5629" s="34">
        <v>387.41699999999997</v>
      </c>
      <c r="C5629" s="35">
        <v>24848.2</v>
      </c>
      <c r="D5629" s="33" t="s">
        <v>97</v>
      </c>
      <c r="E5629" s="34">
        <v>387.37599999999998</v>
      </c>
      <c r="F5629" s="36">
        <v>4.0999999999996803E-2</v>
      </c>
      <c r="G5629" s="34">
        <v>4.0999999999996803E-2</v>
      </c>
      <c r="H5629" s="35">
        <v>36.4</v>
      </c>
      <c r="I5629" s="37">
        <f t="shared" si="87"/>
        <v>1.4648948414774509E-3</v>
      </c>
      <c r="J5629" s="33"/>
    </row>
    <row r="5630" spans="1:10">
      <c r="A5630" s="33" t="s">
        <v>201</v>
      </c>
      <c r="B5630" s="34">
        <v>387.41699999999997</v>
      </c>
      <c r="C5630" s="35">
        <v>24848.2</v>
      </c>
      <c r="D5630" s="33" t="s">
        <v>271</v>
      </c>
      <c r="E5630" s="34">
        <v>387.38200000000001</v>
      </c>
      <c r="F5630" s="36">
        <v>3.4999999999968202E-2</v>
      </c>
      <c r="G5630" s="34">
        <v>3.4999999999968202E-2</v>
      </c>
      <c r="H5630" s="35">
        <v>326.5</v>
      </c>
      <c r="I5630" s="37">
        <f t="shared" si="87"/>
        <v>1.313978477314252E-2</v>
      </c>
      <c r="J5630" s="33"/>
    </row>
    <row r="5631" spans="1:10">
      <c r="A5631" s="33" t="s">
        <v>201</v>
      </c>
      <c r="B5631" s="34">
        <v>387.41699999999997</v>
      </c>
      <c r="C5631" s="35">
        <v>24848.2</v>
      </c>
      <c r="D5631" s="33" t="s">
        <v>54</v>
      </c>
      <c r="E5631" s="34">
        <v>387.39600000000002</v>
      </c>
      <c r="F5631" s="36">
        <v>2.0999999999958201E-2</v>
      </c>
      <c r="G5631" s="34">
        <v>2.0999999999958201E-2</v>
      </c>
      <c r="H5631" s="35">
        <v>895</v>
      </c>
      <c r="I5631" s="37">
        <f t="shared" si="87"/>
        <v>3.6018705580283479E-2</v>
      </c>
      <c r="J5631" s="33"/>
    </row>
    <row r="5632" spans="1:10">
      <c r="A5632" s="33" t="s">
        <v>201</v>
      </c>
      <c r="B5632" s="34">
        <v>387.41699999999997</v>
      </c>
      <c r="C5632" s="35">
        <v>24848.2</v>
      </c>
      <c r="D5632" s="33" t="s">
        <v>33</v>
      </c>
      <c r="E5632" s="34">
        <v>387.399</v>
      </c>
      <c r="F5632" s="36">
        <v>1.7999999999972299E-2</v>
      </c>
      <c r="G5632" s="34">
        <v>1.7999999999972299E-2</v>
      </c>
      <c r="H5632" s="35">
        <v>4633.3</v>
      </c>
      <c r="I5632" s="37">
        <f t="shared" si="87"/>
        <v>0.18646421068729324</v>
      </c>
      <c r="J5632" s="33" t="s">
        <v>116</v>
      </c>
    </row>
    <row r="5633" spans="1:10">
      <c r="A5633" s="33" t="s">
        <v>201</v>
      </c>
      <c r="B5633" s="34">
        <v>387.41699999999997</v>
      </c>
      <c r="C5633" s="35">
        <v>24848.2</v>
      </c>
      <c r="D5633" s="33" t="s">
        <v>277</v>
      </c>
      <c r="E5633" s="34">
        <v>387.404</v>
      </c>
      <c r="F5633" s="36">
        <v>1.2999999999976799E-2</v>
      </c>
      <c r="G5633" s="34">
        <v>1.2999999999976799E-2</v>
      </c>
      <c r="H5633" s="35">
        <v>788.1</v>
      </c>
      <c r="I5633" s="37">
        <f t="shared" si="87"/>
        <v>3.1716583092537887E-2</v>
      </c>
      <c r="J5633" s="33"/>
    </row>
    <row r="5634" spans="1:10">
      <c r="A5634" s="33" t="s">
        <v>201</v>
      </c>
      <c r="B5634" s="34">
        <v>387.41699999999997</v>
      </c>
      <c r="C5634" s="35">
        <v>24848.2</v>
      </c>
      <c r="D5634" s="33" t="s">
        <v>275</v>
      </c>
      <c r="E5634" s="34">
        <v>387.41500000000002</v>
      </c>
      <c r="F5634" s="36">
        <v>1.9999999999527102E-3</v>
      </c>
      <c r="G5634" s="34">
        <v>1.9999999999527102E-3</v>
      </c>
      <c r="H5634" s="35">
        <v>22.2</v>
      </c>
      <c r="I5634" s="37">
        <f t="shared" ref="I5634:I5697" si="88">H5634/C5634</f>
        <v>8.9342487584613767E-4</v>
      </c>
      <c r="J5634" s="33"/>
    </row>
    <row r="5635" spans="1:10">
      <c r="A5635" s="33" t="s">
        <v>201</v>
      </c>
      <c r="B5635" s="34">
        <v>387.41699999999997</v>
      </c>
      <c r="C5635" s="35">
        <v>24848.2</v>
      </c>
      <c r="D5635" s="33" t="s">
        <v>274</v>
      </c>
      <c r="E5635" s="34">
        <v>387.44</v>
      </c>
      <c r="F5635" s="36">
        <v>2.3000000000024601E-2</v>
      </c>
      <c r="G5635" s="34">
        <v>2.3000000000024601E-2</v>
      </c>
      <c r="H5635" s="35">
        <v>17.5</v>
      </c>
      <c r="I5635" s="37">
        <f t="shared" si="88"/>
        <v>7.0427636609492834E-4</v>
      </c>
      <c r="J5635" s="33"/>
    </row>
    <row r="5636" spans="1:10">
      <c r="A5636" s="33" t="s">
        <v>201</v>
      </c>
      <c r="B5636" s="34">
        <v>387.41699999999997</v>
      </c>
      <c r="C5636" s="35">
        <v>24848.2</v>
      </c>
      <c r="D5636" s="33" t="s">
        <v>236</v>
      </c>
      <c r="E5636" s="34">
        <v>387.44</v>
      </c>
      <c r="F5636" s="36">
        <v>2.3000000000024601E-2</v>
      </c>
      <c r="G5636" s="34">
        <v>2.3000000000024601E-2</v>
      </c>
      <c r="H5636" s="35">
        <v>71.5</v>
      </c>
      <c r="I5636" s="37">
        <f t="shared" si="88"/>
        <v>2.8774720100449933E-3</v>
      </c>
      <c r="J5636" s="33"/>
    </row>
    <row r="5637" spans="1:10">
      <c r="A5637" s="33" t="s">
        <v>201</v>
      </c>
      <c r="B5637" s="34">
        <v>387.41699999999997</v>
      </c>
      <c r="C5637" s="35">
        <v>24848.2</v>
      </c>
      <c r="D5637" s="33" t="s">
        <v>239</v>
      </c>
      <c r="E5637" s="34">
        <v>387.45499999999998</v>
      </c>
      <c r="F5637" s="36">
        <v>3.80000000000109E-2</v>
      </c>
      <c r="G5637" s="34">
        <v>3.80000000000109E-2</v>
      </c>
      <c r="H5637" s="35">
        <v>67.900000000000006</v>
      </c>
      <c r="I5637" s="37">
        <f t="shared" si="88"/>
        <v>2.7325923004483223E-3</v>
      </c>
      <c r="J5637" s="33"/>
    </row>
    <row r="5638" spans="1:10">
      <c r="A5638" s="33" t="s">
        <v>201</v>
      </c>
      <c r="B5638" s="34">
        <v>387.41699999999997</v>
      </c>
      <c r="C5638" s="35">
        <v>24848.2</v>
      </c>
      <c r="D5638" s="33" t="s">
        <v>25</v>
      </c>
      <c r="E5638" s="34">
        <v>387.46800000000002</v>
      </c>
      <c r="F5638" s="36">
        <v>5.10000000000446E-2</v>
      </c>
      <c r="G5638" s="34">
        <v>5.10000000000446E-2</v>
      </c>
      <c r="H5638" s="35">
        <v>1642.7</v>
      </c>
      <c r="I5638" s="37">
        <f t="shared" si="88"/>
        <v>6.6109416376236504E-2</v>
      </c>
      <c r="J5638" s="33" t="s">
        <v>116</v>
      </c>
    </row>
    <row r="5639" spans="1:10">
      <c r="A5639" s="33" t="s">
        <v>201</v>
      </c>
      <c r="B5639" s="34">
        <v>387.41699999999997</v>
      </c>
      <c r="C5639" s="35">
        <v>24848.2</v>
      </c>
      <c r="D5639" s="33" t="s">
        <v>276</v>
      </c>
      <c r="E5639" s="34">
        <v>387.47300000000001</v>
      </c>
      <c r="F5639" s="36">
        <v>5.6000000000039997E-2</v>
      </c>
      <c r="G5639" s="34">
        <v>5.6000000000039997E-2</v>
      </c>
      <c r="H5639" s="35">
        <v>20</v>
      </c>
      <c r="I5639" s="37">
        <f t="shared" si="88"/>
        <v>8.0488727553706106E-4</v>
      </c>
      <c r="J5639" s="33"/>
    </row>
    <row r="5640" spans="1:10">
      <c r="A5640" s="33" t="s">
        <v>201</v>
      </c>
      <c r="B5640" s="34">
        <v>387.41699999999997</v>
      </c>
      <c r="C5640" s="35">
        <v>24848.2</v>
      </c>
      <c r="D5640" s="33" t="s">
        <v>271</v>
      </c>
      <c r="E5640" s="34">
        <v>387.48599999999999</v>
      </c>
      <c r="F5640" s="36">
        <v>6.9000000000016798E-2</v>
      </c>
      <c r="G5640" s="34">
        <v>6.9000000000016798E-2</v>
      </c>
      <c r="H5640" s="35">
        <v>78.2</v>
      </c>
      <c r="I5640" s="37">
        <f t="shared" si="88"/>
        <v>3.1471092473499087E-3</v>
      </c>
      <c r="J5640" s="33"/>
    </row>
    <row r="5641" spans="1:10">
      <c r="A5641" s="33" t="s">
        <v>201</v>
      </c>
      <c r="B5641" s="34">
        <v>387.41699999999997</v>
      </c>
      <c r="C5641" s="35">
        <v>24848.2</v>
      </c>
      <c r="D5641" s="33" t="s">
        <v>239</v>
      </c>
      <c r="E5641" s="34">
        <v>387.50200000000001</v>
      </c>
      <c r="F5641" s="36">
        <v>8.5000000000036394E-2</v>
      </c>
      <c r="G5641" s="34">
        <v>8.5000000000036394E-2</v>
      </c>
      <c r="H5641" s="35">
        <v>22.2</v>
      </c>
      <c r="I5641" s="37">
        <f t="shared" si="88"/>
        <v>8.9342487584613767E-4</v>
      </c>
      <c r="J5641" s="33"/>
    </row>
    <row r="5642" spans="1:10">
      <c r="A5642" s="33" t="s">
        <v>201</v>
      </c>
      <c r="B5642" s="34">
        <v>387.41699999999997</v>
      </c>
      <c r="C5642" s="35">
        <v>24848.2</v>
      </c>
      <c r="D5642" s="33" t="s">
        <v>25</v>
      </c>
      <c r="E5642" s="34">
        <v>387.50599999999997</v>
      </c>
      <c r="F5642" s="36">
        <v>8.8999999999998594E-2</v>
      </c>
      <c r="G5642" s="34">
        <v>8.8999999999998594E-2</v>
      </c>
      <c r="H5642" s="35">
        <v>2166</v>
      </c>
      <c r="I5642" s="37">
        <f t="shared" si="88"/>
        <v>8.716929194066371E-2</v>
      </c>
      <c r="J5642" s="33" t="s">
        <v>116</v>
      </c>
    </row>
    <row r="5643" spans="1:10">
      <c r="A5643" s="33" t="s">
        <v>201</v>
      </c>
      <c r="B5643" s="34">
        <v>387.41699999999997</v>
      </c>
      <c r="C5643" s="35">
        <v>24848.2</v>
      </c>
      <c r="D5643" s="33" t="s">
        <v>278</v>
      </c>
      <c r="E5643" s="34">
        <v>387.50799999999998</v>
      </c>
      <c r="F5643" s="36">
        <v>9.1000000000008199E-2</v>
      </c>
      <c r="G5643" s="34">
        <v>9.1000000000008199E-2</v>
      </c>
      <c r="H5643" s="35">
        <v>1686.6</v>
      </c>
      <c r="I5643" s="37">
        <f t="shared" si="88"/>
        <v>6.7876143946040357E-2</v>
      </c>
      <c r="J5643" s="33"/>
    </row>
    <row r="5644" spans="1:10">
      <c r="A5644" s="33" t="s">
        <v>201</v>
      </c>
      <c r="B5644" s="34">
        <v>387.41699999999997</v>
      </c>
      <c r="C5644" s="35">
        <v>24848.2</v>
      </c>
      <c r="D5644" s="33" t="s">
        <v>298</v>
      </c>
      <c r="E5644" s="34">
        <v>387.51100000000002</v>
      </c>
      <c r="F5644" s="36">
        <v>9.4000000000050904E-2</v>
      </c>
      <c r="G5644" s="34">
        <v>9.4000000000050904E-2</v>
      </c>
      <c r="H5644" s="35">
        <v>3.6</v>
      </c>
      <c r="I5644" s="37">
        <f t="shared" si="88"/>
        <v>1.4487970959667099E-4</v>
      </c>
      <c r="J5644" s="33"/>
    </row>
    <row r="5645" spans="1:10">
      <c r="A5645" s="33" t="s">
        <v>201</v>
      </c>
      <c r="B5645" s="34">
        <v>387.41699999999997</v>
      </c>
      <c r="C5645" s="35">
        <v>24848.2</v>
      </c>
      <c r="D5645" s="33" t="s">
        <v>270</v>
      </c>
      <c r="E5645" s="34">
        <v>387.51799999999997</v>
      </c>
      <c r="F5645" s="36">
        <v>0.10099999999999899</v>
      </c>
      <c r="G5645" s="34">
        <v>0.10099999999999899</v>
      </c>
      <c r="H5645" s="35">
        <v>2323.6999999999998</v>
      </c>
      <c r="I5645" s="37">
        <f t="shared" si="88"/>
        <v>9.3515828108273427E-2</v>
      </c>
      <c r="J5645" s="33"/>
    </row>
    <row r="5646" spans="1:10">
      <c r="A5646" s="33" t="s">
        <v>201</v>
      </c>
      <c r="B5646" s="34">
        <v>387.41699999999997</v>
      </c>
      <c r="C5646" s="35">
        <v>24848.2</v>
      </c>
      <c r="D5646" s="33" t="s">
        <v>279</v>
      </c>
      <c r="E5646" s="34">
        <v>387.52499999999998</v>
      </c>
      <c r="F5646" s="36">
        <v>0.108000000000004</v>
      </c>
      <c r="G5646" s="34">
        <v>0.108000000000004</v>
      </c>
      <c r="H5646" s="35">
        <v>13.1</v>
      </c>
      <c r="I5646" s="37">
        <f t="shared" si="88"/>
        <v>5.272011654767749E-4</v>
      </c>
      <c r="J5646" s="33"/>
    </row>
    <row r="5647" spans="1:10">
      <c r="A5647" s="33" t="s">
        <v>201</v>
      </c>
      <c r="B5647" s="34">
        <v>387.41699999999997</v>
      </c>
      <c r="C5647" s="35">
        <v>24848.2</v>
      </c>
      <c r="D5647" s="33" t="s">
        <v>237</v>
      </c>
      <c r="E5647" s="34">
        <v>387.52600000000001</v>
      </c>
      <c r="F5647" s="36">
        <v>0.109000000000037</v>
      </c>
      <c r="G5647" s="34">
        <v>0.109000000000037</v>
      </c>
      <c r="H5647" s="35">
        <v>187.8</v>
      </c>
      <c r="I5647" s="37">
        <f t="shared" si="88"/>
        <v>7.5578915172930033E-3</v>
      </c>
      <c r="J5647" s="33"/>
    </row>
    <row r="5648" spans="1:10">
      <c r="A5648" s="33" t="s">
        <v>201</v>
      </c>
      <c r="B5648" s="34">
        <v>387.41699999999997</v>
      </c>
      <c r="C5648" s="35">
        <v>24848.2</v>
      </c>
      <c r="D5648" s="33" t="s">
        <v>271</v>
      </c>
      <c r="E5648" s="34">
        <v>387.53699999999998</v>
      </c>
      <c r="F5648" s="36">
        <v>0.12000000000000501</v>
      </c>
      <c r="G5648" s="34">
        <v>0.12000000000000501</v>
      </c>
      <c r="H5648" s="35">
        <v>74.400000000000006</v>
      </c>
      <c r="I5648" s="37">
        <f t="shared" si="88"/>
        <v>2.994180664997867E-3</v>
      </c>
      <c r="J5648" s="33"/>
    </row>
    <row r="5649" spans="1:10">
      <c r="A5649" s="33" t="s">
        <v>201</v>
      </c>
      <c r="B5649" s="34">
        <v>387.41699999999997</v>
      </c>
      <c r="C5649" s="35">
        <v>24848.2</v>
      </c>
      <c r="D5649" s="33" t="s">
        <v>270</v>
      </c>
      <c r="E5649" s="34">
        <v>387.55399999999997</v>
      </c>
      <c r="F5649" s="36">
        <v>0.13700000000000101</v>
      </c>
      <c r="G5649" s="34">
        <v>0.13700000000000101</v>
      </c>
      <c r="H5649" s="35">
        <v>3815.8</v>
      </c>
      <c r="I5649" s="37">
        <f t="shared" si="88"/>
        <v>0.15356444329971589</v>
      </c>
      <c r="J5649" s="33"/>
    </row>
    <row r="5650" spans="1:10">
      <c r="A5650" s="33" t="s">
        <v>201</v>
      </c>
      <c r="B5650" s="34">
        <v>387.41699999999997</v>
      </c>
      <c r="C5650" s="35">
        <v>24848.2</v>
      </c>
      <c r="D5650" s="33" t="s">
        <v>274</v>
      </c>
      <c r="E5650" s="34">
        <v>387.56799999999998</v>
      </c>
      <c r="F5650" s="36">
        <v>0.15100000000001099</v>
      </c>
      <c r="G5650" s="34">
        <v>0.15100000000001099</v>
      </c>
      <c r="H5650" s="35">
        <v>9.4</v>
      </c>
      <c r="I5650" s="37">
        <f t="shared" si="88"/>
        <v>3.7829701950241871E-4</v>
      </c>
      <c r="J5650" s="33"/>
    </row>
    <row r="5651" spans="1:10">
      <c r="A5651" s="33" t="s">
        <v>201</v>
      </c>
      <c r="B5651" s="34">
        <v>387.41699999999997</v>
      </c>
      <c r="C5651" s="35">
        <v>24848.2</v>
      </c>
      <c r="D5651" s="33" t="s">
        <v>273</v>
      </c>
      <c r="E5651" s="34">
        <v>387.57600000000002</v>
      </c>
      <c r="F5651" s="36">
        <v>0.15900000000004899</v>
      </c>
      <c r="G5651" s="34">
        <v>0.15900000000004899</v>
      </c>
      <c r="H5651" s="35">
        <v>55.6</v>
      </c>
      <c r="I5651" s="37">
        <f t="shared" si="88"/>
        <v>2.2375866259930297E-3</v>
      </c>
      <c r="J5651" s="33"/>
    </row>
    <row r="5652" spans="1:10">
      <c r="A5652" s="33" t="s">
        <v>201</v>
      </c>
      <c r="B5652" s="34">
        <v>389.91899999999998</v>
      </c>
      <c r="C5652" s="35">
        <v>10294.9</v>
      </c>
      <c r="D5652" s="33" t="s">
        <v>236</v>
      </c>
      <c r="E5652" s="34">
        <v>389.76400000000001</v>
      </c>
      <c r="F5652" s="36">
        <v>0.15499999999997299</v>
      </c>
      <c r="G5652" s="34">
        <v>0.15499999999997299</v>
      </c>
      <c r="H5652" s="35">
        <v>26</v>
      </c>
      <c r="I5652" s="37">
        <f t="shared" si="88"/>
        <v>2.5255223460159885E-3</v>
      </c>
      <c r="J5652" s="33"/>
    </row>
    <row r="5653" spans="1:10">
      <c r="A5653" s="33" t="s">
        <v>201</v>
      </c>
      <c r="B5653" s="34">
        <v>389.91899999999998</v>
      </c>
      <c r="C5653" s="35">
        <v>10294.9</v>
      </c>
      <c r="D5653" s="33" t="s">
        <v>239</v>
      </c>
      <c r="E5653" s="34">
        <v>389.76499999999999</v>
      </c>
      <c r="F5653" s="36">
        <v>0.153999999999996</v>
      </c>
      <c r="G5653" s="34">
        <v>0.153999999999996</v>
      </c>
      <c r="H5653" s="35">
        <v>17.399999999999999</v>
      </c>
      <c r="I5653" s="37">
        <f t="shared" si="88"/>
        <v>1.6901572623337767E-3</v>
      </c>
      <c r="J5653" s="33"/>
    </row>
    <row r="5654" spans="1:10">
      <c r="A5654" s="33" t="s">
        <v>201</v>
      </c>
      <c r="B5654" s="34">
        <v>389.91899999999998</v>
      </c>
      <c r="C5654" s="35">
        <v>10294.9</v>
      </c>
      <c r="D5654" s="33" t="s">
        <v>277</v>
      </c>
      <c r="E5654" s="34">
        <v>389.77100000000002</v>
      </c>
      <c r="F5654" s="36">
        <v>0.14799999999996799</v>
      </c>
      <c r="G5654" s="34">
        <v>0.14799999999996799</v>
      </c>
      <c r="H5654" s="35">
        <v>162.30000000000001</v>
      </c>
      <c r="I5654" s="37">
        <f t="shared" si="88"/>
        <v>1.5765087567630575E-2</v>
      </c>
      <c r="J5654" s="33"/>
    </row>
    <row r="5655" spans="1:10">
      <c r="A5655" s="33" t="s">
        <v>201</v>
      </c>
      <c r="B5655" s="34">
        <v>389.91899999999998</v>
      </c>
      <c r="C5655" s="35">
        <v>10294.9</v>
      </c>
      <c r="D5655" s="33" t="s">
        <v>276</v>
      </c>
      <c r="E5655" s="34">
        <v>389.78699999999998</v>
      </c>
      <c r="F5655" s="36">
        <v>0.132000000000005</v>
      </c>
      <c r="G5655" s="34">
        <v>0.132000000000005</v>
      </c>
      <c r="H5655" s="35">
        <v>52.2</v>
      </c>
      <c r="I5655" s="37">
        <f t="shared" si="88"/>
        <v>5.0704717870013313E-3</v>
      </c>
      <c r="J5655" s="33"/>
    </row>
    <row r="5656" spans="1:10">
      <c r="A5656" s="33" t="s">
        <v>201</v>
      </c>
      <c r="B5656" s="34">
        <v>389.91899999999998</v>
      </c>
      <c r="C5656" s="35">
        <v>10294.9</v>
      </c>
      <c r="D5656" s="33" t="s">
        <v>97</v>
      </c>
      <c r="E5656" s="34">
        <v>389.78899999999999</v>
      </c>
      <c r="F5656" s="36">
        <v>0.12999999999999601</v>
      </c>
      <c r="G5656" s="34">
        <v>0.12999999999999601</v>
      </c>
      <c r="H5656" s="35">
        <v>30.9</v>
      </c>
      <c r="I5656" s="37">
        <f t="shared" si="88"/>
        <v>3.0014861727651557E-3</v>
      </c>
      <c r="J5656" s="33"/>
    </row>
    <row r="5657" spans="1:10">
      <c r="A5657" s="33" t="s">
        <v>201</v>
      </c>
      <c r="B5657" s="34">
        <v>389.91899999999998</v>
      </c>
      <c r="C5657" s="35">
        <v>10294.9</v>
      </c>
      <c r="D5657" s="33" t="s">
        <v>201</v>
      </c>
      <c r="E5657" s="34">
        <v>389.78899999999999</v>
      </c>
      <c r="F5657" s="36">
        <v>0.12999999999999601</v>
      </c>
      <c r="G5657" s="34">
        <v>0.12999999999999601</v>
      </c>
      <c r="H5657" s="35">
        <v>786.5</v>
      </c>
      <c r="I5657" s="37">
        <f t="shared" si="88"/>
        <v>7.6397050966983654E-2</v>
      </c>
      <c r="J5657" s="33"/>
    </row>
    <row r="5658" spans="1:10">
      <c r="A5658" s="33" t="s">
        <v>201</v>
      </c>
      <c r="B5658" s="34">
        <v>389.91899999999998</v>
      </c>
      <c r="C5658" s="35">
        <v>10294.9</v>
      </c>
      <c r="D5658" s="33" t="s">
        <v>274</v>
      </c>
      <c r="E5658" s="34">
        <v>389.791</v>
      </c>
      <c r="F5658" s="36">
        <v>0.12799999999998601</v>
      </c>
      <c r="G5658" s="34">
        <v>0.12799999999998601</v>
      </c>
      <c r="H5658" s="35">
        <v>25.3</v>
      </c>
      <c r="I5658" s="37">
        <f t="shared" si="88"/>
        <v>2.4575275136232504E-3</v>
      </c>
      <c r="J5658" s="33"/>
    </row>
    <row r="5659" spans="1:10">
      <c r="A5659" s="33" t="s">
        <v>201</v>
      </c>
      <c r="B5659" s="34">
        <v>389.91899999999998</v>
      </c>
      <c r="C5659" s="35">
        <v>10294.9</v>
      </c>
      <c r="D5659" s="33" t="s">
        <v>278</v>
      </c>
      <c r="E5659" s="34">
        <v>389.798</v>
      </c>
      <c r="F5659" s="36">
        <v>0.120999999999981</v>
      </c>
      <c r="G5659" s="34">
        <v>0.120999999999981</v>
      </c>
      <c r="H5659" s="35">
        <v>151.69999999999999</v>
      </c>
      <c r="I5659" s="37">
        <f t="shared" si="88"/>
        <v>1.4735451534254825E-2</v>
      </c>
      <c r="J5659" s="33"/>
    </row>
    <row r="5660" spans="1:10">
      <c r="A5660" s="33" t="s">
        <v>201</v>
      </c>
      <c r="B5660" s="34">
        <v>389.91899999999998</v>
      </c>
      <c r="C5660" s="35">
        <v>10294.9</v>
      </c>
      <c r="D5660" s="33" t="s">
        <v>275</v>
      </c>
      <c r="E5660" s="34">
        <v>389.82400000000001</v>
      </c>
      <c r="F5660" s="36">
        <v>9.49999999999704E-2</v>
      </c>
      <c r="G5660" s="34">
        <v>9.49999999999704E-2</v>
      </c>
      <c r="H5660" s="35">
        <v>22.8</v>
      </c>
      <c r="I5660" s="37">
        <f t="shared" si="88"/>
        <v>2.2146888265063285E-3</v>
      </c>
      <c r="J5660" s="33"/>
    </row>
    <row r="5661" spans="1:10">
      <c r="A5661" s="33" t="s">
        <v>201</v>
      </c>
      <c r="B5661" s="34">
        <v>389.91899999999998</v>
      </c>
      <c r="C5661" s="35">
        <v>10294.9</v>
      </c>
      <c r="D5661" s="33" t="s">
        <v>25</v>
      </c>
      <c r="E5661" s="34">
        <v>389.82600000000002</v>
      </c>
      <c r="F5661" s="36">
        <v>9.2999999999960906E-2</v>
      </c>
      <c r="G5661" s="34">
        <v>9.2999999999960906E-2</v>
      </c>
      <c r="H5661" s="35">
        <v>2089</v>
      </c>
      <c r="I5661" s="37">
        <f t="shared" si="88"/>
        <v>0.2029160069549</v>
      </c>
      <c r="J5661" s="33" t="s">
        <v>116</v>
      </c>
    </row>
    <row r="5662" spans="1:10">
      <c r="A5662" s="33" t="s">
        <v>201</v>
      </c>
      <c r="B5662" s="34">
        <v>389.91899999999998</v>
      </c>
      <c r="C5662" s="35">
        <v>10294.9</v>
      </c>
      <c r="D5662" s="33" t="s">
        <v>273</v>
      </c>
      <c r="E5662" s="34">
        <v>389.82799999999997</v>
      </c>
      <c r="F5662" s="36">
        <v>9.1000000000008199E-2</v>
      </c>
      <c r="G5662" s="34">
        <v>9.1000000000008199E-2</v>
      </c>
      <c r="H5662" s="35">
        <v>865.3</v>
      </c>
      <c r="I5662" s="37">
        <f t="shared" si="88"/>
        <v>8.4051326384909031E-2</v>
      </c>
      <c r="J5662" s="33"/>
    </row>
    <row r="5663" spans="1:10">
      <c r="A5663" s="33" t="s">
        <v>201</v>
      </c>
      <c r="B5663" s="34">
        <v>389.91899999999998</v>
      </c>
      <c r="C5663" s="35">
        <v>10294.9</v>
      </c>
      <c r="D5663" s="33" t="s">
        <v>240</v>
      </c>
      <c r="E5663" s="34">
        <v>389.834</v>
      </c>
      <c r="F5663" s="36">
        <v>8.4999999999979495E-2</v>
      </c>
      <c r="G5663" s="34">
        <v>8.4999999999979495E-2</v>
      </c>
      <c r="H5663" s="35">
        <v>12.6</v>
      </c>
      <c r="I5663" s="37">
        <f t="shared" si="88"/>
        <v>1.2239069830692866E-3</v>
      </c>
      <c r="J5663" s="33"/>
    </row>
    <row r="5664" spans="1:10">
      <c r="A5664" s="33" t="s">
        <v>201</v>
      </c>
      <c r="B5664" s="34">
        <v>389.91899999999998</v>
      </c>
      <c r="C5664" s="35">
        <v>10294.9</v>
      </c>
      <c r="D5664" s="33" t="s">
        <v>268</v>
      </c>
      <c r="E5664" s="34">
        <v>389.83600000000001</v>
      </c>
      <c r="F5664" s="36">
        <v>8.2999999999970001E-2</v>
      </c>
      <c r="G5664" s="34">
        <v>8.2999999999970001E-2</v>
      </c>
      <c r="H5664" s="35">
        <v>10.4</v>
      </c>
      <c r="I5664" s="37">
        <f t="shared" si="88"/>
        <v>1.0102089384063954E-3</v>
      </c>
      <c r="J5664" s="33"/>
    </row>
    <row r="5665" spans="1:10">
      <c r="A5665" s="33" t="s">
        <v>201</v>
      </c>
      <c r="B5665" s="34">
        <v>389.91899999999998</v>
      </c>
      <c r="C5665" s="35">
        <v>10294.9</v>
      </c>
      <c r="D5665" s="33" t="s">
        <v>271</v>
      </c>
      <c r="E5665" s="34">
        <v>389.851</v>
      </c>
      <c r="F5665" s="36">
        <v>6.7999999999983601E-2</v>
      </c>
      <c r="G5665" s="34">
        <v>6.7999999999983601E-2</v>
      </c>
      <c r="H5665" s="35">
        <v>84.1</v>
      </c>
      <c r="I5665" s="37">
        <f t="shared" si="88"/>
        <v>8.1690934346132556E-3</v>
      </c>
      <c r="J5665" s="33"/>
    </row>
    <row r="5666" spans="1:10">
      <c r="A5666" s="33" t="s">
        <v>201</v>
      </c>
      <c r="B5666" s="34">
        <v>389.91899999999998</v>
      </c>
      <c r="C5666" s="35">
        <v>10294.9</v>
      </c>
      <c r="D5666" s="33" t="s">
        <v>33</v>
      </c>
      <c r="E5666" s="34">
        <v>389.85300000000001</v>
      </c>
      <c r="F5666" s="36">
        <v>6.5999999999974093E-2</v>
      </c>
      <c r="G5666" s="34">
        <v>6.5999999999974093E-2</v>
      </c>
      <c r="H5666" s="35">
        <v>17081.900000000001</v>
      </c>
      <c r="I5666" s="37">
        <f t="shared" si="88"/>
        <v>1.65925846778502</v>
      </c>
      <c r="J5666" s="33" t="s">
        <v>116</v>
      </c>
    </row>
    <row r="5667" spans="1:10">
      <c r="A5667" s="33" t="s">
        <v>201</v>
      </c>
      <c r="B5667" s="34">
        <v>389.91899999999998</v>
      </c>
      <c r="C5667" s="35">
        <v>10294.9</v>
      </c>
      <c r="D5667" s="33" t="s">
        <v>133</v>
      </c>
      <c r="E5667" s="34">
        <v>389.85899999999998</v>
      </c>
      <c r="F5667" s="36">
        <v>6.0000000000002301E-2</v>
      </c>
      <c r="G5667" s="34">
        <v>6.0000000000002301E-2</v>
      </c>
      <c r="H5667" s="35">
        <v>18.899999999999999</v>
      </c>
      <c r="I5667" s="37">
        <f t="shared" si="88"/>
        <v>1.8358604746039301E-3</v>
      </c>
      <c r="J5667" s="33"/>
    </row>
    <row r="5668" spans="1:10">
      <c r="A5668" s="33" t="s">
        <v>201</v>
      </c>
      <c r="B5668" s="34">
        <v>389.91899999999998</v>
      </c>
      <c r="C5668" s="35">
        <v>10294.9</v>
      </c>
      <c r="D5668" s="33" t="s">
        <v>173</v>
      </c>
      <c r="E5668" s="34">
        <v>389.88400000000001</v>
      </c>
      <c r="F5668" s="36">
        <v>3.4999999999968202E-2</v>
      </c>
      <c r="G5668" s="34">
        <v>3.4999999999968202E-2</v>
      </c>
      <c r="H5668" s="35">
        <v>1431.2</v>
      </c>
      <c r="I5668" s="37">
        <f t="shared" si="88"/>
        <v>0.13902029160069551</v>
      </c>
      <c r="J5668" s="33"/>
    </row>
    <row r="5669" spans="1:10">
      <c r="A5669" s="33" t="s">
        <v>201</v>
      </c>
      <c r="B5669" s="34">
        <v>389.91899999999998</v>
      </c>
      <c r="C5669" s="35">
        <v>10294.9</v>
      </c>
      <c r="D5669" s="33" t="s">
        <v>25</v>
      </c>
      <c r="E5669" s="34">
        <v>389.89400000000001</v>
      </c>
      <c r="F5669" s="36">
        <v>2.4999999999977301E-2</v>
      </c>
      <c r="G5669" s="34">
        <v>2.4999999999977301E-2</v>
      </c>
      <c r="H5669" s="35">
        <v>927</v>
      </c>
      <c r="I5669" s="37">
        <f t="shared" si="88"/>
        <v>9.0044585182954676E-2</v>
      </c>
      <c r="J5669" s="33" t="s">
        <v>116</v>
      </c>
    </row>
    <row r="5670" spans="1:10">
      <c r="A5670" s="33" t="s">
        <v>201</v>
      </c>
      <c r="B5670" s="34">
        <v>389.91899999999998</v>
      </c>
      <c r="C5670" s="35">
        <v>10294.9</v>
      </c>
      <c r="D5670" s="33" t="s">
        <v>277</v>
      </c>
      <c r="E5670" s="34">
        <v>389.91</v>
      </c>
      <c r="F5670" s="36">
        <v>8.9999999999577102E-3</v>
      </c>
      <c r="G5670" s="34">
        <v>8.9999999999577102E-3</v>
      </c>
      <c r="H5670" s="35">
        <v>89.5</v>
      </c>
      <c r="I5670" s="37">
        <f t="shared" si="88"/>
        <v>8.6936249987858063E-3</v>
      </c>
      <c r="J5670" s="33"/>
    </row>
    <row r="5671" spans="1:10">
      <c r="A5671" s="33" t="s">
        <v>201</v>
      </c>
      <c r="B5671" s="34">
        <v>389.91899999999998</v>
      </c>
      <c r="C5671" s="35">
        <v>10294.9</v>
      </c>
      <c r="D5671" s="33" t="s">
        <v>278</v>
      </c>
      <c r="E5671" s="34">
        <v>389.91399999999999</v>
      </c>
      <c r="F5671" s="36">
        <v>4.9999999999954499E-3</v>
      </c>
      <c r="G5671" s="34">
        <v>4.9999999999954499E-3</v>
      </c>
      <c r="H5671" s="35">
        <v>1221.8</v>
      </c>
      <c r="I5671" s="37">
        <f t="shared" si="88"/>
        <v>0.11868012316778211</v>
      </c>
      <c r="J5671" s="33"/>
    </row>
    <row r="5672" spans="1:10">
      <c r="A5672" s="33" t="s">
        <v>201</v>
      </c>
      <c r="B5672" s="34">
        <v>389.91899999999998</v>
      </c>
      <c r="C5672" s="35">
        <v>10294.9</v>
      </c>
      <c r="D5672" s="33" t="s">
        <v>285</v>
      </c>
      <c r="E5672" s="34">
        <v>389.92099999999999</v>
      </c>
      <c r="F5672" s="36">
        <v>2.0000000000095501E-3</v>
      </c>
      <c r="G5672" s="34">
        <v>2.0000000000095501E-3</v>
      </c>
      <c r="H5672" s="35">
        <v>0.5</v>
      </c>
      <c r="I5672" s="37">
        <f t="shared" si="88"/>
        <v>4.8567737423384398E-5</v>
      </c>
      <c r="J5672" s="33"/>
    </row>
    <row r="5673" spans="1:10">
      <c r="A5673" s="33" t="s">
        <v>201</v>
      </c>
      <c r="B5673" s="34">
        <v>389.91899999999998</v>
      </c>
      <c r="C5673" s="35">
        <v>10294.9</v>
      </c>
      <c r="D5673" s="33" t="s">
        <v>240</v>
      </c>
      <c r="E5673" s="34">
        <v>389.93099999999998</v>
      </c>
      <c r="F5673" s="36">
        <v>1.20000000000005E-2</v>
      </c>
      <c r="G5673" s="34">
        <v>1.20000000000005E-2</v>
      </c>
      <c r="H5673" s="35">
        <v>10.3</v>
      </c>
      <c r="I5673" s="37">
        <f t="shared" si="88"/>
        <v>1.0004953909217187E-3</v>
      </c>
      <c r="J5673" s="33"/>
    </row>
    <row r="5674" spans="1:10">
      <c r="A5674" s="33" t="s">
        <v>201</v>
      </c>
      <c r="B5674" s="34">
        <v>389.91899999999998</v>
      </c>
      <c r="C5674" s="35">
        <v>10294.9</v>
      </c>
      <c r="D5674" s="33" t="s">
        <v>282</v>
      </c>
      <c r="E5674" s="34">
        <v>389.93400000000003</v>
      </c>
      <c r="F5674" s="36">
        <v>1.5000000000043199E-2</v>
      </c>
      <c r="G5674" s="34">
        <v>1.5000000000043199E-2</v>
      </c>
      <c r="H5674" s="35">
        <v>3.2</v>
      </c>
      <c r="I5674" s="37">
        <f t="shared" si="88"/>
        <v>3.1083351950966017E-4</v>
      </c>
      <c r="J5674" s="33"/>
    </row>
    <row r="5675" spans="1:10">
      <c r="A5675" s="33" t="s">
        <v>201</v>
      </c>
      <c r="B5675" s="34">
        <v>389.91899999999998</v>
      </c>
      <c r="C5675" s="35">
        <v>10294.9</v>
      </c>
      <c r="D5675" s="33" t="s">
        <v>25</v>
      </c>
      <c r="E5675" s="34">
        <v>389.93799999999999</v>
      </c>
      <c r="F5675" s="36">
        <v>1.9000000000005499E-2</v>
      </c>
      <c r="G5675" s="34">
        <v>1.9000000000005499E-2</v>
      </c>
      <c r="H5675" s="35">
        <v>242.9</v>
      </c>
      <c r="I5675" s="37">
        <f t="shared" si="88"/>
        <v>2.359420684028014E-2</v>
      </c>
      <c r="J5675" s="33" t="s">
        <v>116</v>
      </c>
    </row>
    <row r="5676" spans="1:10">
      <c r="A5676" s="33" t="s">
        <v>201</v>
      </c>
      <c r="B5676" s="34">
        <v>389.91899999999998</v>
      </c>
      <c r="C5676" s="35">
        <v>10294.9</v>
      </c>
      <c r="D5676" s="33" t="s">
        <v>268</v>
      </c>
      <c r="E5676" s="34">
        <v>389.93799999999999</v>
      </c>
      <c r="F5676" s="36">
        <v>1.9000000000005499E-2</v>
      </c>
      <c r="G5676" s="34">
        <v>1.9000000000005499E-2</v>
      </c>
      <c r="H5676" s="35">
        <v>6.8</v>
      </c>
      <c r="I5676" s="37">
        <f t="shared" si="88"/>
        <v>6.6052122895802774E-4</v>
      </c>
      <c r="J5676" s="33"/>
    </row>
    <row r="5677" spans="1:10">
      <c r="A5677" s="33" t="s">
        <v>201</v>
      </c>
      <c r="B5677" s="34">
        <v>389.91899999999998</v>
      </c>
      <c r="C5677" s="35">
        <v>10294.9</v>
      </c>
      <c r="D5677" s="33" t="s">
        <v>277</v>
      </c>
      <c r="E5677" s="34">
        <v>389.947</v>
      </c>
      <c r="F5677" s="36">
        <v>2.8000000000019998E-2</v>
      </c>
      <c r="G5677" s="34">
        <v>2.8000000000019998E-2</v>
      </c>
      <c r="H5677" s="35">
        <v>270.5</v>
      </c>
      <c r="I5677" s="37">
        <f t="shared" si="88"/>
        <v>2.627514594605096E-2</v>
      </c>
      <c r="J5677" s="33"/>
    </row>
    <row r="5678" spans="1:10">
      <c r="A5678" s="33" t="s">
        <v>201</v>
      </c>
      <c r="B5678" s="34">
        <v>389.91899999999998</v>
      </c>
      <c r="C5678" s="35">
        <v>10294.9</v>
      </c>
      <c r="D5678" s="33" t="s">
        <v>173</v>
      </c>
      <c r="E5678" s="34">
        <v>389.95499999999998</v>
      </c>
      <c r="F5678" s="36">
        <v>3.6000000000001399E-2</v>
      </c>
      <c r="G5678" s="34">
        <v>3.6000000000001399E-2</v>
      </c>
      <c r="H5678" s="35">
        <v>502.7</v>
      </c>
      <c r="I5678" s="37">
        <f t="shared" si="88"/>
        <v>4.8830003205470672E-2</v>
      </c>
      <c r="J5678" s="33"/>
    </row>
    <row r="5679" spans="1:10">
      <c r="A5679" s="33" t="s">
        <v>201</v>
      </c>
      <c r="B5679" s="34">
        <v>389.91899999999998</v>
      </c>
      <c r="C5679" s="35">
        <v>10294.9</v>
      </c>
      <c r="D5679" s="33" t="s">
        <v>97</v>
      </c>
      <c r="E5679" s="34">
        <v>389.971</v>
      </c>
      <c r="F5679" s="36">
        <v>5.2000000000020898E-2</v>
      </c>
      <c r="G5679" s="34">
        <v>5.2000000000020898E-2</v>
      </c>
      <c r="H5679" s="35">
        <v>316.3</v>
      </c>
      <c r="I5679" s="37">
        <f t="shared" si="88"/>
        <v>3.072395069403297E-2</v>
      </c>
      <c r="J5679" s="33"/>
    </row>
    <row r="5680" spans="1:10">
      <c r="A5680" s="33" t="s">
        <v>201</v>
      </c>
      <c r="B5680" s="34">
        <v>389.91899999999998</v>
      </c>
      <c r="C5680" s="35">
        <v>10294.9</v>
      </c>
      <c r="D5680" s="33" t="s">
        <v>277</v>
      </c>
      <c r="E5680" s="34">
        <v>389.97300000000001</v>
      </c>
      <c r="F5680" s="36">
        <v>5.4000000000030503E-2</v>
      </c>
      <c r="G5680" s="34">
        <v>5.4000000000030503E-2</v>
      </c>
      <c r="H5680" s="35">
        <v>426.7</v>
      </c>
      <c r="I5680" s="37">
        <f t="shared" si="88"/>
        <v>4.1447707117116241E-2</v>
      </c>
      <c r="J5680" s="33"/>
    </row>
    <row r="5681" spans="1:10">
      <c r="A5681" s="33" t="s">
        <v>201</v>
      </c>
      <c r="B5681" s="34">
        <v>389.91899999999998</v>
      </c>
      <c r="C5681" s="35">
        <v>10294.9</v>
      </c>
      <c r="D5681" s="33" t="s">
        <v>287</v>
      </c>
      <c r="E5681" s="34">
        <v>389.988</v>
      </c>
      <c r="F5681" s="36">
        <v>6.9000000000016798E-2</v>
      </c>
      <c r="G5681" s="34">
        <v>6.9000000000016798E-2</v>
      </c>
      <c r="H5681" s="35">
        <v>2050</v>
      </c>
      <c r="I5681" s="37">
        <f t="shared" si="88"/>
        <v>0.19912772343587604</v>
      </c>
      <c r="J5681" s="33"/>
    </row>
    <row r="5682" spans="1:10">
      <c r="A5682" s="33" t="s">
        <v>201</v>
      </c>
      <c r="B5682" s="34">
        <v>389.91899999999998</v>
      </c>
      <c r="C5682" s="35">
        <v>10294.9</v>
      </c>
      <c r="D5682" s="33" t="s">
        <v>269</v>
      </c>
      <c r="E5682" s="34">
        <v>389.99299999999999</v>
      </c>
      <c r="F5682" s="36">
        <v>7.4000000000012306E-2</v>
      </c>
      <c r="G5682" s="34">
        <v>7.4000000000012306E-2</v>
      </c>
      <c r="H5682" s="35">
        <v>135.80000000000001</v>
      </c>
      <c r="I5682" s="37">
        <f t="shared" si="88"/>
        <v>1.3190997484191202E-2</v>
      </c>
      <c r="J5682" s="33"/>
    </row>
    <row r="5683" spans="1:10">
      <c r="A5683" s="33" t="s">
        <v>201</v>
      </c>
      <c r="B5683" s="34">
        <v>389.91899999999998</v>
      </c>
      <c r="C5683" s="35">
        <v>10294.9</v>
      </c>
      <c r="D5683" s="33" t="s">
        <v>271</v>
      </c>
      <c r="E5683" s="34">
        <v>390.01299999999998</v>
      </c>
      <c r="F5683" s="36">
        <v>9.3999999999994102E-2</v>
      </c>
      <c r="G5683" s="34">
        <v>9.3999999999994102E-2</v>
      </c>
      <c r="H5683" s="35">
        <v>191.5</v>
      </c>
      <c r="I5683" s="37">
        <f t="shared" si="88"/>
        <v>1.8601443433156225E-2</v>
      </c>
      <c r="J5683" s="33"/>
    </row>
    <row r="5684" spans="1:10">
      <c r="A5684" s="33" t="s">
        <v>201</v>
      </c>
      <c r="B5684" s="34">
        <v>389.91899999999998</v>
      </c>
      <c r="C5684" s="35">
        <v>10294.9</v>
      </c>
      <c r="D5684" s="33" t="s">
        <v>278</v>
      </c>
      <c r="E5684" s="34">
        <v>390.017</v>
      </c>
      <c r="F5684" s="36">
        <v>9.8000000000013202E-2</v>
      </c>
      <c r="G5684" s="34">
        <v>9.8000000000013202E-2</v>
      </c>
      <c r="H5684" s="35">
        <v>60.6</v>
      </c>
      <c r="I5684" s="37">
        <f t="shared" si="88"/>
        <v>5.8864097757141886E-3</v>
      </c>
      <c r="J5684" s="33"/>
    </row>
    <row r="5685" spans="1:10">
      <c r="A5685" s="33" t="s">
        <v>201</v>
      </c>
      <c r="B5685" s="34">
        <v>389.91899999999998</v>
      </c>
      <c r="C5685" s="35">
        <v>10294.9</v>
      </c>
      <c r="D5685" s="33" t="s">
        <v>25</v>
      </c>
      <c r="E5685" s="34">
        <v>390.02</v>
      </c>
      <c r="F5685" s="36">
        <v>0.10099999999999899</v>
      </c>
      <c r="G5685" s="34">
        <v>0.10099999999999899</v>
      </c>
      <c r="H5685" s="35">
        <v>284</v>
      </c>
      <c r="I5685" s="37">
        <f t="shared" si="88"/>
        <v>2.7586474856482336E-2</v>
      </c>
      <c r="J5685" s="33" t="s">
        <v>116</v>
      </c>
    </row>
    <row r="5686" spans="1:10">
      <c r="A5686" s="33" t="s">
        <v>201</v>
      </c>
      <c r="B5686" s="34">
        <v>389.91899999999998</v>
      </c>
      <c r="C5686" s="35">
        <v>10294.9</v>
      </c>
      <c r="D5686" s="33" t="s">
        <v>27</v>
      </c>
      <c r="E5686" s="34">
        <v>390.02199999999999</v>
      </c>
      <c r="F5686" s="36">
        <v>0.103000000000009</v>
      </c>
      <c r="G5686" s="34">
        <v>0.103000000000009</v>
      </c>
      <c r="H5686" s="35">
        <v>7165.7</v>
      </c>
      <c r="I5686" s="37">
        <f t="shared" si="88"/>
        <v>0.69604367210949114</v>
      </c>
      <c r="J5686" s="33" t="s">
        <v>116</v>
      </c>
    </row>
    <row r="5687" spans="1:10">
      <c r="A5687" s="33" t="s">
        <v>201</v>
      </c>
      <c r="B5687" s="34">
        <v>389.91899999999998</v>
      </c>
      <c r="C5687" s="35">
        <v>10294.9</v>
      </c>
      <c r="D5687" s="33" t="s">
        <v>277</v>
      </c>
      <c r="E5687" s="34">
        <v>390.03300000000002</v>
      </c>
      <c r="F5687" s="36">
        <v>0.11400000000003301</v>
      </c>
      <c r="G5687" s="34">
        <v>0.11400000000003301</v>
      </c>
      <c r="H5687" s="35">
        <v>137.6</v>
      </c>
      <c r="I5687" s="37">
        <f t="shared" si="88"/>
        <v>1.3365841338915385E-2</v>
      </c>
      <c r="J5687" s="33"/>
    </row>
    <row r="5688" spans="1:10">
      <c r="A5688" s="33" t="s">
        <v>201</v>
      </c>
      <c r="B5688" s="34">
        <v>389.91899999999998</v>
      </c>
      <c r="C5688" s="35">
        <v>10294.9</v>
      </c>
      <c r="D5688" s="33" t="s">
        <v>284</v>
      </c>
      <c r="E5688" s="34">
        <v>390.03899999999999</v>
      </c>
      <c r="F5688" s="36">
        <v>0.12000000000000501</v>
      </c>
      <c r="G5688" s="34">
        <v>0.12000000000000501</v>
      </c>
      <c r="H5688" s="35">
        <v>0.5</v>
      </c>
      <c r="I5688" s="37">
        <f t="shared" si="88"/>
        <v>4.8567737423384398E-5</v>
      </c>
      <c r="J5688" s="33"/>
    </row>
    <row r="5689" spans="1:10">
      <c r="A5689" s="33" t="s">
        <v>201</v>
      </c>
      <c r="B5689" s="34">
        <v>389.91899999999998</v>
      </c>
      <c r="C5689" s="35">
        <v>10294.9</v>
      </c>
      <c r="D5689" s="33" t="s">
        <v>236</v>
      </c>
      <c r="E5689" s="34">
        <v>390.05</v>
      </c>
      <c r="F5689" s="36">
        <v>0.13100000000002901</v>
      </c>
      <c r="G5689" s="34">
        <v>0.13100000000002901</v>
      </c>
      <c r="H5689" s="35">
        <v>123.1</v>
      </c>
      <c r="I5689" s="37">
        <f t="shared" si="88"/>
        <v>1.1957376953637237E-2</v>
      </c>
      <c r="J5689" s="33"/>
    </row>
    <row r="5690" spans="1:10">
      <c r="A5690" s="33" t="s">
        <v>201</v>
      </c>
      <c r="B5690" s="34">
        <v>389.91899999999998</v>
      </c>
      <c r="C5690" s="35">
        <v>10294.9</v>
      </c>
      <c r="D5690" s="33" t="s">
        <v>280</v>
      </c>
      <c r="E5690" s="34">
        <v>390.05099999999999</v>
      </c>
      <c r="F5690" s="36">
        <v>0.132000000000005</v>
      </c>
      <c r="G5690" s="34">
        <v>0.132000000000005</v>
      </c>
      <c r="H5690" s="35">
        <v>410.7</v>
      </c>
      <c r="I5690" s="37">
        <f t="shared" si="88"/>
        <v>3.9893539519567943E-2</v>
      </c>
      <c r="J5690" s="33"/>
    </row>
    <row r="5691" spans="1:10">
      <c r="A5691" s="33" t="s">
        <v>201</v>
      </c>
      <c r="B5691" s="34">
        <v>389.91899999999998</v>
      </c>
      <c r="C5691" s="35">
        <v>10294.9</v>
      </c>
      <c r="D5691" s="33" t="s">
        <v>237</v>
      </c>
      <c r="E5691" s="34">
        <v>390.05500000000001</v>
      </c>
      <c r="F5691" s="36">
        <v>0.13600000000002399</v>
      </c>
      <c r="G5691" s="34">
        <v>0.13600000000002399</v>
      </c>
      <c r="H5691" s="35">
        <v>9234.4</v>
      </c>
      <c r="I5691" s="37">
        <f t="shared" si="88"/>
        <v>0.89698782892500173</v>
      </c>
      <c r="J5691" s="33"/>
    </row>
    <row r="5692" spans="1:10">
      <c r="A5692" s="33" t="s">
        <v>109</v>
      </c>
      <c r="B5692" s="34">
        <v>313.125</v>
      </c>
      <c r="C5692" s="35">
        <v>141170.4</v>
      </c>
      <c r="D5692" s="33" t="s">
        <v>278</v>
      </c>
      <c r="E5692" s="34">
        <v>313.02600000000001</v>
      </c>
      <c r="F5692" s="36">
        <v>9.8999999999989499E-2</v>
      </c>
      <c r="G5692" s="34">
        <v>9.8999999999989499E-2</v>
      </c>
      <c r="H5692" s="35">
        <v>19930</v>
      </c>
      <c r="I5692" s="37">
        <f t="shared" si="88"/>
        <v>0.14117690394020277</v>
      </c>
      <c r="J5692" s="33"/>
    </row>
    <row r="5693" spans="1:10">
      <c r="A5693" s="33" t="s">
        <v>109</v>
      </c>
      <c r="B5693" s="34">
        <v>313.125</v>
      </c>
      <c r="C5693" s="35">
        <v>141170.4</v>
      </c>
      <c r="D5693" s="33" t="s">
        <v>307</v>
      </c>
      <c r="E5693" s="34">
        <v>313.02800000000002</v>
      </c>
      <c r="F5693" s="36">
        <v>9.6999999999980005E-2</v>
      </c>
      <c r="G5693" s="34">
        <v>9.6999999999980005E-2</v>
      </c>
      <c r="H5693" s="35">
        <v>5048</v>
      </c>
      <c r="I5693" s="37">
        <f t="shared" si="88"/>
        <v>3.5758204269450256E-2</v>
      </c>
      <c r="J5693" s="33"/>
    </row>
    <row r="5694" spans="1:10">
      <c r="A5694" s="33" t="s">
        <v>109</v>
      </c>
      <c r="B5694" s="34">
        <v>313.125</v>
      </c>
      <c r="C5694" s="35">
        <v>141170.4</v>
      </c>
      <c r="D5694" s="33" t="s">
        <v>25</v>
      </c>
      <c r="E5694" s="34">
        <v>313.03399999999999</v>
      </c>
      <c r="F5694" s="36">
        <v>9.1000000000008199E-2</v>
      </c>
      <c r="G5694" s="34">
        <v>9.1000000000008199E-2</v>
      </c>
      <c r="H5694" s="35">
        <v>703.9</v>
      </c>
      <c r="I5694" s="37">
        <f t="shared" si="88"/>
        <v>4.9861727387610997E-3</v>
      </c>
      <c r="J5694" s="33" t="s">
        <v>116</v>
      </c>
    </row>
    <row r="5695" spans="1:10">
      <c r="A5695" s="33" t="s">
        <v>109</v>
      </c>
      <c r="B5695" s="34">
        <v>313.125</v>
      </c>
      <c r="C5695" s="35">
        <v>141170.4</v>
      </c>
      <c r="D5695" s="33" t="s">
        <v>308</v>
      </c>
      <c r="E5695" s="34">
        <v>313.04199999999997</v>
      </c>
      <c r="F5695" s="36">
        <v>8.3000000000026802E-2</v>
      </c>
      <c r="G5695" s="34">
        <v>8.3000000000026802E-2</v>
      </c>
      <c r="H5695" s="35">
        <v>2548935</v>
      </c>
      <c r="I5695" s="37">
        <f t="shared" si="88"/>
        <v>18.055732646503799</v>
      </c>
      <c r="J5695" s="33"/>
    </row>
    <row r="5696" spans="1:10">
      <c r="A5696" s="33" t="s">
        <v>109</v>
      </c>
      <c r="B5696" s="34">
        <v>313.125</v>
      </c>
      <c r="C5696" s="35">
        <v>141170.4</v>
      </c>
      <c r="D5696" s="33" t="s">
        <v>307</v>
      </c>
      <c r="E5696" s="34">
        <v>313.05700000000002</v>
      </c>
      <c r="F5696" s="36">
        <v>6.7999999999983601E-2</v>
      </c>
      <c r="G5696" s="34">
        <v>6.7999999999983601E-2</v>
      </c>
      <c r="H5696" s="35">
        <v>4011</v>
      </c>
      <c r="I5696" s="37">
        <f t="shared" si="88"/>
        <v>2.841247173628466E-2</v>
      </c>
      <c r="J5696" s="33"/>
    </row>
    <row r="5697" spans="1:10">
      <c r="A5697" s="33" t="s">
        <v>109</v>
      </c>
      <c r="B5697" s="34">
        <v>313.125</v>
      </c>
      <c r="C5697" s="35">
        <v>141170.4</v>
      </c>
      <c r="D5697" s="33" t="s">
        <v>239</v>
      </c>
      <c r="E5697" s="34">
        <v>313.05799999999999</v>
      </c>
      <c r="F5697" s="36">
        <v>6.7000000000007304E-2</v>
      </c>
      <c r="G5697" s="34">
        <v>6.7000000000007304E-2</v>
      </c>
      <c r="H5697" s="35">
        <v>20.100000000000001</v>
      </c>
      <c r="I5697" s="37">
        <f t="shared" si="88"/>
        <v>1.4238112238826271E-4</v>
      </c>
      <c r="J5697" s="33"/>
    </row>
    <row r="5698" spans="1:10">
      <c r="A5698" s="33" t="s">
        <v>109</v>
      </c>
      <c r="B5698" s="34">
        <v>313.125</v>
      </c>
      <c r="C5698" s="35">
        <v>141170.4</v>
      </c>
      <c r="D5698" s="33" t="s">
        <v>193</v>
      </c>
      <c r="E5698" s="34">
        <v>313.05799999999999</v>
      </c>
      <c r="F5698" s="36">
        <v>6.7000000000007304E-2</v>
      </c>
      <c r="G5698" s="34">
        <v>6.7000000000007304E-2</v>
      </c>
      <c r="H5698" s="35">
        <v>167.8</v>
      </c>
      <c r="I5698" s="37">
        <f t="shared" ref="I5698:I5761" si="89">H5698/C5698</f>
        <v>1.1886344446144519E-3</v>
      </c>
      <c r="J5698" s="33"/>
    </row>
    <row r="5699" spans="1:10">
      <c r="A5699" s="33" t="s">
        <v>109</v>
      </c>
      <c r="B5699" s="34">
        <v>313.125</v>
      </c>
      <c r="C5699" s="35">
        <v>141170.4</v>
      </c>
      <c r="D5699" s="33" t="s">
        <v>277</v>
      </c>
      <c r="E5699" s="34">
        <v>313.07299999999998</v>
      </c>
      <c r="F5699" s="36">
        <v>5.2000000000020898E-2</v>
      </c>
      <c r="G5699" s="34">
        <v>5.2000000000020898E-2</v>
      </c>
      <c r="H5699" s="35">
        <v>159</v>
      </c>
      <c r="I5699" s="37">
        <f t="shared" si="89"/>
        <v>1.1262984308325259E-3</v>
      </c>
      <c r="J5699" s="33"/>
    </row>
    <row r="5700" spans="1:10">
      <c r="A5700" s="33" t="s">
        <v>109</v>
      </c>
      <c r="B5700" s="34">
        <v>313.125</v>
      </c>
      <c r="C5700" s="35">
        <v>141170.4</v>
      </c>
      <c r="D5700" s="33" t="s">
        <v>280</v>
      </c>
      <c r="E5700" s="34">
        <v>313.07299999999998</v>
      </c>
      <c r="F5700" s="36">
        <v>5.2000000000020898E-2</v>
      </c>
      <c r="G5700" s="34">
        <v>5.2000000000020898E-2</v>
      </c>
      <c r="H5700" s="35">
        <v>604.9</v>
      </c>
      <c r="I5700" s="37">
        <f t="shared" si="89"/>
        <v>4.2848925837144329E-3</v>
      </c>
      <c r="J5700" s="33"/>
    </row>
    <row r="5701" spans="1:10">
      <c r="A5701" s="33" t="s">
        <v>109</v>
      </c>
      <c r="B5701" s="34">
        <v>313.125</v>
      </c>
      <c r="C5701" s="35">
        <v>141170.4</v>
      </c>
      <c r="D5701" s="33" t="s">
        <v>273</v>
      </c>
      <c r="E5701" s="34">
        <v>313.07799999999997</v>
      </c>
      <c r="F5701" s="36">
        <v>4.7000000000025501E-2</v>
      </c>
      <c r="G5701" s="34">
        <v>4.7000000000025501E-2</v>
      </c>
      <c r="H5701" s="35">
        <v>50150.8</v>
      </c>
      <c r="I5701" s="37">
        <f t="shared" si="89"/>
        <v>0.35525010908802418</v>
      </c>
      <c r="J5701" s="33"/>
    </row>
    <row r="5702" spans="1:10">
      <c r="A5702" s="33" t="s">
        <v>109</v>
      </c>
      <c r="B5702" s="34">
        <v>313.125</v>
      </c>
      <c r="C5702" s="35">
        <v>141170.4</v>
      </c>
      <c r="D5702" s="33" t="s">
        <v>282</v>
      </c>
      <c r="E5702" s="34">
        <v>313.07900000000001</v>
      </c>
      <c r="F5702" s="36">
        <v>4.5999999999992297E-2</v>
      </c>
      <c r="G5702" s="34">
        <v>4.5999999999992297E-2</v>
      </c>
      <c r="H5702" s="35">
        <v>13.6</v>
      </c>
      <c r="I5702" s="37">
        <f t="shared" si="89"/>
        <v>9.6337475844794661E-5</v>
      </c>
      <c r="J5702" s="33"/>
    </row>
    <row r="5703" spans="1:10">
      <c r="A5703" s="33" t="s">
        <v>109</v>
      </c>
      <c r="B5703" s="34">
        <v>313.125</v>
      </c>
      <c r="C5703" s="35">
        <v>141170.4</v>
      </c>
      <c r="D5703" s="33" t="s">
        <v>36</v>
      </c>
      <c r="E5703" s="34">
        <v>313.08100000000002</v>
      </c>
      <c r="F5703" s="36">
        <v>4.3999999999982699E-2</v>
      </c>
      <c r="G5703" s="34">
        <v>4.3999999999982699E-2</v>
      </c>
      <c r="H5703" s="35">
        <v>1028.2</v>
      </c>
      <c r="I5703" s="37">
        <f t="shared" si="89"/>
        <v>7.2833965193836673E-3</v>
      </c>
      <c r="J5703" s="33" t="s">
        <v>116</v>
      </c>
    </row>
    <row r="5704" spans="1:10">
      <c r="A5704" s="33" t="s">
        <v>109</v>
      </c>
      <c r="B5704" s="34">
        <v>313.125</v>
      </c>
      <c r="C5704" s="35">
        <v>141170.4</v>
      </c>
      <c r="D5704" s="33" t="s">
        <v>237</v>
      </c>
      <c r="E5704" s="34">
        <v>313.08100000000002</v>
      </c>
      <c r="F5704" s="36">
        <v>4.3999999999982699E-2</v>
      </c>
      <c r="G5704" s="34">
        <v>4.3999999999982699E-2</v>
      </c>
      <c r="H5704" s="35">
        <v>5088.8999999999996</v>
      </c>
      <c r="I5704" s="37">
        <f t="shared" si="89"/>
        <v>3.6047925060777614E-2</v>
      </c>
      <c r="J5704" s="33"/>
    </row>
    <row r="5705" spans="1:10">
      <c r="A5705" s="33" t="s">
        <v>109</v>
      </c>
      <c r="B5705" s="34">
        <v>313.125</v>
      </c>
      <c r="C5705" s="35">
        <v>141170.4</v>
      </c>
      <c r="D5705" s="33" t="s">
        <v>25</v>
      </c>
      <c r="E5705" s="34">
        <v>313.08699999999999</v>
      </c>
      <c r="F5705" s="36">
        <v>3.80000000000109E-2</v>
      </c>
      <c r="G5705" s="34">
        <v>3.80000000000109E-2</v>
      </c>
      <c r="H5705" s="35">
        <v>1072.5</v>
      </c>
      <c r="I5705" s="37">
        <f t="shared" si="89"/>
        <v>7.5972016796722261E-3</v>
      </c>
      <c r="J5705" s="33" t="s">
        <v>116</v>
      </c>
    </row>
    <row r="5706" spans="1:10">
      <c r="A5706" s="33" t="s">
        <v>109</v>
      </c>
      <c r="B5706" s="34">
        <v>313.125</v>
      </c>
      <c r="C5706" s="35">
        <v>141170.4</v>
      </c>
      <c r="D5706" s="33" t="s">
        <v>94</v>
      </c>
      <c r="E5706" s="34">
        <v>313.09899999999999</v>
      </c>
      <c r="F5706" s="36">
        <v>2.6000000000010501E-2</v>
      </c>
      <c r="G5706" s="34">
        <v>2.6000000000010501E-2</v>
      </c>
      <c r="H5706" s="35">
        <v>3229</v>
      </c>
      <c r="I5706" s="37">
        <f t="shared" si="89"/>
        <v>2.2873066875208969E-2</v>
      </c>
      <c r="J5706" s="33" t="s">
        <v>116</v>
      </c>
    </row>
    <row r="5707" spans="1:10">
      <c r="A5707" s="33" t="s">
        <v>109</v>
      </c>
      <c r="B5707" s="34">
        <v>313.125</v>
      </c>
      <c r="C5707" s="35">
        <v>141170.4</v>
      </c>
      <c r="D5707" s="33" t="s">
        <v>308</v>
      </c>
      <c r="E5707" s="34">
        <v>313.10700000000003</v>
      </c>
      <c r="F5707" s="36">
        <v>1.7999999999972299E-2</v>
      </c>
      <c r="G5707" s="34">
        <v>1.7999999999972299E-2</v>
      </c>
      <c r="H5707" s="35">
        <v>1307300</v>
      </c>
      <c r="I5707" s="37">
        <f t="shared" si="89"/>
        <v>9.2604398655808868</v>
      </c>
      <c r="J5707" s="33"/>
    </row>
    <row r="5708" spans="1:10">
      <c r="A5708" s="33" t="s">
        <v>109</v>
      </c>
      <c r="B5708" s="34">
        <v>313.125</v>
      </c>
      <c r="C5708" s="35">
        <v>141170.4</v>
      </c>
      <c r="D5708" s="33" t="s">
        <v>271</v>
      </c>
      <c r="E5708" s="34">
        <v>313.10700000000003</v>
      </c>
      <c r="F5708" s="36">
        <v>1.7999999999972299E-2</v>
      </c>
      <c r="G5708" s="34">
        <v>1.7999999999972299E-2</v>
      </c>
      <c r="H5708" s="35">
        <v>1005.5</v>
      </c>
      <c r="I5708" s="37">
        <f t="shared" si="89"/>
        <v>7.1225979383780173E-3</v>
      </c>
      <c r="J5708" s="33"/>
    </row>
    <row r="5709" spans="1:10">
      <c r="A5709" s="33" t="s">
        <v>109</v>
      </c>
      <c r="B5709" s="34">
        <v>313.125</v>
      </c>
      <c r="C5709" s="35">
        <v>141170.4</v>
      </c>
      <c r="D5709" s="33" t="s">
        <v>236</v>
      </c>
      <c r="E5709" s="34">
        <v>313.11099999999999</v>
      </c>
      <c r="F5709" s="36">
        <v>1.4000000000009999E-2</v>
      </c>
      <c r="G5709" s="34">
        <v>1.4000000000009999E-2</v>
      </c>
      <c r="H5709" s="35">
        <v>145.5</v>
      </c>
      <c r="I5709" s="37">
        <f t="shared" si="89"/>
        <v>1.0306693187807077E-3</v>
      </c>
      <c r="J5709" s="33"/>
    </row>
    <row r="5710" spans="1:10">
      <c r="A5710" s="33" t="s">
        <v>109</v>
      </c>
      <c r="B5710" s="34">
        <v>313.125</v>
      </c>
      <c r="C5710" s="35">
        <v>141170.4</v>
      </c>
      <c r="D5710" s="33" t="s">
        <v>284</v>
      </c>
      <c r="E5710" s="34">
        <v>313.11200000000002</v>
      </c>
      <c r="F5710" s="36">
        <v>1.2999999999976799E-2</v>
      </c>
      <c r="G5710" s="34">
        <v>1.2999999999976799E-2</v>
      </c>
      <c r="H5710" s="35">
        <v>6</v>
      </c>
      <c r="I5710" s="37">
        <f t="shared" si="89"/>
        <v>4.2501827578585879E-5</v>
      </c>
      <c r="J5710" s="33"/>
    </row>
    <row r="5711" spans="1:10">
      <c r="A5711" s="33" t="s">
        <v>109</v>
      </c>
      <c r="B5711" s="34">
        <v>313.125</v>
      </c>
      <c r="C5711" s="35">
        <v>141170.4</v>
      </c>
      <c r="D5711" s="33" t="s">
        <v>239</v>
      </c>
      <c r="E5711" s="34">
        <v>313.12099999999998</v>
      </c>
      <c r="F5711" s="36">
        <v>4.0000000000191003E-3</v>
      </c>
      <c r="G5711" s="34">
        <v>4.0000000000191003E-3</v>
      </c>
      <c r="H5711" s="35">
        <v>23.9</v>
      </c>
      <c r="I5711" s="37">
        <f t="shared" si="89"/>
        <v>1.6929894652136708E-4</v>
      </c>
      <c r="J5711" s="33"/>
    </row>
    <row r="5712" spans="1:10">
      <c r="A5712" s="33" t="s">
        <v>109</v>
      </c>
      <c r="B5712" s="34">
        <v>313.125</v>
      </c>
      <c r="C5712" s="35">
        <v>141170.4</v>
      </c>
      <c r="D5712" s="33" t="s">
        <v>201</v>
      </c>
      <c r="E5712" s="34">
        <v>313.13499999999999</v>
      </c>
      <c r="F5712" s="36">
        <v>9.9999999999909103E-3</v>
      </c>
      <c r="G5712" s="34">
        <v>9.9999999999909103E-3</v>
      </c>
      <c r="H5712" s="35">
        <v>699.1</v>
      </c>
      <c r="I5712" s="37">
        <f t="shared" si="89"/>
        <v>4.952171276698232E-3</v>
      </c>
      <c r="J5712" s="33"/>
    </row>
    <row r="5713" spans="1:10">
      <c r="A5713" s="33" t="s">
        <v>109</v>
      </c>
      <c r="B5713" s="34">
        <v>313.125</v>
      </c>
      <c r="C5713" s="35">
        <v>141170.4</v>
      </c>
      <c r="D5713" s="33" t="s">
        <v>307</v>
      </c>
      <c r="E5713" s="34">
        <v>313.142</v>
      </c>
      <c r="F5713" s="36">
        <v>1.69999999999959E-2</v>
      </c>
      <c r="G5713" s="34">
        <v>1.69999999999959E-2</v>
      </c>
      <c r="H5713" s="35">
        <v>787</v>
      </c>
      <c r="I5713" s="37">
        <f t="shared" si="89"/>
        <v>5.5748230507245145E-3</v>
      </c>
      <c r="J5713" s="33"/>
    </row>
    <row r="5714" spans="1:10">
      <c r="A5714" s="33" t="s">
        <v>109</v>
      </c>
      <c r="B5714" s="34">
        <v>313.125</v>
      </c>
      <c r="C5714" s="35">
        <v>141170.4</v>
      </c>
      <c r="D5714" s="33" t="s">
        <v>239</v>
      </c>
      <c r="E5714" s="34">
        <v>313.15300000000002</v>
      </c>
      <c r="F5714" s="36">
        <v>2.8000000000019998E-2</v>
      </c>
      <c r="G5714" s="34">
        <v>2.8000000000019998E-2</v>
      </c>
      <c r="H5714" s="35">
        <v>41.2</v>
      </c>
      <c r="I5714" s="37">
        <f t="shared" si="89"/>
        <v>2.9184588270628973E-4</v>
      </c>
      <c r="J5714" s="33"/>
    </row>
    <row r="5715" spans="1:10">
      <c r="A5715" s="33" t="s">
        <v>109</v>
      </c>
      <c r="B5715" s="34">
        <v>313.125</v>
      </c>
      <c r="C5715" s="35">
        <v>141170.4</v>
      </c>
      <c r="D5715" s="33" t="s">
        <v>296</v>
      </c>
      <c r="E5715" s="34">
        <v>313.15499999999997</v>
      </c>
      <c r="F5715" s="36">
        <v>2.9999999999972701E-2</v>
      </c>
      <c r="G5715" s="34">
        <v>2.9999999999972701E-2</v>
      </c>
      <c r="H5715" s="35">
        <v>75.5</v>
      </c>
      <c r="I5715" s="37">
        <f t="shared" si="89"/>
        <v>5.3481466369720569E-4</v>
      </c>
      <c r="J5715" s="33"/>
    </row>
    <row r="5716" spans="1:10">
      <c r="A5716" s="33" t="s">
        <v>109</v>
      </c>
      <c r="B5716" s="34">
        <v>313.125</v>
      </c>
      <c r="C5716" s="35">
        <v>141170.4</v>
      </c>
      <c r="D5716" s="33" t="s">
        <v>269</v>
      </c>
      <c r="E5716" s="34">
        <v>313.18099999999998</v>
      </c>
      <c r="F5716" s="36">
        <v>5.5999999999983202E-2</v>
      </c>
      <c r="G5716" s="34">
        <v>5.5999999999983202E-2</v>
      </c>
      <c r="H5716" s="35">
        <v>433.4</v>
      </c>
      <c r="I5716" s="37">
        <f t="shared" si="89"/>
        <v>3.0700486787598531E-3</v>
      </c>
      <c r="J5716" s="33"/>
    </row>
    <row r="5717" spans="1:10">
      <c r="A5717" s="33" t="s">
        <v>109</v>
      </c>
      <c r="B5717" s="34">
        <v>313.125</v>
      </c>
      <c r="C5717" s="35">
        <v>141170.4</v>
      </c>
      <c r="D5717" s="33" t="s">
        <v>54</v>
      </c>
      <c r="E5717" s="34">
        <v>313.18299999999999</v>
      </c>
      <c r="F5717" s="36">
        <v>5.7999999999992703E-2</v>
      </c>
      <c r="G5717" s="34">
        <v>5.7999999999992703E-2</v>
      </c>
      <c r="H5717" s="35">
        <v>1.6</v>
      </c>
      <c r="I5717" s="37">
        <f t="shared" si="89"/>
        <v>1.1333820687622903E-5</v>
      </c>
      <c r="J5717" s="33"/>
    </row>
    <row r="5718" spans="1:10">
      <c r="A5718" s="33" t="s">
        <v>109</v>
      </c>
      <c r="B5718" s="34">
        <v>313.125</v>
      </c>
      <c r="C5718" s="35">
        <v>141170.4</v>
      </c>
      <c r="D5718" s="33" t="s">
        <v>296</v>
      </c>
      <c r="E5718" s="34">
        <v>313.18400000000003</v>
      </c>
      <c r="F5718" s="36">
        <v>5.90000000000259E-2</v>
      </c>
      <c r="G5718" s="34">
        <v>5.90000000000259E-2</v>
      </c>
      <c r="H5718" s="35">
        <v>107.6</v>
      </c>
      <c r="I5718" s="37">
        <f t="shared" si="89"/>
        <v>7.6219944124264005E-4</v>
      </c>
      <c r="J5718" s="33"/>
    </row>
    <row r="5719" spans="1:10">
      <c r="A5719" s="33" t="s">
        <v>109</v>
      </c>
      <c r="B5719" s="34">
        <v>313.125</v>
      </c>
      <c r="C5719" s="35">
        <v>141170.4</v>
      </c>
      <c r="D5719" s="33" t="s">
        <v>277</v>
      </c>
      <c r="E5719" s="34">
        <v>313.19900000000001</v>
      </c>
      <c r="F5719" s="36">
        <v>7.4000000000012306E-2</v>
      </c>
      <c r="G5719" s="34">
        <v>7.4000000000012306E-2</v>
      </c>
      <c r="H5719" s="35">
        <v>300.5</v>
      </c>
      <c r="I5719" s="37">
        <f t="shared" si="89"/>
        <v>2.1286331978941763E-3</v>
      </c>
      <c r="J5719" s="33"/>
    </row>
    <row r="5720" spans="1:10">
      <c r="A5720" s="33" t="s">
        <v>109</v>
      </c>
      <c r="B5720" s="34">
        <v>313.125</v>
      </c>
      <c r="C5720" s="35">
        <v>141170.4</v>
      </c>
      <c r="D5720" s="33" t="s">
        <v>239</v>
      </c>
      <c r="E5720" s="34">
        <v>313.20499999999998</v>
      </c>
      <c r="F5720" s="36">
        <v>7.9999999999984098E-2</v>
      </c>
      <c r="G5720" s="34">
        <v>7.9999999999984098E-2</v>
      </c>
      <c r="H5720" s="35">
        <v>27865.5</v>
      </c>
      <c r="I5720" s="37">
        <f t="shared" si="89"/>
        <v>0.19738911273184748</v>
      </c>
      <c r="J5720" s="33"/>
    </row>
    <row r="5721" spans="1:10">
      <c r="A5721" s="33" t="s">
        <v>109</v>
      </c>
      <c r="B5721" s="34">
        <v>313.125</v>
      </c>
      <c r="C5721" s="35">
        <v>141170.4</v>
      </c>
      <c r="D5721" s="33" t="s">
        <v>236</v>
      </c>
      <c r="E5721" s="34">
        <v>313.20600000000002</v>
      </c>
      <c r="F5721" s="36">
        <v>8.1000000000017294E-2</v>
      </c>
      <c r="G5721" s="34">
        <v>8.1000000000017294E-2</v>
      </c>
      <c r="H5721" s="35">
        <v>220.9</v>
      </c>
      <c r="I5721" s="37">
        <f t="shared" si="89"/>
        <v>1.5647756186849369E-3</v>
      </c>
      <c r="J5721" s="33"/>
    </row>
    <row r="5722" spans="1:10">
      <c r="A5722" s="33" t="s">
        <v>109</v>
      </c>
      <c r="B5722" s="34">
        <v>313.125</v>
      </c>
      <c r="C5722" s="35">
        <v>141170.4</v>
      </c>
      <c r="D5722" s="33" t="s">
        <v>280</v>
      </c>
      <c r="E5722" s="34">
        <v>313.21600000000001</v>
      </c>
      <c r="F5722" s="36">
        <v>9.1000000000008199E-2</v>
      </c>
      <c r="G5722" s="34">
        <v>9.1000000000008199E-2</v>
      </c>
      <c r="H5722" s="35">
        <v>188.8</v>
      </c>
      <c r="I5722" s="37">
        <f t="shared" si="89"/>
        <v>1.3373908411395024E-3</v>
      </c>
      <c r="J5722" s="33"/>
    </row>
    <row r="5723" spans="1:10">
      <c r="A5723" s="33" t="s">
        <v>109</v>
      </c>
      <c r="B5723" s="34">
        <v>313.125</v>
      </c>
      <c r="C5723" s="35">
        <v>141170.4</v>
      </c>
      <c r="D5723" s="33" t="s">
        <v>307</v>
      </c>
      <c r="E5723" s="34">
        <v>313.21800000000002</v>
      </c>
      <c r="F5723" s="36">
        <v>9.3000000000017694E-2</v>
      </c>
      <c r="G5723" s="34">
        <v>9.3000000000017694E-2</v>
      </c>
      <c r="H5723" s="35">
        <v>392</v>
      </c>
      <c r="I5723" s="37">
        <f t="shared" si="89"/>
        <v>2.7767860684676108E-3</v>
      </c>
      <c r="J5723" s="33"/>
    </row>
    <row r="5724" spans="1:10">
      <c r="A5724" s="33" t="s">
        <v>109</v>
      </c>
      <c r="B5724" s="34">
        <v>313.125</v>
      </c>
      <c r="C5724" s="35">
        <v>141170.4</v>
      </c>
      <c r="D5724" s="33" t="s">
        <v>116</v>
      </c>
      <c r="E5724" s="34">
        <v>313.21899999999999</v>
      </c>
      <c r="F5724" s="36">
        <v>9.3999999999994102E-2</v>
      </c>
      <c r="G5724" s="34">
        <v>9.3999999999994102E-2</v>
      </c>
      <c r="H5724" s="35">
        <v>12.8</v>
      </c>
      <c r="I5724" s="37">
        <f t="shared" si="89"/>
        <v>9.0670565500983223E-5</v>
      </c>
      <c r="J5724" s="33" t="s">
        <v>116</v>
      </c>
    </row>
    <row r="5725" spans="1:10">
      <c r="A5725" s="33" t="s">
        <v>109</v>
      </c>
      <c r="B5725" s="34">
        <v>313.125</v>
      </c>
      <c r="C5725" s="35">
        <v>141170.4</v>
      </c>
      <c r="D5725" s="33" t="s">
        <v>271</v>
      </c>
      <c r="E5725" s="34">
        <v>313.226</v>
      </c>
      <c r="F5725" s="36">
        <v>0.10099999999999899</v>
      </c>
      <c r="G5725" s="34">
        <v>0.10099999999999899</v>
      </c>
      <c r="H5725" s="35">
        <v>93.3</v>
      </c>
      <c r="I5725" s="37">
        <f t="shared" si="89"/>
        <v>6.6090341884701047E-4</v>
      </c>
      <c r="J5725" s="33"/>
    </row>
    <row r="5726" spans="1:10">
      <c r="A5726" s="33" t="s">
        <v>109</v>
      </c>
      <c r="B5726" s="34">
        <v>313.125</v>
      </c>
      <c r="C5726" s="35">
        <v>141170.4</v>
      </c>
      <c r="D5726" s="33" t="s">
        <v>240</v>
      </c>
      <c r="E5726" s="34">
        <v>313.22899999999998</v>
      </c>
      <c r="F5726" s="36">
        <v>0.10399999999998499</v>
      </c>
      <c r="G5726" s="34">
        <v>0.10399999999998499</v>
      </c>
      <c r="H5726" s="35">
        <v>11.2</v>
      </c>
      <c r="I5726" s="37">
        <f t="shared" si="89"/>
        <v>7.9336744813360307E-5</v>
      </c>
      <c r="J5726" s="33"/>
    </row>
    <row r="5727" spans="1:10">
      <c r="A5727" s="33" t="s">
        <v>109</v>
      </c>
      <c r="B5727" s="34">
        <v>313.125</v>
      </c>
      <c r="C5727" s="35">
        <v>141170.4</v>
      </c>
      <c r="D5727" s="33" t="s">
        <v>84</v>
      </c>
      <c r="E5727" s="34">
        <v>313.25200000000001</v>
      </c>
      <c r="F5727" s="36">
        <v>0.12700000000000999</v>
      </c>
      <c r="G5727" s="34">
        <v>0.12700000000000999</v>
      </c>
      <c r="H5727" s="35">
        <v>3325.2</v>
      </c>
      <c r="I5727" s="37">
        <f t="shared" si="89"/>
        <v>2.3554512844052293E-2</v>
      </c>
      <c r="J5727" s="33" t="s">
        <v>116</v>
      </c>
    </row>
    <row r="5728" spans="1:10">
      <c r="A5728" s="33" t="s">
        <v>109</v>
      </c>
      <c r="B5728" s="34">
        <v>313.125</v>
      </c>
      <c r="C5728" s="35">
        <v>141170.4</v>
      </c>
      <c r="D5728" s="33" t="s">
        <v>97</v>
      </c>
      <c r="E5728" s="34">
        <v>313.25200000000001</v>
      </c>
      <c r="F5728" s="36">
        <v>0.12700000000000999</v>
      </c>
      <c r="G5728" s="34">
        <v>0.12700000000000999</v>
      </c>
      <c r="H5728" s="35">
        <v>5</v>
      </c>
      <c r="I5728" s="37">
        <f t="shared" si="89"/>
        <v>3.5418189648821568E-5</v>
      </c>
      <c r="J5728" s="33"/>
    </row>
    <row r="5729" spans="1:10">
      <c r="A5729" s="33" t="s">
        <v>109</v>
      </c>
      <c r="B5729" s="34">
        <v>313.125</v>
      </c>
      <c r="C5729" s="35">
        <v>141170.4</v>
      </c>
      <c r="D5729" s="33" t="s">
        <v>275</v>
      </c>
      <c r="E5729" s="34">
        <v>313.25900000000001</v>
      </c>
      <c r="F5729" s="36">
        <v>0.134000000000015</v>
      </c>
      <c r="G5729" s="34">
        <v>0.134000000000015</v>
      </c>
      <c r="H5729" s="35">
        <v>13754.2</v>
      </c>
      <c r="I5729" s="37">
        <f t="shared" si="89"/>
        <v>9.7429772813564325E-2</v>
      </c>
      <c r="J5729" s="33"/>
    </row>
    <row r="5730" spans="1:10">
      <c r="A5730" s="33" t="s">
        <v>109</v>
      </c>
      <c r="B5730" s="34">
        <v>313.125</v>
      </c>
      <c r="C5730" s="35">
        <v>141170.4</v>
      </c>
      <c r="D5730" s="33" t="s">
        <v>193</v>
      </c>
      <c r="E5730" s="34">
        <v>313.26600000000002</v>
      </c>
      <c r="F5730" s="36">
        <v>0.14100000000002</v>
      </c>
      <c r="G5730" s="34">
        <v>0.14100000000002</v>
      </c>
      <c r="H5730" s="35">
        <v>112.2</v>
      </c>
      <c r="I5730" s="37">
        <f t="shared" si="89"/>
        <v>7.9478417571955597E-4</v>
      </c>
      <c r="J5730" s="33"/>
    </row>
    <row r="5731" spans="1:10">
      <c r="A5731" s="33" t="s">
        <v>109</v>
      </c>
      <c r="B5731" s="34">
        <v>313.38900000000001</v>
      </c>
      <c r="C5731" s="35">
        <v>43054.6</v>
      </c>
      <c r="D5731" s="33" t="s">
        <v>275</v>
      </c>
      <c r="E5731" s="34">
        <v>313.25900000000001</v>
      </c>
      <c r="F5731" s="36">
        <v>0.12999999999999601</v>
      </c>
      <c r="G5731" s="34">
        <v>0.12999999999999601</v>
      </c>
      <c r="H5731" s="35">
        <v>13754.2</v>
      </c>
      <c r="I5731" s="37">
        <f t="shared" si="89"/>
        <v>0.31945947703613553</v>
      </c>
      <c r="J5731" s="33"/>
    </row>
    <row r="5732" spans="1:10">
      <c r="A5732" s="33" t="s">
        <v>109</v>
      </c>
      <c r="B5732" s="34">
        <v>313.38900000000001</v>
      </c>
      <c r="C5732" s="35">
        <v>43054.6</v>
      </c>
      <c r="D5732" s="33" t="s">
        <v>193</v>
      </c>
      <c r="E5732" s="34">
        <v>313.26600000000002</v>
      </c>
      <c r="F5732" s="36">
        <v>0.12299999999999101</v>
      </c>
      <c r="G5732" s="34">
        <v>0.12299999999999101</v>
      </c>
      <c r="H5732" s="35">
        <v>112.2</v>
      </c>
      <c r="I5732" s="37">
        <f t="shared" si="89"/>
        <v>2.6059933201098141E-3</v>
      </c>
      <c r="J5732" s="33"/>
    </row>
    <row r="5733" spans="1:10">
      <c r="A5733" s="33" t="s">
        <v>109</v>
      </c>
      <c r="B5733" s="34">
        <v>313.38900000000001</v>
      </c>
      <c r="C5733" s="35">
        <v>43054.6</v>
      </c>
      <c r="D5733" s="33" t="s">
        <v>84</v>
      </c>
      <c r="E5733" s="34">
        <v>313.27699999999999</v>
      </c>
      <c r="F5733" s="36">
        <v>0.112000000000023</v>
      </c>
      <c r="G5733" s="34">
        <v>0.112000000000023</v>
      </c>
      <c r="H5733" s="35">
        <v>8106.5</v>
      </c>
      <c r="I5733" s="37">
        <f t="shared" si="89"/>
        <v>0.18828417869403039</v>
      </c>
      <c r="J5733" s="33" t="s">
        <v>116</v>
      </c>
    </row>
    <row r="5734" spans="1:10">
      <c r="A5734" s="33" t="s">
        <v>109</v>
      </c>
      <c r="B5734" s="34">
        <v>313.38900000000001</v>
      </c>
      <c r="C5734" s="35">
        <v>43054.6</v>
      </c>
      <c r="D5734" s="33" t="s">
        <v>240</v>
      </c>
      <c r="E5734" s="34">
        <v>313.279</v>
      </c>
      <c r="F5734" s="36">
        <v>0.110000000000014</v>
      </c>
      <c r="G5734" s="34">
        <v>0.110000000000014</v>
      </c>
      <c r="H5734" s="35">
        <v>6</v>
      </c>
      <c r="I5734" s="37">
        <f t="shared" si="89"/>
        <v>1.3935793155667455E-4</v>
      </c>
      <c r="J5734" s="33"/>
    </row>
    <row r="5735" spans="1:10">
      <c r="A5735" s="33" t="s">
        <v>109</v>
      </c>
      <c r="B5735" s="34">
        <v>313.38900000000001</v>
      </c>
      <c r="C5735" s="35">
        <v>43054.6</v>
      </c>
      <c r="D5735" s="33" t="s">
        <v>239</v>
      </c>
      <c r="E5735" s="34">
        <v>313.28199999999998</v>
      </c>
      <c r="F5735" s="36">
        <v>0.107000000000028</v>
      </c>
      <c r="G5735" s="34">
        <v>0.107000000000028</v>
      </c>
      <c r="H5735" s="35">
        <v>20</v>
      </c>
      <c r="I5735" s="37">
        <f t="shared" si="89"/>
        <v>4.6452643852224851E-4</v>
      </c>
      <c r="J5735" s="33"/>
    </row>
    <row r="5736" spans="1:10">
      <c r="A5736" s="33" t="s">
        <v>109</v>
      </c>
      <c r="B5736" s="34">
        <v>313.38900000000001</v>
      </c>
      <c r="C5736" s="35">
        <v>43054.6</v>
      </c>
      <c r="D5736" s="33" t="s">
        <v>268</v>
      </c>
      <c r="E5736" s="34">
        <v>313.28800000000001</v>
      </c>
      <c r="F5736" s="36">
        <v>0.10099999999999899</v>
      </c>
      <c r="G5736" s="34">
        <v>0.10099999999999899</v>
      </c>
      <c r="H5736" s="35">
        <v>18.399999999999999</v>
      </c>
      <c r="I5736" s="37">
        <f t="shared" si="89"/>
        <v>4.2736432344046859E-4</v>
      </c>
      <c r="J5736" s="33"/>
    </row>
    <row r="5737" spans="1:10">
      <c r="A5737" s="33" t="s">
        <v>109</v>
      </c>
      <c r="B5737" s="34">
        <v>313.38900000000001</v>
      </c>
      <c r="C5737" s="35">
        <v>43054.6</v>
      </c>
      <c r="D5737" s="33" t="s">
        <v>36</v>
      </c>
      <c r="E5737" s="34">
        <v>313.30900000000003</v>
      </c>
      <c r="F5737" s="36">
        <v>7.9999999999984098E-2</v>
      </c>
      <c r="G5737" s="34">
        <v>7.9999999999984098E-2</v>
      </c>
      <c r="H5737" s="35">
        <v>684.3</v>
      </c>
      <c r="I5737" s="37">
        <f t="shared" si="89"/>
        <v>1.5893772094038732E-2</v>
      </c>
      <c r="J5737" s="33" t="s">
        <v>116</v>
      </c>
    </row>
    <row r="5738" spans="1:10">
      <c r="A5738" s="33" t="s">
        <v>109</v>
      </c>
      <c r="B5738" s="34">
        <v>313.38900000000001</v>
      </c>
      <c r="C5738" s="35">
        <v>43054.6</v>
      </c>
      <c r="D5738" s="33" t="s">
        <v>273</v>
      </c>
      <c r="E5738" s="34">
        <v>313.30900000000003</v>
      </c>
      <c r="F5738" s="36">
        <v>7.9999999999984098E-2</v>
      </c>
      <c r="G5738" s="34">
        <v>7.9999999999984098E-2</v>
      </c>
      <c r="H5738" s="35">
        <v>50.8</v>
      </c>
      <c r="I5738" s="37">
        <f t="shared" si="89"/>
        <v>1.1798971538465111E-3</v>
      </c>
      <c r="J5738" s="33"/>
    </row>
    <row r="5739" spans="1:10">
      <c r="A5739" s="33" t="s">
        <v>109</v>
      </c>
      <c r="B5739" s="34">
        <v>313.38900000000001</v>
      </c>
      <c r="C5739" s="35">
        <v>43054.6</v>
      </c>
      <c r="D5739" s="33" t="s">
        <v>184</v>
      </c>
      <c r="E5739" s="34">
        <v>313.30900000000003</v>
      </c>
      <c r="F5739" s="36">
        <v>7.9999999999984098E-2</v>
      </c>
      <c r="G5739" s="34">
        <v>7.9999999999984098E-2</v>
      </c>
      <c r="H5739" s="35">
        <v>924</v>
      </c>
      <c r="I5739" s="37">
        <f t="shared" si="89"/>
        <v>2.146112145972788E-2</v>
      </c>
      <c r="J5739" s="33"/>
    </row>
    <row r="5740" spans="1:10">
      <c r="A5740" s="33" t="s">
        <v>109</v>
      </c>
      <c r="B5740" s="34">
        <v>313.38900000000001</v>
      </c>
      <c r="C5740" s="35">
        <v>43054.6</v>
      </c>
      <c r="D5740" s="33" t="s">
        <v>292</v>
      </c>
      <c r="E5740" s="34">
        <v>313.31700000000001</v>
      </c>
      <c r="F5740" s="36">
        <v>7.2000000000002701E-2</v>
      </c>
      <c r="G5740" s="34">
        <v>7.2000000000002701E-2</v>
      </c>
      <c r="H5740" s="35">
        <v>51.9</v>
      </c>
      <c r="I5740" s="37">
        <f t="shared" si="89"/>
        <v>1.2054461079652348E-3</v>
      </c>
      <c r="J5740" s="33"/>
    </row>
    <row r="5741" spans="1:10">
      <c r="A5741" s="33" t="s">
        <v>109</v>
      </c>
      <c r="B5741" s="34">
        <v>313.38900000000001</v>
      </c>
      <c r="C5741" s="35">
        <v>43054.6</v>
      </c>
      <c r="D5741" s="33" t="s">
        <v>307</v>
      </c>
      <c r="E5741" s="34">
        <v>313.322</v>
      </c>
      <c r="F5741" s="36">
        <v>6.7000000000007304E-2</v>
      </c>
      <c r="G5741" s="34">
        <v>6.7000000000007304E-2</v>
      </c>
      <c r="H5741" s="35">
        <v>3663</v>
      </c>
      <c r="I5741" s="37">
        <f t="shared" si="89"/>
        <v>8.5078017215349813E-2</v>
      </c>
      <c r="J5741" s="33"/>
    </row>
    <row r="5742" spans="1:10">
      <c r="A5742" s="33" t="s">
        <v>109</v>
      </c>
      <c r="B5742" s="34">
        <v>313.38900000000001</v>
      </c>
      <c r="C5742" s="35">
        <v>43054.6</v>
      </c>
      <c r="D5742" s="33" t="s">
        <v>290</v>
      </c>
      <c r="E5742" s="34">
        <v>313.33199999999999</v>
      </c>
      <c r="F5742" s="36">
        <v>5.7000000000016399E-2</v>
      </c>
      <c r="G5742" s="34">
        <v>5.7000000000016399E-2</v>
      </c>
      <c r="H5742" s="35">
        <v>1055.5999999999999</v>
      </c>
      <c r="I5742" s="37">
        <f t="shared" si="89"/>
        <v>2.4517705425204275E-2</v>
      </c>
      <c r="J5742" s="33"/>
    </row>
    <row r="5743" spans="1:10">
      <c r="A5743" s="33" t="s">
        <v>109</v>
      </c>
      <c r="B5743" s="34">
        <v>313.38900000000001</v>
      </c>
      <c r="C5743" s="35">
        <v>43054.6</v>
      </c>
      <c r="D5743" s="33" t="s">
        <v>25</v>
      </c>
      <c r="E5743" s="34">
        <v>313.33300000000003</v>
      </c>
      <c r="F5743" s="36">
        <v>5.5999999999983202E-2</v>
      </c>
      <c r="G5743" s="34">
        <v>5.5999999999983202E-2</v>
      </c>
      <c r="H5743" s="35">
        <v>655.4</v>
      </c>
      <c r="I5743" s="37">
        <f t="shared" si="89"/>
        <v>1.5222531390374083E-2</v>
      </c>
      <c r="J5743" s="33" t="s">
        <v>116</v>
      </c>
    </row>
    <row r="5744" spans="1:10">
      <c r="A5744" s="33" t="s">
        <v>109</v>
      </c>
      <c r="B5744" s="34">
        <v>313.38900000000001</v>
      </c>
      <c r="C5744" s="35">
        <v>43054.6</v>
      </c>
      <c r="D5744" s="33" t="s">
        <v>278</v>
      </c>
      <c r="E5744" s="34">
        <v>313.33300000000003</v>
      </c>
      <c r="F5744" s="36">
        <v>5.5999999999983202E-2</v>
      </c>
      <c r="G5744" s="34">
        <v>5.5999999999983202E-2</v>
      </c>
      <c r="H5744" s="35">
        <v>15140</v>
      </c>
      <c r="I5744" s="37">
        <f t="shared" si="89"/>
        <v>0.35164651396134211</v>
      </c>
      <c r="J5744" s="33"/>
    </row>
    <row r="5745" spans="1:10">
      <c r="A5745" s="33" t="s">
        <v>109</v>
      </c>
      <c r="B5745" s="34">
        <v>313.38900000000001</v>
      </c>
      <c r="C5745" s="35">
        <v>43054.6</v>
      </c>
      <c r="D5745" s="33" t="s">
        <v>277</v>
      </c>
      <c r="E5745" s="34">
        <v>313.34300000000002</v>
      </c>
      <c r="F5745" s="36">
        <v>4.5999999999992297E-2</v>
      </c>
      <c r="G5745" s="34">
        <v>4.5999999999992297E-2</v>
      </c>
      <c r="H5745" s="35">
        <v>211.2</v>
      </c>
      <c r="I5745" s="37">
        <f t="shared" si="89"/>
        <v>4.9053991907949436E-3</v>
      </c>
      <c r="J5745" s="33"/>
    </row>
    <row r="5746" spans="1:10">
      <c r="A5746" s="33" t="s">
        <v>109</v>
      </c>
      <c r="B5746" s="34">
        <v>313.38900000000001</v>
      </c>
      <c r="C5746" s="35">
        <v>43054.6</v>
      </c>
      <c r="D5746" s="33" t="s">
        <v>193</v>
      </c>
      <c r="E5746" s="34">
        <v>313.35500000000002</v>
      </c>
      <c r="F5746" s="36">
        <v>3.3999999999991801E-2</v>
      </c>
      <c r="G5746" s="34">
        <v>3.3999999999991801E-2</v>
      </c>
      <c r="H5746" s="35">
        <v>16.899999999999999</v>
      </c>
      <c r="I5746" s="37">
        <f t="shared" si="89"/>
        <v>3.9252484055129995E-4</v>
      </c>
      <c r="J5746" s="33"/>
    </row>
    <row r="5747" spans="1:10">
      <c r="A5747" s="33" t="s">
        <v>109</v>
      </c>
      <c r="B5747" s="34">
        <v>313.38900000000001</v>
      </c>
      <c r="C5747" s="35">
        <v>43054.6</v>
      </c>
      <c r="D5747" s="33" t="s">
        <v>27</v>
      </c>
      <c r="E5747" s="34">
        <v>313.36</v>
      </c>
      <c r="F5747" s="36">
        <v>2.89999999999964E-2</v>
      </c>
      <c r="G5747" s="34">
        <v>2.89999999999964E-2</v>
      </c>
      <c r="H5747" s="35">
        <v>1318.5</v>
      </c>
      <c r="I5747" s="37">
        <f t="shared" si="89"/>
        <v>3.0623905459579232E-2</v>
      </c>
      <c r="J5747" s="33" t="s">
        <v>116</v>
      </c>
    </row>
    <row r="5748" spans="1:10">
      <c r="A5748" s="33" t="s">
        <v>109</v>
      </c>
      <c r="B5748" s="34">
        <v>313.38900000000001</v>
      </c>
      <c r="C5748" s="35">
        <v>43054.6</v>
      </c>
      <c r="D5748" s="33" t="s">
        <v>271</v>
      </c>
      <c r="E5748" s="34">
        <v>313.36200000000002</v>
      </c>
      <c r="F5748" s="36">
        <v>2.6999999999986798E-2</v>
      </c>
      <c r="G5748" s="34">
        <v>2.6999999999986798E-2</v>
      </c>
      <c r="H5748" s="35">
        <v>494.3</v>
      </c>
      <c r="I5748" s="37">
        <f t="shared" si="89"/>
        <v>1.1480770928077371E-2</v>
      </c>
      <c r="J5748" s="33"/>
    </row>
    <row r="5749" spans="1:10">
      <c r="A5749" s="33" t="s">
        <v>109</v>
      </c>
      <c r="B5749" s="34">
        <v>313.38900000000001</v>
      </c>
      <c r="C5749" s="35">
        <v>43054.6</v>
      </c>
      <c r="D5749" s="33" t="s">
        <v>277</v>
      </c>
      <c r="E5749" s="34">
        <v>313.363</v>
      </c>
      <c r="F5749" s="36">
        <v>2.6000000000010501E-2</v>
      </c>
      <c r="G5749" s="34">
        <v>2.6000000000010501E-2</v>
      </c>
      <c r="H5749" s="35">
        <v>181.7</v>
      </c>
      <c r="I5749" s="37">
        <f t="shared" si="89"/>
        <v>4.2202226939746278E-3</v>
      </c>
      <c r="J5749" s="33"/>
    </row>
    <row r="5750" spans="1:10">
      <c r="A5750" s="33" t="s">
        <v>109</v>
      </c>
      <c r="B5750" s="34">
        <v>313.38900000000001</v>
      </c>
      <c r="C5750" s="35">
        <v>43054.6</v>
      </c>
      <c r="D5750" s="33" t="s">
        <v>36</v>
      </c>
      <c r="E5750" s="34">
        <v>313.38600000000002</v>
      </c>
      <c r="F5750" s="36">
        <v>2.9999999999858998E-3</v>
      </c>
      <c r="G5750" s="34">
        <v>2.9999999999858998E-3</v>
      </c>
      <c r="H5750" s="35">
        <v>5022.2</v>
      </c>
      <c r="I5750" s="37">
        <f t="shared" si="89"/>
        <v>0.11664723397732182</v>
      </c>
      <c r="J5750" s="33" t="s">
        <v>116</v>
      </c>
    </row>
    <row r="5751" spans="1:10">
      <c r="A5751" s="33" t="s">
        <v>109</v>
      </c>
      <c r="B5751" s="34">
        <v>313.38900000000001</v>
      </c>
      <c r="C5751" s="35">
        <v>43054.6</v>
      </c>
      <c r="D5751" s="33" t="s">
        <v>193</v>
      </c>
      <c r="E5751" s="34">
        <v>313.38900000000001</v>
      </c>
      <c r="F5751" s="36">
        <v>0</v>
      </c>
      <c r="G5751" s="34">
        <v>0</v>
      </c>
      <c r="H5751" s="35">
        <v>566.9</v>
      </c>
      <c r="I5751" s="37">
        <f t="shared" si="89"/>
        <v>1.3167001899913133E-2</v>
      </c>
      <c r="J5751" s="33"/>
    </row>
    <row r="5752" spans="1:10">
      <c r="A5752" s="33" t="s">
        <v>109</v>
      </c>
      <c r="B5752" s="34">
        <v>313.38900000000001</v>
      </c>
      <c r="C5752" s="35">
        <v>43054.6</v>
      </c>
      <c r="D5752" s="33" t="s">
        <v>274</v>
      </c>
      <c r="E5752" s="34">
        <v>313.38900000000001</v>
      </c>
      <c r="F5752" s="36">
        <v>0</v>
      </c>
      <c r="G5752" s="34">
        <v>0</v>
      </c>
      <c r="H5752" s="35">
        <v>48.9</v>
      </c>
      <c r="I5752" s="37">
        <f t="shared" si="89"/>
        <v>1.1357671421868977E-3</v>
      </c>
      <c r="J5752" s="33"/>
    </row>
    <row r="5753" spans="1:10">
      <c r="A5753" s="33" t="s">
        <v>109</v>
      </c>
      <c r="B5753" s="34">
        <v>313.38900000000001</v>
      </c>
      <c r="C5753" s="35">
        <v>43054.6</v>
      </c>
      <c r="D5753" s="33" t="s">
        <v>277</v>
      </c>
      <c r="E5753" s="34">
        <v>313.392</v>
      </c>
      <c r="F5753" s="36">
        <v>2.9999999999858998E-3</v>
      </c>
      <c r="G5753" s="34">
        <v>2.9999999999858998E-3</v>
      </c>
      <c r="H5753" s="35">
        <v>191.2</v>
      </c>
      <c r="I5753" s="37">
        <f t="shared" si="89"/>
        <v>4.4408727522726957E-3</v>
      </c>
      <c r="J5753" s="33"/>
    </row>
    <row r="5754" spans="1:10">
      <c r="A5754" s="33" t="s">
        <v>109</v>
      </c>
      <c r="B5754" s="34">
        <v>313.38900000000001</v>
      </c>
      <c r="C5754" s="35">
        <v>43054.6</v>
      </c>
      <c r="D5754" s="33" t="s">
        <v>279</v>
      </c>
      <c r="E5754" s="34">
        <v>313.40300000000002</v>
      </c>
      <c r="F5754" s="36">
        <v>1.4000000000009999E-2</v>
      </c>
      <c r="G5754" s="34">
        <v>1.4000000000009999E-2</v>
      </c>
      <c r="H5754" s="35">
        <v>21</v>
      </c>
      <c r="I5754" s="37">
        <f t="shared" si="89"/>
        <v>4.8775276044836095E-4</v>
      </c>
      <c r="J5754" s="33"/>
    </row>
    <row r="5755" spans="1:10">
      <c r="A5755" s="33" t="s">
        <v>109</v>
      </c>
      <c r="B5755" s="34">
        <v>313.38900000000001</v>
      </c>
      <c r="C5755" s="35">
        <v>43054.6</v>
      </c>
      <c r="D5755" s="33" t="s">
        <v>165</v>
      </c>
      <c r="E5755" s="34">
        <v>313.41000000000003</v>
      </c>
      <c r="F5755" s="36">
        <v>2.1000000000015E-2</v>
      </c>
      <c r="G5755" s="34">
        <v>2.1000000000015E-2</v>
      </c>
      <c r="H5755" s="35">
        <v>3304.6</v>
      </c>
      <c r="I5755" s="37">
        <f t="shared" si="89"/>
        <v>7.6753703437031112E-2</v>
      </c>
      <c r="J5755" s="33"/>
    </row>
    <row r="5756" spans="1:10">
      <c r="A5756" s="33" t="s">
        <v>109</v>
      </c>
      <c r="B5756" s="34">
        <v>313.38900000000001</v>
      </c>
      <c r="C5756" s="35">
        <v>43054.6</v>
      </c>
      <c r="D5756" s="33" t="s">
        <v>97</v>
      </c>
      <c r="E5756" s="34">
        <v>313.411</v>
      </c>
      <c r="F5756" s="36">
        <v>2.1999999999991401E-2</v>
      </c>
      <c r="G5756" s="34">
        <v>2.1999999999991401E-2</v>
      </c>
      <c r="H5756" s="35">
        <v>11.2</v>
      </c>
      <c r="I5756" s="37">
        <f t="shared" si="89"/>
        <v>2.6013480557245914E-4</v>
      </c>
      <c r="J5756" s="33"/>
    </row>
    <row r="5757" spans="1:10">
      <c r="A5757" s="33" t="s">
        <v>109</v>
      </c>
      <c r="B5757" s="34">
        <v>313.38900000000001</v>
      </c>
      <c r="C5757" s="35">
        <v>43054.6</v>
      </c>
      <c r="D5757" s="33" t="s">
        <v>201</v>
      </c>
      <c r="E5757" s="34">
        <v>313.42599999999999</v>
      </c>
      <c r="F5757" s="36">
        <v>3.6999999999977697E-2</v>
      </c>
      <c r="G5757" s="34">
        <v>3.6999999999977697E-2</v>
      </c>
      <c r="H5757" s="35">
        <v>1232.4000000000001</v>
      </c>
      <c r="I5757" s="37">
        <f t="shared" si="89"/>
        <v>2.8624119141740956E-2</v>
      </c>
      <c r="J5757" s="33"/>
    </row>
    <row r="5758" spans="1:10">
      <c r="A5758" s="33" t="s">
        <v>109</v>
      </c>
      <c r="B5758" s="34">
        <v>313.38900000000001</v>
      </c>
      <c r="C5758" s="35">
        <v>43054.6</v>
      </c>
      <c r="D5758" s="33" t="s">
        <v>239</v>
      </c>
      <c r="E5758" s="34">
        <v>313.43</v>
      </c>
      <c r="F5758" s="36">
        <v>4.0999999999996803E-2</v>
      </c>
      <c r="G5758" s="34">
        <v>4.0999999999996803E-2</v>
      </c>
      <c r="H5758" s="35">
        <v>198.7</v>
      </c>
      <c r="I5758" s="37">
        <f t="shared" si="89"/>
        <v>4.6150701667185389E-3</v>
      </c>
      <c r="J5758" s="33"/>
    </row>
    <row r="5759" spans="1:10">
      <c r="A5759" s="33" t="s">
        <v>109</v>
      </c>
      <c r="B5759" s="34">
        <v>313.38900000000001</v>
      </c>
      <c r="C5759" s="35">
        <v>43054.6</v>
      </c>
      <c r="D5759" s="33" t="s">
        <v>307</v>
      </c>
      <c r="E5759" s="34">
        <v>313.43400000000003</v>
      </c>
      <c r="F5759" s="36">
        <v>4.5000000000015902E-2</v>
      </c>
      <c r="G5759" s="34">
        <v>4.5000000000015902E-2</v>
      </c>
      <c r="H5759" s="35">
        <v>3808</v>
      </c>
      <c r="I5759" s="37">
        <f t="shared" si="89"/>
        <v>8.8445833894636117E-2</v>
      </c>
      <c r="J5759" s="33"/>
    </row>
    <row r="5760" spans="1:10">
      <c r="A5760" s="33" t="s">
        <v>109</v>
      </c>
      <c r="B5760" s="34">
        <v>313.38900000000001</v>
      </c>
      <c r="C5760" s="35">
        <v>43054.6</v>
      </c>
      <c r="D5760" s="33" t="s">
        <v>94</v>
      </c>
      <c r="E5760" s="34">
        <v>313.43900000000002</v>
      </c>
      <c r="F5760" s="36">
        <v>5.0000000000011403E-2</v>
      </c>
      <c r="G5760" s="34">
        <v>5.0000000000011403E-2</v>
      </c>
      <c r="H5760" s="35">
        <v>1773</v>
      </c>
      <c r="I5760" s="37">
        <f t="shared" si="89"/>
        <v>4.1180268774997329E-2</v>
      </c>
      <c r="J5760" s="33" t="s">
        <v>116</v>
      </c>
    </row>
    <row r="5761" spans="1:10">
      <c r="A5761" s="33" t="s">
        <v>109</v>
      </c>
      <c r="B5761" s="34">
        <v>313.38900000000001</v>
      </c>
      <c r="C5761" s="35">
        <v>43054.6</v>
      </c>
      <c r="D5761" s="33" t="s">
        <v>271</v>
      </c>
      <c r="E5761" s="34">
        <v>313.44299999999998</v>
      </c>
      <c r="F5761" s="36">
        <v>5.3999999999973597E-2</v>
      </c>
      <c r="G5761" s="34">
        <v>5.3999999999973597E-2</v>
      </c>
      <c r="H5761" s="35">
        <v>1204.5</v>
      </c>
      <c r="I5761" s="37">
        <f t="shared" si="89"/>
        <v>2.7976104760002417E-2</v>
      </c>
      <c r="J5761" s="33"/>
    </row>
    <row r="5762" spans="1:10">
      <c r="A5762" s="33" t="s">
        <v>109</v>
      </c>
      <c r="B5762" s="34">
        <v>313.38900000000001</v>
      </c>
      <c r="C5762" s="35">
        <v>43054.6</v>
      </c>
      <c r="D5762" s="33" t="s">
        <v>307</v>
      </c>
      <c r="E5762" s="34">
        <v>313.45100000000002</v>
      </c>
      <c r="F5762" s="36">
        <v>6.2000000000011803E-2</v>
      </c>
      <c r="G5762" s="34">
        <v>6.2000000000011803E-2</v>
      </c>
      <c r="H5762" s="35">
        <v>533</v>
      </c>
      <c r="I5762" s="37">
        <f t="shared" ref="I5762:I5825" si="90">H5762/C5762</f>
        <v>1.2379629586617922E-2</v>
      </c>
      <c r="J5762" s="33"/>
    </row>
    <row r="5763" spans="1:10">
      <c r="A5763" s="33" t="s">
        <v>109</v>
      </c>
      <c r="B5763" s="34">
        <v>313.38900000000001</v>
      </c>
      <c r="C5763" s="35">
        <v>43054.6</v>
      </c>
      <c r="D5763" s="33" t="s">
        <v>277</v>
      </c>
      <c r="E5763" s="34">
        <v>313.47000000000003</v>
      </c>
      <c r="F5763" s="36">
        <v>8.1000000000017294E-2</v>
      </c>
      <c r="G5763" s="34">
        <v>8.1000000000017294E-2</v>
      </c>
      <c r="H5763" s="35">
        <v>154.30000000000001</v>
      </c>
      <c r="I5763" s="37">
        <f t="shared" si="90"/>
        <v>3.5838214731991475E-3</v>
      </c>
      <c r="J5763" s="33"/>
    </row>
    <row r="5764" spans="1:10">
      <c r="A5764" s="33" t="s">
        <v>109</v>
      </c>
      <c r="B5764" s="34">
        <v>313.38900000000001</v>
      </c>
      <c r="C5764" s="35">
        <v>43054.6</v>
      </c>
      <c r="D5764" s="33" t="s">
        <v>269</v>
      </c>
      <c r="E5764" s="34">
        <v>313.47199999999998</v>
      </c>
      <c r="F5764" s="36">
        <v>8.2999999999970001E-2</v>
      </c>
      <c r="G5764" s="34">
        <v>8.2999999999970001E-2</v>
      </c>
      <c r="H5764" s="35">
        <v>17278.2</v>
      </c>
      <c r="I5764" s="37">
        <f t="shared" si="90"/>
        <v>0.40130903550375574</v>
      </c>
      <c r="J5764" s="33"/>
    </row>
    <row r="5765" spans="1:10">
      <c r="A5765" s="33" t="s">
        <v>109</v>
      </c>
      <c r="B5765" s="34">
        <v>313.38900000000001</v>
      </c>
      <c r="C5765" s="35">
        <v>43054.6</v>
      </c>
      <c r="D5765" s="33" t="s">
        <v>27</v>
      </c>
      <c r="E5765" s="34">
        <v>313.49</v>
      </c>
      <c r="F5765" s="36">
        <v>0.10099999999999899</v>
      </c>
      <c r="G5765" s="34">
        <v>0.10099999999999899</v>
      </c>
      <c r="H5765" s="35">
        <v>914.4</v>
      </c>
      <c r="I5765" s="37">
        <f t="shared" si="90"/>
        <v>2.12381487692372E-2</v>
      </c>
      <c r="J5765" s="33" t="s">
        <v>116</v>
      </c>
    </row>
    <row r="5766" spans="1:10">
      <c r="A5766" s="33" t="s">
        <v>109</v>
      </c>
      <c r="B5766" s="34">
        <v>313.38900000000001</v>
      </c>
      <c r="C5766" s="35">
        <v>43054.6</v>
      </c>
      <c r="D5766" s="33" t="s">
        <v>278</v>
      </c>
      <c r="E5766" s="34">
        <v>313.49299999999999</v>
      </c>
      <c r="F5766" s="36">
        <v>0.10399999999998499</v>
      </c>
      <c r="G5766" s="34">
        <v>0.10399999999998499</v>
      </c>
      <c r="H5766" s="35">
        <v>3860.5</v>
      </c>
      <c r="I5766" s="37">
        <f t="shared" si="90"/>
        <v>8.9665215795757022E-2</v>
      </c>
      <c r="J5766" s="33"/>
    </row>
    <row r="5767" spans="1:10">
      <c r="A5767" s="33" t="s">
        <v>109</v>
      </c>
      <c r="B5767" s="34">
        <v>313.38900000000001</v>
      </c>
      <c r="C5767" s="35">
        <v>43054.6</v>
      </c>
      <c r="D5767" s="33" t="s">
        <v>36</v>
      </c>
      <c r="E5767" s="34">
        <v>313.50400000000002</v>
      </c>
      <c r="F5767" s="36">
        <v>0.115000000000009</v>
      </c>
      <c r="G5767" s="34">
        <v>0.115000000000009</v>
      </c>
      <c r="H5767" s="35">
        <v>1100.9000000000001</v>
      </c>
      <c r="I5767" s="37">
        <f t="shared" si="90"/>
        <v>2.5569857808457171E-2</v>
      </c>
      <c r="J5767" s="33" t="s">
        <v>116</v>
      </c>
    </row>
    <row r="5768" spans="1:10">
      <c r="A5768" s="33" t="s">
        <v>109</v>
      </c>
      <c r="B5768" s="34">
        <v>313.38900000000001</v>
      </c>
      <c r="C5768" s="35">
        <v>43054.6</v>
      </c>
      <c r="D5768" s="33" t="s">
        <v>116</v>
      </c>
      <c r="E5768" s="34">
        <v>313.51799999999997</v>
      </c>
      <c r="F5768" s="36">
        <v>0.12899999999996201</v>
      </c>
      <c r="G5768" s="34">
        <v>0.12899999999996201</v>
      </c>
      <c r="H5768" s="35">
        <v>2204.5</v>
      </c>
      <c r="I5768" s="37">
        <f t="shared" si="90"/>
        <v>5.1202426686114841E-2</v>
      </c>
      <c r="J5768" s="33" t="s">
        <v>116</v>
      </c>
    </row>
    <row r="5769" spans="1:10">
      <c r="A5769" s="33" t="s">
        <v>109</v>
      </c>
      <c r="B5769" s="34">
        <v>313.38900000000001</v>
      </c>
      <c r="C5769" s="35">
        <v>43054.6</v>
      </c>
      <c r="D5769" s="33" t="s">
        <v>239</v>
      </c>
      <c r="E5769" s="34">
        <v>313.53399999999999</v>
      </c>
      <c r="F5769" s="36">
        <v>0.144999999999982</v>
      </c>
      <c r="G5769" s="34">
        <v>0.144999999999982</v>
      </c>
      <c r="H5769" s="35">
        <v>156.19999999999999</v>
      </c>
      <c r="I5769" s="37">
        <f t="shared" si="90"/>
        <v>3.6279514848587607E-3</v>
      </c>
      <c r="J5769" s="33"/>
    </row>
    <row r="5770" spans="1:10">
      <c r="A5770" s="33" t="s">
        <v>109</v>
      </c>
      <c r="B5770" s="34">
        <v>313.38900000000001</v>
      </c>
      <c r="C5770" s="35">
        <v>43054.6</v>
      </c>
      <c r="D5770" s="33" t="s">
        <v>97</v>
      </c>
      <c r="E5770" s="34">
        <v>313.536</v>
      </c>
      <c r="F5770" s="36">
        <v>0.146999999999991</v>
      </c>
      <c r="G5770" s="34">
        <v>0.146999999999991</v>
      </c>
      <c r="H5770" s="35">
        <v>13.2</v>
      </c>
      <c r="I5770" s="37">
        <f t="shared" si="90"/>
        <v>3.0658744942468398E-4</v>
      </c>
      <c r="J5770" s="33"/>
    </row>
    <row r="5771" spans="1:10">
      <c r="A5771" s="33" t="s">
        <v>109</v>
      </c>
      <c r="B5771" s="34">
        <v>329.1</v>
      </c>
      <c r="C5771" s="35">
        <v>31339.8</v>
      </c>
      <c r="D5771" s="33" t="s">
        <v>282</v>
      </c>
      <c r="E5771" s="34">
        <v>328.96300000000002</v>
      </c>
      <c r="F5771" s="36">
        <v>0.13700000000000101</v>
      </c>
      <c r="G5771" s="34">
        <v>0.13700000000000101</v>
      </c>
      <c r="H5771" s="35">
        <v>26.3</v>
      </c>
      <c r="I5771" s="37">
        <f t="shared" si="90"/>
        <v>8.3918850790368801E-4</v>
      </c>
      <c r="J5771" s="33"/>
    </row>
    <row r="5772" spans="1:10">
      <c r="A5772" s="33" t="s">
        <v>109</v>
      </c>
      <c r="B5772" s="34">
        <v>329.1</v>
      </c>
      <c r="C5772" s="35">
        <v>31339.8</v>
      </c>
      <c r="D5772" s="33" t="s">
        <v>269</v>
      </c>
      <c r="E5772" s="34">
        <v>328.97399999999999</v>
      </c>
      <c r="F5772" s="36">
        <v>0.126000000000033</v>
      </c>
      <c r="G5772" s="34">
        <v>0.126000000000033</v>
      </c>
      <c r="H5772" s="35">
        <v>65.900000000000006</v>
      </c>
      <c r="I5772" s="37">
        <f t="shared" si="90"/>
        <v>2.102757516002017E-3</v>
      </c>
      <c r="J5772" s="33"/>
    </row>
    <row r="5773" spans="1:10">
      <c r="A5773" s="33" t="s">
        <v>109</v>
      </c>
      <c r="B5773" s="34">
        <v>329.1</v>
      </c>
      <c r="C5773" s="35">
        <v>31339.8</v>
      </c>
      <c r="D5773" s="33" t="s">
        <v>275</v>
      </c>
      <c r="E5773" s="34">
        <v>328.98399999999998</v>
      </c>
      <c r="F5773" s="36">
        <v>0.116000000000042</v>
      </c>
      <c r="G5773" s="34">
        <v>0.116000000000042</v>
      </c>
      <c r="H5773" s="35">
        <v>27.2</v>
      </c>
      <c r="I5773" s="37">
        <f t="shared" si="90"/>
        <v>8.6790598536046811E-4</v>
      </c>
      <c r="J5773" s="33"/>
    </row>
    <row r="5774" spans="1:10">
      <c r="A5774" s="33" t="s">
        <v>109</v>
      </c>
      <c r="B5774" s="34">
        <v>329.1</v>
      </c>
      <c r="C5774" s="35">
        <v>31339.8</v>
      </c>
      <c r="D5774" s="33" t="s">
        <v>274</v>
      </c>
      <c r="E5774" s="34">
        <v>329.00700000000001</v>
      </c>
      <c r="F5774" s="36">
        <v>9.3000000000017694E-2</v>
      </c>
      <c r="G5774" s="34">
        <v>9.3000000000017694E-2</v>
      </c>
      <c r="H5774" s="35">
        <v>2.5</v>
      </c>
      <c r="I5774" s="37">
        <f t="shared" si="90"/>
        <v>7.977077071327833E-5</v>
      </c>
      <c r="J5774" s="33"/>
    </row>
    <row r="5775" spans="1:10">
      <c r="A5775" s="33" t="s">
        <v>109</v>
      </c>
      <c r="B5775" s="34">
        <v>329.1</v>
      </c>
      <c r="C5775" s="35">
        <v>31339.8</v>
      </c>
      <c r="D5775" s="33" t="s">
        <v>271</v>
      </c>
      <c r="E5775" s="34">
        <v>329.01299999999998</v>
      </c>
      <c r="F5775" s="36">
        <v>8.7000000000045902E-2</v>
      </c>
      <c r="G5775" s="34">
        <v>8.7000000000045902E-2</v>
      </c>
      <c r="H5775" s="35">
        <v>612.79999999999995</v>
      </c>
      <c r="I5775" s="37">
        <f t="shared" si="90"/>
        <v>1.955341131723878E-2</v>
      </c>
      <c r="J5775" s="33"/>
    </row>
    <row r="5776" spans="1:10">
      <c r="A5776" s="33" t="s">
        <v>109</v>
      </c>
      <c r="B5776" s="34">
        <v>329.1</v>
      </c>
      <c r="C5776" s="35">
        <v>31339.8</v>
      </c>
      <c r="D5776" s="33" t="s">
        <v>294</v>
      </c>
      <c r="E5776" s="34">
        <v>329.02199999999999</v>
      </c>
      <c r="F5776" s="36">
        <v>7.8000000000031405E-2</v>
      </c>
      <c r="G5776" s="34">
        <v>7.8000000000031405E-2</v>
      </c>
      <c r="H5776" s="35">
        <v>39.1</v>
      </c>
      <c r="I5776" s="37">
        <f t="shared" si="90"/>
        <v>1.2476148539556731E-3</v>
      </c>
      <c r="J5776" s="33"/>
    </row>
    <row r="5777" spans="1:10">
      <c r="A5777" s="33" t="s">
        <v>109</v>
      </c>
      <c r="B5777" s="34">
        <v>329.1</v>
      </c>
      <c r="C5777" s="35">
        <v>31339.8</v>
      </c>
      <c r="D5777" s="33" t="s">
        <v>278</v>
      </c>
      <c r="E5777" s="34">
        <v>329.024</v>
      </c>
      <c r="F5777" s="36">
        <v>7.60000000000218E-2</v>
      </c>
      <c r="G5777" s="34">
        <v>7.60000000000218E-2</v>
      </c>
      <c r="H5777" s="35">
        <v>303.3</v>
      </c>
      <c r="I5777" s="37">
        <f t="shared" si="90"/>
        <v>9.6777899029349274E-3</v>
      </c>
      <c r="J5777" s="33"/>
    </row>
    <row r="5778" spans="1:10">
      <c r="A5778" s="33" t="s">
        <v>109</v>
      </c>
      <c r="B5778" s="34">
        <v>329.1</v>
      </c>
      <c r="C5778" s="35">
        <v>31339.8</v>
      </c>
      <c r="D5778" s="33" t="s">
        <v>284</v>
      </c>
      <c r="E5778" s="34">
        <v>329.02600000000001</v>
      </c>
      <c r="F5778" s="36">
        <v>7.4000000000012306E-2</v>
      </c>
      <c r="G5778" s="34">
        <v>7.4000000000012306E-2</v>
      </c>
      <c r="H5778" s="35">
        <v>3</v>
      </c>
      <c r="I5778" s="37">
        <f t="shared" si="90"/>
        <v>9.5724924855933991E-5</v>
      </c>
      <c r="J5778" s="33"/>
    </row>
    <row r="5779" spans="1:10">
      <c r="A5779" s="33" t="s">
        <v>109</v>
      </c>
      <c r="B5779" s="34">
        <v>329.1</v>
      </c>
      <c r="C5779" s="35">
        <v>31339.8</v>
      </c>
      <c r="D5779" s="33" t="s">
        <v>25</v>
      </c>
      <c r="E5779" s="34">
        <v>329.03399999999999</v>
      </c>
      <c r="F5779" s="36">
        <v>6.6000000000030895E-2</v>
      </c>
      <c r="G5779" s="34">
        <v>6.6000000000030895E-2</v>
      </c>
      <c r="H5779" s="35">
        <v>288</v>
      </c>
      <c r="I5779" s="37">
        <f t="shared" si="90"/>
        <v>9.1895927861696623E-3</v>
      </c>
      <c r="J5779" s="33" t="s">
        <v>116</v>
      </c>
    </row>
    <row r="5780" spans="1:10">
      <c r="A5780" s="33" t="s">
        <v>109</v>
      </c>
      <c r="B5780" s="34">
        <v>329.1</v>
      </c>
      <c r="C5780" s="35">
        <v>31339.8</v>
      </c>
      <c r="D5780" s="33" t="s">
        <v>270</v>
      </c>
      <c r="E5780" s="34">
        <v>329.03899999999999</v>
      </c>
      <c r="F5780" s="36">
        <v>6.1000000000035498E-2</v>
      </c>
      <c r="G5780" s="34">
        <v>6.1000000000035498E-2</v>
      </c>
      <c r="H5780" s="35">
        <v>1697.6</v>
      </c>
      <c r="I5780" s="37">
        <f t="shared" si="90"/>
        <v>5.4167544145144512E-2</v>
      </c>
      <c r="J5780" s="33"/>
    </row>
    <row r="5781" spans="1:10">
      <c r="A5781" s="33" t="s">
        <v>109</v>
      </c>
      <c r="B5781" s="34">
        <v>329.1</v>
      </c>
      <c r="C5781" s="35">
        <v>31339.8</v>
      </c>
      <c r="D5781" s="33" t="s">
        <v>277</v>
      </c>
      <c r="E5781" s="34">
        <v>329.04700000000003</v>
      </c>
      <c r="F5781" s="36">
        <v>5.2999999999997299E-2</v>
      </c>
      <c r="G5781" s="34">
        <v>5.2999999999997299E-2</v>
      </c>
      <c r="H5781" s="35">
        <v>129.6</v>
      </c>
      <c r="I5781" s="37">
        <f t="shared" si="90"/>
        <v>4.1353167537763486E-3</v>
      </c>
      <c r="J5781" s="33"/>
    </row>
    <row r="5782" spans="1:10">
      <c r="A5782" s="33" t="s">
        <v>109</v>
      </c>
      <c r="B5782" s="34">
        <v>329.1</v>
      </c>
      <c r="C5782" s="35">
        <v>31339.8</v>
      </c>
      <c r="D5782" s="33" t="s">
        <v>165</v>
      </c>
      <c r="E5782" s="34">
        <v>329.053</v>
      </c>
      <c r="F5782" s="36">
        <v>4.7000000000025501E-2</v>
      </c>
      <c r="G5782" s="34">
        <v>4.7000000000025501E-2</v>
      </c>
      <c r="H5782" s="35">
        <v>2.8</v>
      </c>
      <c r="I5782" s="37">
        <f t="shared" si="90"/>
        <v>8.9343263198871716E-5</v>
      </c>
      <c r="J5782" s="33"/>
    </row>
    <row r="5783" spans="1:10">
      <c r="A5783" s="33" t="s">
        <v>109</v>
      </c>
      <c r="B5783" s="34">
        <v>329.1</v>
      </c>
      <c r="C5783" s="35">
        <v>31339.8</v>
      </c>
      <c r="D5783" s="33" t="s">
        <v>286</v>
      </c>
      <c r="E5783" s="34">
        <v>329.05399999999997</v>
      </c>
      <c r="F5783" s="36">
        <v>4.6000000000049099E-2</v>
      </c>
      <c r="G5783" s="34">
        <v>4.6000000000049099E-2</v>
      </c>
      <c r="H5783" s="35">
        <v>57.1</v>
      </c>
      <c r="I5783" s="37">
        <f t="shared" si="90"/>
        <v>1.8219644030912771E-3</v>
      </c>
      <c r="J5783" s="33"/>
    </row>
    <row r="5784" spans="1:10">
      <c r="A5784" s="33" t="s">
        <v>109</v>
      </c>
      <c r="B5784" s="34">
        <v>329.1</v>
      </c>
      <c r="C5784" s="35">
        <v>31339.8</v>
      </c>
      <c r="D5784" s="33" t="s">
        <v>25</v>
      </c>
      <c r="E5784" s="34">
        <v>329.05799999999999</v>
      </c>
      <c r="F5784" s="36">
        <v>4.2000000000029999E-2</v>
      </c>
      <c r="G5784" s="34">
        <v>4.2000000000029999E-2</v>
      </c>
      <c r="H5784" s="35">
        <v>203.3</v>
      </c>
      <c r="I5784" s="37">
        <f t="shared" si="90"/>
        <v>6.4869590744037935E-3</v>
      </c>
      <c r="J5784" s="33" t="s">
        <v>116</v>
      </c>
    </row>
    <row r="5785" spans="1:10">
      <c r="A5785" s="33" t="s">
        <v>109</v>
      </c>
      <c r="B5785" s="34">
        <v>329.1</v>
      </c>
      <c r="C5785" s="35">
        <v>31339.8</v>
      </c>
      <c r="D5785" s="33" t="s">
        <v>270</v>
      </c>
      <c r="E5785" s="34">
        <v>329.065</v>
      </c>
      <c r="F5785" s="36">
        <v>3.5000000000024997E-2</v>
      </c>
      <c r="G5785" s="34">
        <v>3.5000000000024997E-2</v>
      </c>
      <c r="H5785" s="35">
        <v>956.3</v>
      </c>
      <c r="I5785" s="37">
        <f t="shared" si="90"/>
        <v>3.0513915213243224E-2</v>
      </c>
      <c r="J5785" s="33"/>
    </row>
    <row r="5786" spans="1:10">
      <c r="A5786" s="33" t="s">
        <v>109</v>
      </c>
      <c r="B5786" s="34">
        <v>329.1</v>
      </c>
      <c r="C5786" s="35">
        <v>31339.8</v>
      </c>
      <c r="D5786" s="33" t="s">
        <v>27</v>
      </c>
      <c r="E5786" s="34">
        <v>329.065</v>
      </c>
      <c r="F5786" s="36">
        <v>3.5000000000024997E-2</v>
      </c>
      <c r="G5786" s="34">
        <v>3.5000000000024997E-2</v>
      </c>
      <c r="H5786" s="35">
        <v>331.9</v>
      </c>
      <c r="I5786" s="37">
        <f t="shared" si="90"/>
        <v>1.059036751989483E-2</v>
      </c>
      <c r="J5786" s="33" t="s">
        <v>116</v>
      </c>
    </row>
    <row r="5787" spans="1:10">
      <c r="A5787" s="33" t="s">
        <v>109</v>
      </c>
      <c r="B5787" s="34">
        <v>329.1</v>
      </c>
      <c r="C5787" s="35">
        <v>31339.8</v>
      </c>
      <c r="D5787" s="33" t="s">
        <v>275</v>
      </c>
      <c r="E5787" s="34">
        <v>329.08199999999999</v>
      </c>
      <c r="F5787" s="36">
        <v>1.80000000000291E-2</v>
      </c>
      <c r="G5787" s="34">
        <v>1.80000000000291E-2</v>
      </c>
      <c r="H5787" s="35">
        <v>371.9</v>
      </c>
      <c r="I5787" s="37">
        <f t="shared" si="90"/>
        <v>1.1866699851307283E-2</v>
      </c>
      <c r="J5787" s="33"/>
    </row>
    <row r="5788" spans="1:10">
      <c r="A5788" s="33" t="s">
        <v>109</v>
      </c>
      <c r="B5788" s="34">
        <v>329.1</v>
      </c>
      <c r="C5788" s="35">
        <v>31339.8</v>
      </c>
      <c r="D5788" s="33" t="s">
        <v>240</v>
      </c>
      <c r="E5788" s="34">
        <v>329.096</v>
      </c>
      <c r="F5788" s="36">
        <v>4.0000000000191003E-3</v>
      </c>
      <c r="G5788" s="34">
        <v>4.0000000000191003E-3</v>
      </c>
      <c r="H5788" s="35">
        <v>1.4</v>
      </c>
      <c r="I5788" s="37">
        <f t="shared" si="90"/>
        <v>4.4671631599435858E-5</v>
      </c>
      <c r="J5788" s="33"/>
    </row>
    <row r="5789" spans="1:10">
      <c r="A5789" s="33" t="s">
        <v>109</v>
      </c>
      <c r="B5789" s="34">
        <v>329.1</v>
      </c>
      <c r="C5789" s="35">
        <v>31339.8</v>
      </c>
      <c r="D5789" s="33" t="s">
        <v>94</v>
      </c>
      <c r="E5789" s="34">
        <v>329.096</v>
      </c>
      <c r="F5789" s="36">
        <v>4.0000000000191003E-3</v>
      </c>
      <c r="G5789" s="34">
        <v>4.0000000000191003E-3</v>
      </c>
      <c r="H5789" s="35">
        <v>1447.9</v>
      </c>
      <c r="I5789" s="37">
        <f t="shared" si="90"/>
        <v>4.6200039566302281E-2</v>
      </c>
      <c r="J5789" s="33" t="s">
        <v>116</v>
      </c>
    </row>
    <row r="5790" spans="1:10">
      <c r="A5790" s="33" t="s">
        <v>109</v>
      </c>
      <c r="B5790" s="34">
        <v>329.1</v>
      </c>
      <c r="C5790" s="35">
        <v>31339.8</v>
      </c>
      <c r="D5790" s="33" t="s">
        <v>97</v>
      </c>
      <c r="E5790" s="34">
        <v>329.09899999999999</v>
      </c>
      <c r="F5790" s="36">
        <v>1.0000000000332E-3</v>
      </c>
      <c r="G5790" s="34">
        <v>1.0000000000332E-3</v>
      </c>
      <c r="H5790" s="35">
        <v>4.9000000000000004</v>
      </c>
      <c r="I5790" s="37">
        <f t="shared" si="90"/>
        <v>1.5635071059802552E-4</v>
      </c>
      <c r="J5790" s="33"/>
    </row>
    <row r="5791" spans="1:10">
      <c r="A5791" s="33" t="s">
        <v>109</v>
      </c>
      <c r="B5791" s="34">
        <v>329.1</v>
      </c>
      <c r="C5791" s="35">
        <v>31339.8</v>
      </c>
      <c r="D5791" s="33" t="s">
        <v>278</v>
      </c>
      <c r="E5791" s="34">
        <v>329.10300000000001</v>
      </c>
      <c r="F5791" s="36">
        <v>2.9999999999858998E-3</v>
      </c>
      <c r="G5791" s="34">
        <v>2.9999999999858998E-3</v>
      </c>
      <c r="H5791" s="35">
        <v>22.7</v>
      </c>
      <c r="I5791" s="37">
        <f t="shared" si="90"/>
        <v>7.2431859807656717E-4</v>
      </c>
      <c r="J5791" s="33"/>
    </row>
    <row r="5792" spans="1:10">
      <c r="A5792" s="33" t="s">
        <v>109</v>
      </c>
      <c r="B5792" s="34">
        <v>329.1</v>
      </c>
      <c r="C5792" s="35">
        <v>31339.8</v>
      </c>
      <c r="D5792" s="33" t="s">
        <v>269</v>
      </c>
      <c r="E5792" s="34">
        <v>329.10500000000002</v>
      </c>
      <c r="F5792" s="36">
        <v>4.9999999999954499E-3</v>
      </c>
      <c r="G5792" s="34">
        <v>4.9999999999954499E-3</v>
      </c>
      <c r="H5792" s="35">
        <v>38.1</v>
      </c>
      <c r="I5792" s="37">
        <f t="shared" si="90"/>
        <v>1.2157065456703618E-3</v>
      </c>
      <c r="J5792" s="33"/>
    </row>
    <row r="5793" spans="1:10">
      <c r="A5793" s="33" t="s">
        <v>109</v>
      </c>
      <c r="B5793" s="34">
        <v>329.1</v>
      </c>
      <c r="C5793" s="35">
        <v>31339.8</v>
      </c>
      <c r="D5793" s="33" t="s">
        <v>273</v>
      </c>
      <c r="E5793" s="34">
        <v>329.10500000000002</v>
      </c>
      <c r="F5793" s="36">
        <v>4.9999999999954499E-3</v>
      </c>
      <c r="G5793" s="34">
        <v>4.9999999999954499E-3</v>
      </c>
      <c r="H5793" s="35">
        <v>502.2</v>
      </c>
      <c r="I5793" s="37">
        <f t="shared" si="90"/>
        <v>1.6024352420883351E-2</v>
      </c>
      <c r="J5793" s="33"/>
    </row>
    <row r="5794" spans="1:10">
      <c r="A5794" s="33" t="s">
        <v>109</v>
      </c>
      <c r="B5794" s="34">
        <v>329.1</v>
      </c>
      <c r="C5794" s="35">
        <v>31339.8</v>
      </c>
      <c r="D5794" s="33" t="s">
        <v>84</v>
      </c>
      <c r="E5794" s="34">
        <v>329.12700000000001</v>
      </c>
      <c r="F5794" s="36">
        <v>2.6999999999986798E-2</v>
      </c>
      <c r="G5794" s="34">
        <v>2.6999999999986798E-2</v>
      </c>
      <c r="H5794" s="35">
        <v>798.6</v>
      </c>
      <c r="I5794" s="37">
        <f t="shared" si="90"/>
        <v>2.5481974996649628E-2</v>
      </c>
      <c r="J5794" s="33" t="s">
        <v>116</v>
      </c>
    </row>
    <row r="5795" spans="1:10">
      <c r="A5795" s="33" t="s">
        <v>109</v>
      </c>
      <c r="B5795" s="34">
        <v>329.1</v>
      </c>
      <c r="C5795" s="35">
        <v>31339.8</v>
      </c>
      <c r="D5795" s="33" t="s">
        <v>277</v>
      </c>
      <c r="E5795" s="34">
        <v>329.13400000000001</v>
      </c>
      <c r="F5795" s="36">
        <v>3.3999999999991801E-2</v>
      </c>
      <c r="G5795" s="34">
        <v>3.3999999999991801E-2</v>
      </c>
      <c r="H5795" s="35">
        <v>1113.8</v>
      </c>
      <c r="I5795" s="37">
        <f t="shared" si="90"/>
        <v>3.5539473768179758E-2</v>
      </c>
      <c r="J5795" s="33"/>
    </row>
    <row r="5796" spans="1:10">
      <c r="A5796" s="33" t="s">
        <v>109</v>
      </c>
      <c r="B5796" s="34">
        <v>329.1</v>
      </c>
      <c r="C5796" s="35">
        <v>31339.8</v>
      </c>
      <c r="D5796" s="33" t="s">
        <v>274</v>
      </c>
      <c r="E5796" s="34">
        <v>329.14400000000001</v>
      </c>
      <c r="F5796" s="36">
        <v>4.3999999999982699E-2</v>
      </c>
      <c r="G5796" s="34">
        <v>4.3999999999982699E-2</v>
      </c>
      <c r="H5796" s="35">
        <v>4.2</v>
      </c>
      <c r="I5796" s="37">
        <f t="shared" si="90"/>
        <v>1.3401489479830759E-4</v>
      </c>
      <c r="J5796" s="33"/>
    </row>
    <row r="5797" spans="1:10">
      <c r="A5797" s="33" t="s">
        <v>109</v>
      </c>
      <c r="B5797" s="34">
        <v>329.1</v>
      </c>
      <c r="C5797" s="35">
        <v>31339.8</v>
      </c>
      <c r="D5797" s="33" t="s">
        <v>36</v>
      </c>
      <c r="E5797" s="34">
        <v>329.149</v>
      </c>
      <c r="F5797" s="36">
        <v>4.89999999999782E-2</v>
      </c>
      <c r="G5797" s="34">
        <v>4.89999999999782E-2</v>
      </c>
      <c r="H5797" s="35">
        <v>30.7</v>
      </c>
      <c r="I5797" s="37">
        <f t="shared" si="90"/>
        <v>9.7958506435905784E-4</v>
      </c>
      <c r="J5797" s="33" t="s">
        <v>116</v>
      </c>
    </row>
    <row r="5798" spans="1:10">
      <c r="A5798" s="33" t="s">
        <v>109</v>
      </c>
      <c r="B5798" s="34">
        <v>329.1</v>
      </c>
      <c r="C5798" s="35">
        <v>31339.8</v>
      </c>
      <c r="D5798" s="33" t="s">
        <v>201</v>
      </c>
      <c r="E5798" s="34">
        <v>329.15600000000001</v>
      </c>
      <c r="F5798" s="36">
        <v>5.5999999999983202E-2</v>
      </c>
      <c r="G5798" s="34">
        <v>5.5999999999983202E-2</v>
      </c>
      <c r="H5798" s="35">
        <v>1599.1</v>
      </c>
      <c r="I5798" s="37">
        <f t="shared" si="90"/>
        <v>5.1024575779041348E-2</v>
      </c>
      <c r="J5798" s="33"/>
    </row>
    <row r="5799" spans="1:10">
      <c r="A5799" s="33" t="s">
        <v>109</v>
      </c>
      <c r="B5799" s="34">
        <v>329.1</v>
      </c>
      <c r="C5799" s="35">
        <v>31339.8</v>
      </c>
      <c r="D5799" s="33" t="s">
        <v>271</v>
      </c>
      <c r="E5799" s="34">
        <v>329.17399999999998</v>
      </c>
      <c r="F5799" s="36">
        <v>7.3999999999955393E-2</v>
      </c>
      <c r="G5799" s="34">
        <v>7.3999999999955393E-2</v>
      </c>
      <c r="H5799" s="35">
        <v>4515.5</v>
      </c>
      <c r="I5799" s="37">
        <f t="shared" si="90"/>
        <v>0.14408196606232332</v>
      </c>
      <c r="J5799" s="33"/>
    </row>
    <row r="5800" spans="1:10">
      <c r="A5800" s="33" t="s">
        <v>109</v>
      </c>
      <c r="B5800" s="34">
        <v>329.1</v>
      </c>
      <c r="C5800" s="35">
        <v>31339.8</v>
      </c>
      <c r="D5800" s="33" t="s">
        <v>239</v>
      </c>
      <c r="E5800" s="34">
        <v>329.17599999999999</v>
      </c>
      <c r="F5800" s="36">
        <v>7.5999999999964998E-2</v>
      </c>
      <c r="G5800" s="34">
        <v>7.5999999999964998E-2</v>
      </c>
      <c r="H5800" s="35">
        <v>149.19999999999999</v>
      </c>
      <c r="I5800" s="37">
        <f t="shared" si="90"/>
        <v>4.7607195961684497E-3</v>
      </c>
      <c r="J5800" s="33"/>
    </row>
    <row r="5801" spans="1:10">
      <c r="A5801" s="33" t="s">
        <v>109</v>
      </c>
      <c r="B5801" s="34">
        <v>329.1</v>
      </c>
      <c r="C5801" s="35">
        <v>31339.8</v>
      </c>
      <c r="D5801" s="33" t="s">
        <v>97</v>
      </c>
      <c r="E5801" s="34">
        <v>329.202</v>
      </c>
      <c r="F5801" s="36">
        <v>0.101999999999975</v>
      </c>
      <c r="G5801" s="34">
        <v>0.101999999999975</v>
      </c>
      <c r="H5801" s="35">
        <v>20.6</v>
      </c>
      <c r="I5801" s="37">
        <f t="shared" si="90"/>
        <v>6.5731115067741341E-4</v>
      </c>
      <c r="J5801" s="33"/>
    </row>
    <row r="5802" spans="1:10">
      <c r="A5802" s="33" t="s">
        <v>109</v>
      </c>
      <c r="B5802" s="34">
        <v>329.1</v>
      </c>
      <c r="C5802" s="35">
        <v>31339.8</v>
      </c>
      <c r="D5802" s="33" t="s">
        <v>273</v>
      </c>
      <c r="E5802" s="34">
        <v>329.202</v>
      </c>
      <c r="F5802" s="36">
        <v>0.101999999999975</v>
      </c>
      <c r="G5802" s="34">
        <v>0.101999999999975</v>
      </c>
      <c r="H5802" s="35">
        <v>1263.5999999999999</v>
      </c>
      <c r="I5802" s="37">
        <f t="shared" si="90"/>
        <v>4.0319338349319396E-2</v>
      </c>
      <c r="J5802" s="33"/>
    </row>
    <row r="5803" spans="1:10">
      <c r="A5803" s="33" t="s">
        <v>109</v>
      </c>
      <c r="B5803" s="34">
        <v>329.1</v>
      </c>
      <c r="C5803" s="35">
        <v>31339.8</v>
      </c>
      <c r="D5803" s="33" t="s">
        <v>54</v>
      </c>
      <c r="E5803" s="34">
        <v>329.20800000000003</v>
      </c>
      <c r="F5803" s="36">
        <v>0.108000000000004</v>
      </c>
      <c r="G5803" s="34">
        <v>0.108000000000004</v>
      </c>
      <c r="H5803" s="35">
        <v>4.2</v>
      </c>
      <c r="I5803" s="37">
        <f t="shared" si="90"/>
        <v>1.3401489479830759E-4</v>
      </c>
      <c r="J5803" s="33"/>
    </row>
    <row r="5804" spans="1:10">
      <c r="A5804" s="33" t="s">
        <v>109</v>
      </c>
      <c r="B5804" s="34">
        <v>329.1</v>
      </c>
      <c r="C5804" s="35">
        <v>31339.8</v>
      </c>
      <c r="D5804" s="33" t="s">
        <v>237</v>
      </c>
      <c r="E5804" s="34">
        <v>329.20800000000003</v>
      </c>
      <c r="F5804" s="36">
        <v>0.108000000000004</v>
      </c>
      <c r="G5804" s="34">
        <v>0.108000000000004</v>
      </c>
      <c r="H5804" s="35">
        <v>170.3</v>
      </c>
      <c r="I5804" s="37">
        <f t="shared" si="90"/>
        <v>5.4339849009885201E-3</v>
      </c>
      <c r="J5804" s="33"/>
    </row>
    <row r="5805" spans="1:10">
      <c r="A5805" s="33" t="s">
        <v>109</v>
      </c>
      <c r="B5805" s="34">
        <v>329.1</v>
      </c>
      <c r="C5805" s="35">
        <v>31339.8</v>
      </c>
      <c r="D5805" s="33" t="s">
        <v>36</v>
      </c>
      <c r="E5805" s="34">
        <v>329.22199999999998</v>
      </c>
      <c r="F5805" s="36">
        <v>0.121999999999957</v>
      </c>
      <c r="G5805" s="34">
        <v>0.121999999999957</v>
      </c>
      <c r="H5805" s="35">
        <v>2154.1999999999998</v>
      </c>
      <c r="I5805" s="37">
        <f t="shared" si="90"/>
        <v>6.8736877708217667E-2</v>
      </c>
      <c r="J5805" s="33" t="s">
        <v>116</v>
      </c>
    </row>
    <row r="5806" spans="1:10">
      <c r="A5806" s="33" t="s">
        <v>109</v>
      </c>
      <c r="B5806" s="34">
        <v>329.1</v>
      </c>
      <c r="C5806" s="35">
        <v>31339.8</v>
      </c>
      <c r="D5806" s="33" t="s">
        <v>269</v>
      </c>
      <c r="E5806" s="34">
        <v>329.22500000000002</v>
      </c>
      <c r="F5806" s="36">
        <v>0.125</v>
      </c>
      <c r="G5806" s="34">
        <v>0.125</v>
      </c>
      <c r="H5806" s="35">
        <v>1.6</v>
      </c>
      <c r="I5806" s="37">
        <f t="shared" si="90"/>
        <v>5.1053293256498133E-5</v>
      </c>
      <c r="J5806" s="33"/>
    </row>
    <row r="5807" spans="1:10">
      <c r="A5807" s="33" t="s">
        <v>109</v>
      </c>
      <c r="B5807" s="34">
        <v>329.1</v>
      </c>
      <c r="C5807" s="35">
        <v>31339.8</v>
      </c>
      <c r="D5807" s="33" t="s">
        <v>275</v>
      </c>
      <c r="E5807" s="34">
        <v>329.23200000000003</v>
      </c>
      <c r="F5807" s="36">
        <v>0.132000000000005</v>
      </c>
      <c r="G5807" s="34">
        <v>0.132000000000005</v>
      </c>
      <c r="H5807" s="35">
        <v>1720.3</v>
      </c>
      <c r="I5807" s="37">
        <f t="shared" si="90"/>
        <v>5.4891862743221081E-2</v>
      </c>
      <c r="J5807" s="33"/>
    </row>
    <row r="5808" spans="1:10">
      <c r="A5808" s="33" t="s">
        <v>109</v>
      </c>
      <c r="B5808" s="34">
        <v>329.1</v>
      </c>
      <c r="C5808" s="35">
        <v>31339.8</v>
      </c>
      <c r="D5808" s="33" t="s">
        <v>286</v>
      </c>
      <c r="E5808" s="34">
        <v>329.23899999999998</v>
      </c>
      <c r="F5808" s="36">
        <v>0.13899999999995299</v>
      </c>
      <c r="G5808" s="34">
        <v>0.13899999999995299</v>
      </c>
      <c r="H5808" s="35">
        <v>1.5</v>
      </c>
      <c r="I5808" s="37">
        <f t="shared" si="90"/>
        <v>4.7862462427966995E-5</v>
      </c>
      <c r="J5808" s="33"/>
    </row>
    <row r="5809" spans="1:10">
      <c r="A5809" s="33" t="s">
        <v>109</v>
      </c>
      <c r="B5809" s="34">
        <v>329.1</v>
      </c>
      <c r="C5809" s="35">
        <v>31339.8</v>
      </c>
      <c r="D5809" s="33" t="s">
        <v>193</v>
      </c>
      <c r="E5809" s="34">
        <v>329.24900000000002</v>
      </c>
      <c r="F5809" s="36">
        <v>0.14900000000000099</v>
      </c>
      <c r="G5809" s="34">
        <v>0.14900000000000099</v>
      </c>
      <c r="H5809" s="35">
        <v>10</v>
      </c>
      <c r="I5809" s="37">
        <f t="shared" si="90"/>
        <v>3.1908308285311332E-4</v>
      </c>
      <c r="J5809" s="33"/>
    </row>
    <row r="5810" spans="1:10">
      <c r="A5810" s="33" t="s">
        <v>109</v>
      </c>
      <c r="B5810" s="34">
        <v>329.1</v>
      </c>
      <c r="C5810" s="35">
        <v>31339.8</v>
      </c>
      <c r="D5810" s="33" t="s">
        <v>271</v>
      </c>
      <c r="E5810" s="34">
        <v>329.25200000000001</v>
      </c>
      <c r="F5810" s="36">
        <v>0.15199999999998701</v>
      </c>
      <c r="G5810" s="34">
        <v>0.15199999999998701</v>
      </c>
      <c r="H5810" s="35">
        <v>3530.5</v>
      </c>
      <c r="I5810" s="37">
        <f t="shared" si="90"/>
        <v>0.11265228240129165</v>
      </c>
      <c r="J5810" s="33"/>
    </row>
    <row r="5811" spans="1:10">
      <c r="A5811" s="33" t="s">
        <v>109</v>
      </c>
      <c r="B5811" s="34">
        <v>336.26100000000002</v>
      </c>
      <c r="C5811" s="35">
        <v>46888.4</v>
      </c>
      <c r="D5811" s="33" t="s">
        <v>278</v>
      </c>
      <c r="E5811" s="34">
        <v>336.15</v>
      </c>
      <c r="F5811" s="36">
        <v>0.11100000000004701</v>
      </c>
      <c r="G5811" s="34">
        <v>0.11100000000004701</v>
      </c>
      <c r="H5811" s="35">
        <v>129.1</v>
      </c>
      <c r="I5811" s="37">
        <f t="shared" si="90"/>
        <v>2.7533462434205474E-3</v>
      </c>
      <c r="J5811" s="33"/>
    </row>
    <row r="5812" spans="1:10">
      <c r="A5812" s="33" t="s">
        <v>109</v>
      </c>
      <c r="B5812" s="34">
        <v>336.26100000000002</v>
      </c>
      <c r="C5812" s="35">
        <v>46888.4</v>
      </c>
      <c r="D5812" s="33" t="s">
        <v>54</v>
      </c>
      <c r="E5812" s="34">
        <v>336.15499999999997</v>
      </c>
      <c r="F5812" s="36">
        <v>0.106000000000051</v>
      </c>
      <c r="G5812" s="34">
        <v>0.106000000000051</v>
      </c>
      <c r="H5812" s="35">
        <v>46.1</v>
      </c>
      <c r="I5812" s="37">
        <f t="shared" si="90"/>
        <v>9.8318560667457204E-4</v>
      </c>
      <c r="J5812" s="33"/>
    </row>
    <row r="5813" spans="1:10">
      <c r="A5813" s="33" t="s">
        <v>109</v>
      </c>
      <c r="B5813" s="34">
        <v>336.26100000000002</v>
      </c>
      <c r="C5813" s="35">
        <v>46888.4</v>
      </c>
      <c r="D5813" s="33" t="s">
        <v>165</v>
      </c>
      <c r="E5813" s="34">
        <v>336.15499999999997</v>
      </c>
      <c r="F5813" s="36">
        <v>0.106000000000051</v>
      </c>
      <c r="G5813" s="34">
        <v>0.106000000000051</v>
      </c>
      <c r="H5813" s="35">
        <v>274.5</v>
      </c>
      <c r="I5813" s="37">
        <f t="shared" si="90"/>
        <v>5.8543264432140999E-3</v>
      </c>
      <c r="J5813" s="33"/>
    </row>
    <row r="5814" spans="1:10">
      <c r="A5814" s="33" t="s">
        <v>109</v>
      </c>
      <c r="B5814" s="34">
        <v>336.26100000000002</v>
      </c>
      <c r="C5814" s="35">
        <v>46888.4</v>
      </c>
      <c r="D5814" s="33" t="s">
        <v>271</v>
      </c>
      <c r="E5814" s="34">
        <v>336.16199999999998</v>
      </c>
      <c r="F5814" s="36">
        <v>9.9000000000046398E-2</v>
      </c>
      <c r="G5814" s="34">
        <v>9.9000000000046398E-2</v>
      </c>
      <c r="H5814" s="35">
        <v>1085</v>
      </c>
      <c r="I5814" s="37">
        <f t="shared" si="90"/>
        <v>2.3140051697221487E-2</v>
      </c>
      <c r="J5814" s="33"/>
    </row>
    <row r="5815" spans="1:10">
      <c r="A5815" s="33" t="s">
        <v>109</v>
      </c>
      <c r="B5815" s="34">
        <v>336.26100000000002</v>
      </c>
      <c r="C5815" s="35">
        <v>46888.4</v>
      </c>
      <c r="D5815" s="33" t="s">
        <v>193</v>
      </c>
      <c r="E5815" s="34">
        <v>336.16399999999999</v>
      </c>
      <c r="F5815" s="36">
        <v>9.7000000000036807E-2</v>
      </c>
      <c r="G5815" s="34">
        <v>9.7000000000036807E-2</v>
      </c>
      <c r="H5815" s="35">
        <v>35.299999999999997</v>
      </c>
      <c r="I5815" s="37">
        <f t="shared" si="90"/>
        <v>7.5285145153172208E-4</v>
      </c>
      <c r="J5815" s="33"/>
    </row>
    <row r="5816" spans="1:10">
      <c r="A5816" s="33" t="s">
        <v>109</v>
      </c>
      <c r="B5816" s="34">
        <v>336.26100000000002</v>
      </c>
      <c r="C5816" s="35">
        <v>46888.4</v>
      </c>
      <c r="D5816" s="33" t="s">
        <v>84</v>
      </c>
      <c r="E5816" s="34">
        <v>336.16699999999997</v>
      </c>
      <c r="F5816" s="36">
        <v>9.4000000000050904E-2</v>
      </c>
      <c r="G5816" s="34">
        <v>9.4000000000050904E-2</v>
      </c>
      <c r="H5816" s="35">
        <v>576.5</v>
      </c>
      <c r="I5816" s="37">
        <f t="shared" si="90"/>
        <v>1.2295151892578975E-2</v>
      </c>
      <c r="J5816" s="33" t="s">
        <v>116</v>
      </c>
    </row>
    <row r="5817" spans="1:10">
      <c r="A5817" s="33" t="s">
        <v>109</v>
      </c>
      <c r="B5817" s="34">
        <v>336.26100000000002</v>
      </c>
      <c r="C5817" s="35">
        <v>46888.4</v>
      </c>
      <c r="D5817" s="33" t="s">
        <v>277</v>
      </c>
      <c r="E5817" s="34">
        <v>336.17200000000003</v>
      </c>
      <c r="F5817" s="36">
        <v>8.8999999999998594E-2</v>
      </c>
      <c r="G5817" s="34">
        <v>8.8999999999998594E-2</v>
      </c>
      <c r="H5817" s="35">
        <v>168.6</v>
      </c>
      <c r="I5817" s="37">
        <f t="shared" si="90"/>
        <v>3.5957720886189331E-3</v>
      </c>
      <c r="J5817" s="33"/>
    </row>
    <row r="5818" spans="1:10">
      <c r="A5818" s="33" t="s">
        <v>109</v>
      </c>
      <c r="B5818" s="34">
        <v>336.26100000000002</v>
      </c>
      <c r="C5818" s="35">
        <v>46888.4</v>
      </c>
      <c r="D5818" s="33" t="s">
        <v>25</v>
      </c>
      <c r="E5818" s="34">
        <v>336.17599999999999</v>
      </c>
      <c r="F5818" s="36">
        <v>8.5000000000036394E-2</v>
      </c>
      <c r="G5818" s="34">
        <v>8.5000000000036394E-2</v>
      </c>
      <c r="H5818" s="35">
        <v>435.3</v>
      </c>
      <c r="I5818" s="37">
        <f t="shared" si="90"/>
        <v>9.2837460864520858E-3</v>
      </c>
      <c r="J5818" s="33" t="s">
        <v>116</v>
      </c>
    </row>
    <row r="5819" spans="1:10">
      <c r="A5819" s="33" t="s">
        <v>109</v>
      </c>
      <c r="B5819" s="34">
        <v>336.26100000000002</v>
      </c>
      <c r="C5819" s="35">
        <v>46888.4</v>
      </c>
      <c r="D5819" s="33" t="s">
        <v>239</v>
      </c>
      <c r="E5819" s="34">
        <v>336.17700000000002</v>
      </c>
      <c r="F5819" s="36">
        <v>8.4000000000003197E-2</v>
      </c>
      <c r="G5819" s="34">
        <v>8.4000000000003197E-2</v>
      </c>
      <c r="H5819" s="35">
        <v>381.4</v>
      </c>
      <c r="I5819" s="37">
        <f t="shared" si="90"/>
        <v>8.1342080343965659E-3</v>
      </c>
      <c r="J5819" s="33"/>
    </row>
    <row r="5820" spans="1:10">
      <c r="A5820" s="33" t="s">
        <v>109</v>
      </c>
      <c r="B5820" s="34">
        <v>336.26100000000002</v>
      </c>
      <c r="C5820" s="35">
        <v>46888.4</v>
      </c>
      <c r="D5820" s="33" t="s">
        <v>238</v>
      </c>
      <c r="E5820" s="34">
        <v>336.19099999999997</v>
      </c>
      <c r="F5820" s="36">
        <v>7.0000000000049994E-2</v>
      </c>
      <c r="G5820" s="34">
        <v>7.0000000000049994E-2</v>
      </c>
      <c r="H5820" s="35">
        <v>49.4</v>
      </c>
      <c r="I5820" s="37">
        <f t="shared" si="90"/>
        <v>1.0535654874126649E-3</v>
      </c>
      <c r="J5820" s="33"/>
    </row>
    <row r="5821" spans="1:10">
      <c r="A5821" s="33" t="s">
        <v>109</v>
      </c>
      <c r="B5821" s="34">
        <v>336.26100000000002</v>
      </c>
      <c r="C5821" s="35">
        <v>46888.4</v>
      </c>
      <c r="D5821" s="33" t="s">
        <v>184</v>
      </c>
      <c r="E5821" s="34">
        <v>336.19299999999998</v>
      </c>
      <c r="F5821" s="36">
        <v>6.80000000000405E-2</v>
      </c>
      <c r="G5821" s="34">
        <v>6.80000000000405E-2</v>
      </c>
      <c r="H5821" s="35">
        <v>37163.800000000003</v>
      </c>
      <c r="I5821" s="37">
        <f t="shared" si="90"/>
        <v>0.79260115508313356</v>
      </c>
      <c r="J5821" s="33"/>
    </row>
    <row r="5822" spans="1:10">
      <c r="A5822" s="33" t="s">
        <v>109</v>
      </c>
      <c r="B5822" s="34">
        <v>336.26100000000002</v>
      </c>
      <c r="C5822" s="35">
        <v>46888.4</v>
      </c>
      <c r="D5822" s="33" t="s">
        <v>116</v>
      </c>
      <c r="E5822" s="34">
        <v>336.19900000000001</v>
      </c>
      <c r="F5822" s="36">
        <v>6.2000000000011803E-2</v>
      </c>
      <c r="G5822" s="34">
        <v>6.2000000000011803E-2</v>
      </c>
      <c r="H5822" s="35">
        <v>2215.8000000000002</v>
      </c>
      <c r="I5822" s="37">
        <f t="shared" si="90"/>
        <v>4.7256890830141361E-2</v>
      </c>
      <c r="J5822" s="33" t="s">
        <v>116</v>
      </c>
    </row>
    <row r="5823" spans="1:10">
      <c r="A5823" s="33" t="s">
        <v>109</v>
      </c>
      <c r="B5823" s="34">
        <v>336.26100000000002</v>
      </c>
      <c r="C5823" s="35">
        <v>46888.4</v>
      </c>
      <c r="D5823" s="33" t="s">
        <v>268</v>
      </c>
      <c r="E5823" s="34">
        <v>336.2</v>
      </c>
      <c r="F5823" s="36">
        <v>6.1000000000035498E-2</v>
      </c>
      <c r="G5823" s="34">
        <v>6.1000000000035498E-2</v>
      </c>
      <c r="H5823" s="35">
        <v>20.2</v>
      </c>
      <c r="I5823" s="37">
        <f t="shared" si="90"/>
        <v>4.3081017906347835E-4</v>
      </c>
      <c r="J5823" s="33"/>
    </row>
    <row r="5824" spans="1:10">
      <c r="A5824" s="33" t="s">
        <v>109</v>
      </c>
      <c r="B5824" s="34">
        <v>336.26100000000002</v>
      </c>
      <c r="C5824" s="35">
        <v>46888.4</v>
      </c>
      <c r="D5824" s="33" t="s">
        <v>282</v>
      </c>
      <c r="E5824" s="34">
        <v>336.21800000000002</v>
      </c>
      <c r="F5824" s="36">
        <v>4.3000000000006401E-2</v>
      </c>
      <c r="G5824" s="34">
        <v>4.3000000000006401E-2</v>
      </c>
      <c r="H5824" s="35">
        <v>12.7</v>
      </c>
      <c r="I5824" s="37">
        <f t="shared" si="90"/>
        <v>2.7085590465872155E-4</v>
      </c>
      <c r="J5824" s="33"/>
    </row>
    <row r="5825" spans="1:10">
      <c r="A5825" s="33" t="s">
        <v>109</v>
      </c>
      <c r="B5825" s="34">
        <v>336.26100000000002</v>
      </c>
      <c r="C5825" s="35">
        <v>46888.4</v>
      </c>
      <c r="D5825" s="33" t="s">
        <v>239</v>
      </c>
      <c r="E5825" s="34">
        <v>336.22199999999998</v>
      </c>
      <c r="F5825" s="36">
        <v>3.9000000000044097E-2</v>
      </c>
      <c r="G5825" s="34">
        <v>3.9000000000044097E-2</v>
      </c>
      <c r="H5825" s="35">
        <v>13.9</v>
      </c>
      <c r="I5825" s="37">
        <f t="shared" si="90"/>
        <v>2.9644858856348266E-4</v>
      </c>
      <c r="J5825" s="33"/>
    </row>
    <row r="5826" spans="1:10">
      <c r="A5826" s="33" t="s">
        <v>109</v>
      </c>
      <c r="B5826" s="34">
        <v>336.26100000000002</v>
      </c>
      <c r="C5826" s="35">
        <v>46888.4</v>
      </c>
      <c r="D5826" s="33" t="s">
        <v>36</v>
      </c>
      <c r="E5826" s="34">
        <v>336.22399999999999</v>
      </c>
      <c r="F5826" s="36">
        <v>3.7000000000034602E-2</v>
      </c>
      <c r="G5826" s="34">
        <v>3.7000000000034602E-2</v>
      </c>
      <c r="H5826" s="35">
        <v>31917.1</v>
      </c>
      <c r="I5826" s="37">
        <f t="shared" ref="I5826:I5889" si="91">H5826/C5826</f>
        <v>0.6807035428805418</v>
      </c>
      <c r="J5826" s="33" t="s">
        <v>116</v>
      </c>
    </row>
    <row r="5827" spans="1:10">
      <c r="A5827" s="33" t="s">
        <v>109</v>
      </c>
      <c r="B5827" s="34">
        <v>336.26100000000002</v>
      </c>
      <c r="C5827" s="35">
        <v>46888.4</v>
      </c>
      <c r="D5827" s="33" t="s">
        <v>275</v>
      </c>
      <c r="E5827" s="34">
        <v>336.23599999999999</v>
      </c>
      <c r="F5827" s="36">
        <v>2.5000000000034099E-2</v>
      </c>
      <c r="G5827" s="34">
        <v>2.5000000000034099E-2</v>
      </c>
      <c r="H5827" s="35">
        <v>19.2</v>
      </c>
      <c r="I5827" s="37">
        <f t="shared" si="91"/>
        <v>4.0948294247617747E-4</v>
      </c>
      <c r="J5827" s="33"/>
    </row>
    <row r="5828" spans="1:10">
      <c r="A5828" s="33" t="s">
        <v>109</v>
      </c>
      <c r="B5828" s="34">
        <v>336.26100000000002</v>
      </c>
      <c r="C5828" s="35">
        <v>46888.4</v>
      </c>
      <c r="D5828" s="33" t="s">
        <v>63</v>
      </c>
      <c r="E5828" s="34">
        <v>336.24400000000003</v>
      </c>
      <c r="F5828" s="36">
        <v>1.69999999999959E-2</v>
      </c>
      <c r="G5828" s="34">
        <v>1.69999999999959E-2</v>
      </c>
      <c r="H5828" s="35">
        <v>34.200000000000003</v>
      </c>
      <c r="I5828" s="37">
        <f t="shared" si="91"/>
        <v>7.2939149128569119E-4</v>
      </c>
      <c r="J5828" s="33" t="s">
        <v>116</v>
      </c>
    </row>
    <row r="5829" spans="1:10">
      <c r="A5829" s="33" t="s">
        <v>109</v>
      </c>
      <c r="B5829" s="34">
        <v>336.26100000000002</v>
      </c>
      <c r="C5829" s="35">
        <v>46888.4</v>
      </c>
      <c r="D5829" s="33" t="s">
        <v>193</v>
      </c>
      <c r="E5829" s="34">
        <v>336.25099999999998</v>
      </c>
      <c r="F5829" s="36">
        <v>1.0000000000047801E-2</v>
      </c>
      <c r="G5829" s="34">
        <v>1.0000000000047801E-2</v>
      </c>
      <c r="H5829" s="35">
        <v>9.4</v>
      </c>
      <c r="I5829" s="37">
        <f t="shared" si="91"/>
        <v>2.0047602392062855E-4</v>
      </c>
      <c r="J5829" s="33"/>
    </row>
    <row r="5830" spans="1:10">
      <c r="A5830" s="33" t="s">
        <v>109</v>
      </c>
      <c r="B5830" s="34">
        <v>336.26100000000002</v>
      </c>
      <c r="C5830" s="35">
        <v>46888.4</v>
      </c>
      <c r="D5830" s="33" t="s">
        <v>271</v>
      </c>
      <c r="E5830" s="34">
        <v>336.25200000000001</v>
      </c>
      <c r="F5830" s="36">
        <v>9.0000000000145502E-3</v>
      </c>
      <c r="G5830" s="34">
        <v>9.0000000000145502E-3</v>
      </c>
      <c r="H5830" s="35">
        <v>444.9</v>
      </c>
      <c r="I5830" s="37">
        <f t="shared" si="91"/>
        <v>9.4884875576901739E-3</v>
      </c>
      <c r="J5830" s="33"/>
    </row>
    <row r="5831" spans="1:10">
      <c r="A5831" s="33" t="s">
        <v>109</v>
      </c>
      <c r="B5831" s="34">
        <v>336.26100000000002</v>
      </c>
      <c r="C5831" s="35">
        <v>46888.4</v>
      </c>
      <c r="D5831" s="33" t="s">
        <v>237</v>
      </c>
      <c r="E5831" s="34">
        <v>336.26400000000001</v>
      </c>
      <c r="F5831" s="36">
        <v>2.9999999999858998E-3</v>
      </c>
      <c r="G5831" s="34">
        <v>2.9999999999858998E-3</v>
      </c>
      <c r="H5831" s="35">
        <v>90.3</v>
      </c>
      <c r="I5831" s="37">
        <f t="shared" si="91"/>
        <v>1.925849463833272E-3</v>
      </c>
      <c r="J5831" s="33"/>
    </row>
    <row r="5832" spans="1:10">
      <c r="A5832" s="33" t="s">
        <v>109</v>
      </c>
      <c r="B5832" s="34">
        <v>336.26100000000002</v>
      </c>
      <c r="C5832" s="35">
        <v>46888.4</v>
      </c>
      <c r="D5832" s="33" t="s">
        <v>236</v>
      </c>
      <c r="E5832" s="34">
        <v>336.27</v>
      </c>
      <c r="F5832" s="36">
        <v>8.9999999999577102E-3</v>
      </c>
      <c r="G5832" s="34">
        <v>8.9999999999577102E-3</v>
      </c>
      <c r="H5832" s="35">
        <v>591</v>
      </c>
      <c r="I5832" s="37">
        <f t="shared" si="91"/>
        <v>1.2604396823094837E-2</v>
      </c>
      <c r="J5832" s="33"/>
    </row>
    <row r="5833" spans="1:10">
      <c r="A5833" s="33" t="s">
        <v>109</v>
      </c>
      <c r="B5833" s="34">
        <v>336.26100000000002</v>
      </c>
      <c r="C5833" s="35">
        <v>46888.4</v>
      </c>
      <c r="D5833" s="33" t="s">
        <v>279</v>
      </c>
      <c r="E5833" s="34">
        <v>336.27499999999998</v>
      </c>
      <c r="F5833" s="36">
        <v>1.3999999999953199E-2</v>
      </c>
      <c r="G5833" s="34">
        <v>1.3999999999953199E-2</v>
      </c>
      <c r="H5833" s="35">
        <v>7.2</v>
      </c>
      <c r="I5833" s="37">
        <f t="shared" si="91"/>
        <v>1.5355610342856655E-4</v>
      </c>
      <c r="J5833" s="33"/>
    </row>
    <row r="5834" spans="1:10">
      <c r="A5834" s="33" t="s">
        <v>109</v>
      </c>
      <c r="B5834" s="34">
        <v>336.26100000000002</v>
      </c>
      <c r="C5834" s="35">
        <v>46888.4</v>
      </c>
      <c r="D5834" s="33" t="s">
        <v>54</v>
      </c>
      <c r="E5834" s="34">
        <v>336.279</v>
      </c>
      <c r="F5834" s="36">
        <v>1.7999999999972299E-2</v>
      </c>
      <c r="G5834" s="34">
        <v>1.7999999999972299E-2</v>
      </c>
      <c r="H5834" s="35">
        <v>47.3</v>
      </c>
      <c r="I5834" s="37">
        <f t="shared" si="91"/>
        <v>1.0087782905793331E-3</v>
      </c>
      <c r="J5834" s="33"/>
    </row>
    <row r="5835" spans="1:10">
      <c r="A5835" s="33" t="s">
        <v>109</v>
      </c>
      <c r="B5835" s="34">
        <v>336.26100000000002</v>
      </c>
      <c r="C5835" s="35">
        <v>46888.4</v>
      </c>
      <c r="D5835" s="33" t="s">
        <v>165</v>
      </c>
      <c r="E5835" s="34">
        <v>336.28</v>
      </c>
      <c r="F5835" s="36">
        <v>1.89999999999486E-2</v>
      </c>
      <c r="G5835" s="34">
        <v>1.89999999999486E-2</v>
      </c>
      <c r="H5835" s="35">
        <v>6.8</v>
      </c>
      <c r="I5835" s="37">
        <f t="shared" si="91"/>
        <v>1.4502520879364618E-4</v>
      </c>
      <c r="J5835" s="33"/>
    </row>
    <row r="5836" spans="1:10">
      <c r="A5836" s="33" t="s">
        <v>109</v>
      </c>
      <c r="B5836" s="34">
        <v>336.26100000000002</v>
      </c>
      <c r="C5836" s="35">
        <v>46888.4</v>
      </c>
      <c r="D5836" s="33" t="s">
        <v>275</v>
      </c>
      <c r="E5836" s="34">
        <v>336.3</v>
      </c>
      <c r="F5836" s="36">
        <v>3.8999999999987302E-2</v>
      </c>
      <c r="G5836" s="34">
        <v>3.8999999999987302E-2</v>
      </c>
      <c r="H5836" s="35">
        <v>106.4</v>
      </c>
      <c r="I5836" s="37">
        <f t="shared" si="91"/>
        <v>2.2692179728888168E-3</v>
      </c>
      <c r="J5836" s="33"/>
    </row>
    <row r="5837" spans="1:10">
      <c r="A5837" s="33" t="s">
        <v>109</v>
      </c>
      <c r="B5837" s="34">
        <v>336.26100000000002</v>
      </c>
      <c r="C5837" s="35">
        <v>46888.4</v>
      </c>
      <c r="D5837" s="33" t="s">
        <v>240</v>
      </c>
      <c r="E5837" s="34">
        <v>336.30200000000002</v>
      </c>
      <c r="F5837" s="36">
        <v>4.0999999999996803E-2</v>
      </c>
      <c r="G5837" s="34">
        <v>4.0999999999996803E-2</v>
      </c>
      <c r="H5837" s="35">
        <v>4.0999999999999996</v>
      </c>
      <c r="I5837" s="37">
        <f t="shared" si="91"/>
        <v>8.7441670007933715E-5</v>
      </c>
      <c r="J5837" s="33"/>
    </row>
    <row r="5838" spans="1:10">
      <c r="A5838" s="33" t="s">
        <v>109</v>
      </c>
      <c r="B5838" s="34">
        <v>336.26100000000002</v>
      </c>
      <c r="C5838" s="35">
        <v>46888.4</v>
      </c>
      <c r="D5838" s="33" t="s">
        <v>271</v>
      </c>
      <c r="E5838" s="34">
        <v>336.30700000000002</v>
      </c>
      <c r="F5838" s="36">
        <v>4.5999999999992297E-2</v>
      </c>
      <c r="G5838" s="34">
        <v>4.5999999999992297E-2</v>
      </c>
      <c r="H5838" s="35">
        <v>302.5</v>
      </c>
      <c r="I5838" s="37">
        <f t="shared" si="91"/>
        <v>6.451489067658525E-3</v>
      </c>
      <c r="J5838" s="33"/>
    </row>
    <row r="5839" spans="1:10">
      <c r="A5839" s="33" t="s">
        <v>109</v>
      </c>
      <c r="B5839" s="34">
        <v>336.26100000000002</v>
      </c>
      <c r="C5839" s="35">
        <v>46888.4</v>
      </c>
      <c r="D5839" s="33" t="s">
        <v>84</v>
      </c>
      <c r="E5839" s="34">
        <v>336.32299999999998</v>
      </c>
      <c r="F5839" s="36">
        <v>6.1999999999955001E-2</v>
      </c>
      <c r="G5839" s="34">
        <v>6.1999999999955001E-2</v>
      </c>
      <c r="H5839" s="35">
        <v>16.399999999999999</v>
      </c>
      <c r="I5839" s="37">
        <f t="shared" si="91"/>
        <v>3.4976668003173486E-4</v>
      </c>
      <c r="J5839" s="33" t="s">
        <v>116</v>
      </c>
    </row>
    <row r="5840" spans="1:10">
      <c r="A5840" s="33" t="s">
        <v>109</v>
      </c>
      <c r="B5840" s="34">
        <v>336.26100000000002</v>
      </c>
      <c r="C5840" s="35">
        <v>46888.4</v>
      </c>
      <c r="D5840" s="33" t="s">
        <v>274</v>
      </c>
      <c r="E5840" s="34">
        <v>336.334</v>
      </c>
      <c r="F5840" s="36">
        <v>7.2999999999979095E-2</v>
      </c>
      <c r="G5840" s="34">
        <v>7.2999999999979095E-2</v>
      </c>
      <c r="H5840" s="35">
        <v>6.9</v>
      </c>
      <c r="I5840" s="37">
        <f t="shared" si="91"/>
        <v>1.4715793245237627E-4</v>
      </c>
      <c r="J5840" s="33"/>
    </row>
    <row r="5841" spans="1:10">
      <c r="A5841" s="33" t="s">
        <v>109</v>
      </c>
      <c r="B5841" s="34">
        <v>336.26100000000002</v>
      </c>
      <c r="C5841" s="35">
        <v>46888.4</v>
      </c>
      <c r="D5841" s="33" t="s">
        <v>184</v>
      </c>
      <c r="E5841" s="34">
        <v>336.34699999999998</v>
      </c>
      <c r="F5841" s="36">
        <v>8.5999999999955903E-2</v>
      </c>
      <c r="G5841" s="34">
        <v>8.5999999999955903E-2</v>
      </c>
      <c r="H5841" s="35">
        <v>133.5</v>
      </c>
      <c r="I5841" s="37">
        <f t="shared" si="91"/>
        <v>2.8471860844046714E-3</v>
      </c>
      <c r="J5841" s="33"/>
    </row>
    <row r="5842" spans="1:10">
      <c r="A5842" s="33" t="s">
        <v>109</v>
      </c>
      <c r="B5842" s="34">
        <v>336.26100000000002</v>
      </c>
      <c r="C5842" s="35">
        <v>46888.4</v>
      </c>
      <c r="D5842" s="33" t="s">
        <v>165</v>
      </c>
      <c r="E5842" s="34">
        <v>336.36</v>
      </c>
      <c r="F5842" s="36">
        <v>9.8999999999989499E-2</v>
      </c>
      <c r="G5842" s="34">
        <v>9.8999999999989499E-2</v>
      </c>
      <c r="H5842" s="35">
        <v>14.3</v>
      </c>
      <c r="I5842" s="37">
        <f t="shared" si="91"/>
        <v>3.0497948319840304E-4</v>
      </c>
      <c r="J5842" s="33"/>
    </row>
    <row r="5843" spans="1:10">
      <c r="A5843" s="33" t="s">
        <v>109</v>
      </c>
      <c r="B5843" s="34">
        <v>336.26100000000002</v>
      </c>
      <c r="C5843" s="35">
        <v>46888.4</v>
      </c>
      <c r="D5843" s="33" t="s">
        <v>63</v>
      </c>
      <c r="E5843" s="34">
        <v>336.36399999999998</v>
      </c>
      <c r="F5843" s="36">
        <v>0.102999999999952</v>
      </c>
      <c r="G5843" s="34">
        <v>0.102999999999952</v>
      </c>
      <c r="H5843" s="35">
        <v>16.8</v>
      </c>
      <c r="I5843" s="37">
        <f t="shared" si="91"/>
        <v>3.5829757466665529E-4</v>
      </c>
      <c r="J5843" s="33" t="s">
        <v>116</v>
      </c>
    </row>
    <row r="5844" spans="1:10">
      <c r="A5844" s="33" t="s">
        <v>109</v>
      </c>
      <c r="B5844" s="34">
        <v>336.26100000000002</v>
      </c>
      <c r="C5844" s="35">
        <v>46888.4</v>
      </c>
      <c r="D5844" s="33" t="s">
        <v>271</v>
      </c>
      <c r="E5844" s="34">
        <v>336.36799999999999</v>
      </c>
      <c r="F5844" s="36">
        <v>0.10699999999997099</v>
      </c>
      <c r="G5844" s="34">
        <v>0.10699999999997099</v>
      </c>
      <c r="H5844" s="35">
        <v>265.39999999999998</v>
      </c>
      <c r="I5844" s="37">
        <f t="shared" si="91"/>
        <v>5.6602485902696609E-3</v>
      </c>
      <c r="J5844" s="33"/>
    </row>
    <row r="5845" spans="1:10">
      <c r="A5845" s="33" t="s">
        <v>109</v>
      </c>
      <c r="B5845" s="34">
        <v>336.26100000000002</v>
      </c>
      <c r="C5845" s="35">
        <v>46888.4</v>
      </c>
      <c r="D5845" s="33" t="s">
        <v>239</v>
      </c>
      <c r="E5845" s="34">
        <v>336.37</v>
      </c>
      <c r="F5845" s="36">
        <v>0.10899999999998</v>
      </c>
      <c r="G5845" s="34">
        <v>0.10899999999998</v>
      </c>
      <c r="H5845" s="35">
        <v>62.3</v>
      </c>
      <c r="I5845" s="37">
        <f t="shared" si="91"/>
        <v>1.3286868393888466E-3</v>
      </c>
      <c r="J5845" s="33"/>
    </row>
    <row r="5846" spans="1:10">
      <c r="A5846" s="33" t="s">
        <v>109</v>
      </c>
      <c r="B5846" s="34">
        <v>336.26100000000002</v>
      </c>
      <c r="C5846" s="35">
        <v>46888.4</v>
      </c>
      <c r="D5846" s="33" t="s">
        <v>274</v>
      </c>
      <c r="E5846" s="34">
        <v>336.37200000000001</v>
      </c>
      <c r="F5846" s="36">
        <v>0.11099999999999</v>
      </c>
      <c r="G5846" s="34">
        <v>0.11099999999999</v>
      </c>
      <c r="H5846" s="35">
        <v>31.4</v>
      </c>
      <c r="I5846" s="37">
        <f t="shared" si="91"/>
        <v>6.6967522884124858E-4</v>
      </c>
      <c r="J5846" s="33"/>
    </row>
    <row r="5847" spans="1:10">
      <c r="A5847" s="33" t="s">
        <v>109</v>
      </c>
      <c r="B5847" s="34">
        <v>336.26100000000002</v>
      </c>
      <c r="C5847" s="35">
        <v>46888.4</v>
      </c>
      <c r="D5847" s="33" t="s">
        <v>54</v>
      </c>
      <c r="E5847" s="34">
        <v>336.37299999999999</v>
      </c>
      <c r="F5847" s="36">
        <v>0.111999999999966</v>
      </c>
      <c r="G5847" s="34">
        <v>0.111999999999966</v>
      </c>
      <c r="H5847" s="35">
        <v>13.9</v>
      </c>
      <c r="I5847" s="37">
        <f t="shared" si="91"/>
        <v>2.9644858856348266E-4</v>
      </c>
      <c r="J5847" s="33"/>
    </row>
    <row r="5848" spans="1:10">
      <c r="A5848" s="33" t="s">
        <v>109</v>
      </c>
      <c r="B5848" s="34">
        <v>336.26100000000002</v>
      </c>
      <c r="C5848" s="35">
        <v>46888.4</v>
      </c>
      <c r="D5848" s="33" t="s">
        <v>275</v>
      </c>
      <c r="E5848" s="34">
        <v>336.37799999999999</v>
      </c>
      <c r="F5848" s="36">
        <v>0.116999999999962</v>
      </c>
      <c r="G5848" s="34">
        <v>0.116999999999962</v>
      </c>
      <c r="H5848" s="35">
        <v>146.4</v>
      </c>
      <c r="I5848" s="37">
        <f t="shared" si="91"/>
        <v>3.1223074363808533E-3</v>
      </c>
      <c r="J5848" s="33"/>
    </row>
    <row r="5849" spans="1:10">
      <c r="A5849" s="33" t="s">
        <v>109</v>
      </c>
      <c r="B5849" s="34">
        <v>336.26100000000002</v>
      </c>
      <c r="C5849" s="35">
        <v>46888.4</v>
      </c>
      <c r="D5849" s="33" t="s">
        <v>236</v>
      </c>
      <c r="E5849" s="34">
        <v>336.38099999999997</v>
      </c>
      <c r="F5849" s="36">
        <v>0.119999999999948</v>
      </c>
      <c r="G5849" s="34">
        <v>0.119999999999948</v>
      </c>
      <c r="H5849" s="35">
        <v>1317.5</v>
      </c>
      <c r="I5849" s="37">
        <f t="shared" si="91"/>
        <v>2.8098634203768947E-2</v>
      </c>
      <c r="J5849" s="33"/>
    </row>
    <row r="5850" spans="1:10">
      <c r="A5850" s="33" t="s">
        <v>109</v>
      </c>
      <c r="B5850" s="34">
        <v>336.26100000000002</v>
      </c>
      <c r="C5850" s="35">
        <v>46888.4</v>
      </c>
      <c r="D5850" s="33" t="s">
        <v>165</v>
      </c>
      <c r="E5850" s="34">
        <v>336.38900000000001</v>
      </c>
      <c r="F5850" s="36">
        <v>0.12799999999998601</v>
      </c>
      <c r="G5850" s="34">
        <v>0.12799999999998601</v>
      </c>
      <c r="H5850" s="35">
        <v>1.6</v>
      </c>
      <c r="I5850" s="37">
        <f t="shared" si="91"/>
        <v>3.4123578539681458E-5</v>
      </c>
      <c r="J5850" s="33"/>
    </row>
    <row r="5851" spans="1:10">
      <c r="A5851" s="33" t="s">
        <v>109</v>
      </c>
      <c r="B5851" s="34">
        <v>342.50799999999998</v>
      </c>
      <c r="C5851" s="35">
        <v>59096.3</v>
      </c>
      <c r="D5851" s="33" t="s">
        <v>36</v>
      </c>
      <c r="E5851" s="34">
        <v>342.38900000000001</v>
      </c>
      <c r="F5851" s="36">
        <v>0.118999999999971</v>
      </c>
      <c r="G5851" s="34">
        <v>0.118999999999971</v>
      </c>
      <c r="H5851" s="35">
        <v>5026.8999999999996</v>
      </c>
      <c r="I5851" s="37">
        <f t="shared" si="91"/>
        <v>8.5062855034917575E-2</v>
      </c>
      <c r="J5851" s="33" t="s">
        <v>116</v>
      </c>
    </row>
    <row r="5852" spans="1:10">
      <c r="A5852" s="33" t="s">
        <v>109</v>
      </c>
      <c r="B5852" s="34">
        <v>342.50799999999998</v>
      </c>
      <c r="C5852" s="35">
        <v>59096.3</v>
      </c>
      <c r="D5852" s="33" t="s">
        <v>271</v>
      </c>
      <c r="E5852" s="34">
        <v>342.39499999999998</v>
      </c>
      <c r="F5852" s="36">
        <v>0.113</v>
      </c>
      <c r="G5852" s="34">
        <v>0.113</v>
      </c>
      <c r="H5852" s="35">
        <v>47.9</v>
      </c>
      <c r="I5852" s="37">
        <f t="shared" si="91"/>
        <v>8.105414382964753E-4</v>
      </c>
      <c r="J5852" s="33"/>
    </row>
    <row r="5853" spans="1:10">
      <c r="A5853" s="33" t="s">
        <v>109</v>
      </c>
      <c r="B5853" s="34">
        <v>342.50799999999998</v>
      </c>
      <c r="C5853" s="35">
        <v>59096.3</v>
      </c>
      <c r="D5853" s="33" t="s">
        <v>97</v>
      </c>
      <c r="E5853" s="34">
        <v>342.428</v>
      </c>
      <c r="F5853" s="36">
        <v>7.9999999999984098E-2</v>
      </c>
      <c r="G5853" s="34">
        <v>7.9999999999984098E-2</v>
      </c>
      <c r="H5853" s="35">
        <v>35.9</v>
      </c>
      <c r="I5853" s="37">
        <f t="shared" si="91"/>
        <v>6.0748304039339178E-4</v>
      </c>
      <c r="J5853" s="33"/>
    </row>
    <row r="5854" spans="1:10">
      <c r="A5854" s="33" t="s">
        <v>109</v>
      </c>
      <c r="B5854" s="34">
        <v>342.50799999999998</v>
      </c>
      <c r="C5854" s="35">
        <v>59096.3</v>
      </c>
      <c r="D5854" s="33" t="s">
        <v>240</v>
      </c>
      <c r="E5854" s="34">
        <v>342.43700000000001</v>
      </c>
      <c r="F5854" s="36">
        <v>7.0999999999969504E-2</v>
      </c>
      <c r="G5854" s="34">
        <v>7.0999999999969504E-2</v>
      </c>
      <c r="H5854" s="35">
        <v>0.8</v>
      </c>
      <c r="I5854" s="37">
        <f t="shared" si="91"/>
        <v>1.3537226526872241E-5</v>
      </c>
      <c r="J5854" s="33"/>
    </row>
    <row r="5855" spans="1:10">
      <c r="A5855" s="33" t="s">
        <v>109</v>
      </c>
      <c r="B5855" s="34">
        <v>342.50799999999998</v>
      </c>
      <c r="C5855" s="35">
        <v>59096.3</v>
      </c>
      <c r="D5855" s="33" t="s">
        <v>282</v>
      </c>
      <c r="E5855" s="34">
        <v>342.43799999999999</v>
      </c>
      <c r="F5855" s="36">
        <v>6.9999999999993207E-2</v>
      </c>
      <c r="G5855" s="34">
        <v>6.9999999999993207E-2</v>
      </c>
      <c r="H5855" s="35">
        <v>34.799999999999997</v>
      </c>
      <c r="I5855" s="37">
        <f t="shared" si="91"/>
        <v>5.8886935391894244E-4</v>
      </c>
      <c r="J5855" s="33"/>
    </row>
    <row r="5856" spans="1:10">
      <c r="A5856" s="33" t="s">
        <v>109</v>
      </c>
      <c r="B5856" s="34">
        <v>342.50799999999998</v>
      </c>
      <c r="C5856" s="35">
        <v>59096.3</v>
      </c>
      <c r="D5856" s="33" t="s">
        <v>193</v>
      </c>
      <c r="E5856" s="34">
        <v>342.44400000000002</v>
      </c>
      <c r="F5856" s="36">
        <v>6.3999999999964502E-2</v>
      </c>
      <c r="G5856" s="34">
        <v>6.3999999999964502E-2</v>
      </c>
      <c r="H5856" s="35">
        <v>31.1</v>
      </c>
      <c r="I5856" s="37">
        <f t="shared" si="91"/>
        <v>5.2625968123215831E-4</v>
      </c>
      <c r="J5856" s="33"/>
    </row>
    <row r="5857" spans="1:10">
      <c r="A5857" s="33" t="s">
        <v>109</v>
      </c>
      <c r="B5857" s="34">
        <v>342.50799999999998</v>
      </c>
      <c r="C5857" s="35">
        <v>59096.3</v>
      </c>
      <c r="D5857" s="33" t="s">
        <v>274</v>
      </c>
      <c r="E5857" s="34">
        <v>342.44600000000003</v>
      </c>
      <c r="F5857" s="36">
        <v>6.1999999999955001E-2</v>
      </c>
      <c r="G5857" s="34">
        <v>6.1999999999955001E-2</v>
      </c>
      <c r="H5857" s="35">
        <v>32.5</v>
      </c>
      <c r="I5857" s="37">
        <f t="shared" si="91"/>
        <v>5.4994982765418476E-4</v>
      </c>
      <c r="J5857" s="33"/>
    </row>
    <row r="5858" spans="1:10">
      <c r="A5858" s="33" t="s">
        <v>109</v>
      </c>
      <c r="B5858" s="34">
        <v>342.50799999999998</v>
      </c>
      <c r="C5858" s="35">
        <v>59096.3</v>
      </c>
      <c r="D5858" s="33" t="s">
        <v>54</v>
      </c>
      <c r="E5858" s="34">
        <v>342.44900000000001</v>
      </c>
      <c r="F5858" s="36">
        <v>5.8999999999969098E-2</v>
      </c>
      <c r="G5858" s="34">
        <v>5.8999999999969098E-2</v>
      </c>
      <c r="H5858" s="35">
        <v>45.5</v>
      </c>
      <c r="I5858" s="37">
        <f t="shared" si="91"/>
        <v>7.6992975871585862E-4</v>
      </c>
      <c r="J5858" s="33"/>
    </row>
    <row r="5859" spans="1:10">
      <c r="A5859" s="33" t="s">
        <v>109</v>
      </c>
      <c r="B5859" s="34">
        <v>342.50799999999998</v>
      </c>
      <c r="C5859" s="35">
        <v>59096.3</v>
      </c>
      <c r="D5859" s="33" t="s">
        <v>277</v>
      </c>
      <c r="E5859" s="34">
        <v>342.45600000000002</v>
      </c>
      <c r="F5859" s="36">
        <v>5.1999999999964103E-2</v>
      </c>
      <c r="G5859" s="34">
        <v>5.1999999999964103E-2</v>
      </c>
      <c r="H5859" s="35">
        <v>500.8</v>
      </c>
      <c r="I5859" s="37">
        <f t="shared" si="91"/>
        <v>8.4743038058220227E-3</v>
      </c>
      <c r="J5859" s="33"/>
    </row>
    <row r="5860" spans="1:10">
      <c r="A5860" s="33" t="s">
        <v>109</v>
      </c>
      <c r="B5860" s="34">
        <v>342.50799999999998</v>
      </c>
      <c r="C5860" s="35">
        <v>59096.3</v>
      </c>
      <c r="D5860" s="33" t="s">
        <v>36</v>
      </c>
      <c r="E5860" s="34">
        <v>342.46</v>
      </c>
      <c r="F5860" s="36">
        <v>4.8000000000001798E-2</v>
      </c>
      <c r="G5860" s="34">
        <v>4.8000000000001798E-2</v>
      </c>
      <c r="H5860" s="35">
        <v>4193.5</v>
      </c>
      <c r="I5860" s="37">
        <f t="shared" si="91"/>
        <v>7.0960449300548428E-2</v>
      </c>
      <c r="J5860" s="33" t="s">
        <v>116</v>
      </c>
    </row>
    <row r="5861" spans="1:10">
      <c r="A5861" s="33" t="s">
        <v>109</v>
      </c>
      <c r="B5861" s="34">
        <v>342.50799999999998</v>
      </c>
      <c r="C5861" s="35">
        <v>59096.3</v>
      </c>
      <c r="D5861" s="33" t="s">
        <v>275</v>
      </c>
      <c r="E5861" s="34">
        <v>342.46</v>
      </c>
      <c r="F5861" s="36">
        <v>4.8000000000001798E-2</v>
      </c>
      <c r="G5861" s="34">
        <v>4.8000000000001798E-2</v>
      </c>
      <c r="H5861" s="35">
        <v>35.799999999999997</v>
      </c>
      <c r="I5861" s="37">
        <f t="shared" si="91"/>
        <v>6.0579088707753267E-4</v>
      </c>
      <c r="J5861" s="33"/>
    </row>
    <row r="5862" spans="1:10">
      <c r="A5862" s="33" t="s">
        <v>109</v>
      </c>
      <c r="B5862" s="34">
        <v>342.50799999999998</v>
      </c>
      <c r="C5862" s="35">
        <v>59096.3</v>
      </c>
      <c r="D5862" s="33" t="s">
        <v>279</v>
      </c>
      <c r="E5862" s="34">
        <v>342.46100000000001</v>
      </c>
      <c r="F5862" s="36">
        <v>4.6999999999968602E-2</v>
      </c>
      <c r="G5862" s="34">
        <v>4.6999999999968602E-2</v>
      </c>
      <c r="H5862" s="35">
        <v>529.4</v>
      </c>
      <c r="I5862" s="37">
        <f t="shared" si="91"/>
        <v>8.9582596541577051E-3</v>
      </c>
      <c r="J5862" s="33"/>
    </row>
    <row r="5863" spans="1:10">
      <c r="A5863" s="33" t="s">
        <v>109</v>
      </c>
      <c r="B5863" s="34">
        <v>342.50799999999998</v>
      </c>
      <c r="C5863" s="35">
        <v>59096.3</v>
      </c>
      <c r="D5863" s="33" t="s">
        <v>275</v>
      </c>
      <c r="E5863" s="34">
        <v>342.476</v>
      </c>
      <c r="F5863" s="36">
        <v>3.19999999999823E-2</v>
      </c>
      <c r="G5863" s="34">
        <v>3.19999999999823E-2</v>
      </c>
      <c r="H5863" s="35">
        <v>29.7</v>
      </c>
      <c r="I5863" s="37">
        <f t="shared" si="91"/>
        <v>5.0256953481013185E-4</v>
      </c>
      <c r="J5863" s="33"/>
    </row>
    <row r="5864" spans="1:10">
      <c r="A5864" s="33" t="s">
        <v>109</v>
      </c>
      <c r="B5864" s="34">
        <v>342.50799999999998</v>
      </c>
      <c r="C5864" s="35">
        <v>59096.3</v>
      </c>
      <c r="D5864" s="33" t="s">
        <v>270</v>
      </c>
      <c r="E5864" s="34">
        <v>342.47800000000001</v>
      </c>
      <c r="F5864" s="36">
        <v>2.9999999999972701E-2</v>
      </c>
      <c r="G5864" s="34">
        <v>2.9999999999972701E-2</v>
      </c>
      <c r="H5864" s="35">
        <v>453.1</v>
      </c>
      <c r="I5864" s="37">
        <f t="shared" si="91"/>
        <v>7.6671466741572653E-3</v>
      </c>
      <c r="J5864" s="33"/>
    </row>
    <row r="5865" spans="1:10">
      <c r="A5865" s="33" t="s">
        <v>109</v>
      </c>
      <c r="B5865" s="34">
        <v>342.50799999999998</v>
      </c>
      <c r="C5865" s="35">
        <v>59096.3</v>
      </c>
      <c r="D5865" s="33" t="s">
        <v>277</v>
      </c>
      <c r="E5865" s="34">
        <v>342.48099999999999</v>
      </c>
      <c r="F5865" s="36">
        <v>2.6999999999986798E-2</v>
      </c>
      <c r="G5865" s="34">
        <v>2.6999999999986798E-2</v>
      </c>
      <c r="H5865" s="35">
        <v>186.5</v>
      </c>
      <c r="I5865" s="37">
        <f t="shared" si="91"/>
        <v>3.1558659340770912E-3</v>
      </c>
      <c r="J5865" s="33"/>
    </row>
    <row r="5866" spans="1:10">
      <c r="A5866" s="33" t="s">
        <v>109</v>
      </c>
      <c r="B5866" s="34">
        <v>342.50799999999998</v>
      </c>
      <c r="C5866" s="35">
        <v>59096.3</v>
      </c>
      <c r="D5866" s="33" t="s">
        <v>236</v>
      </c>
      <c r="E5866" s="34">
        <v>342.48099999999999</v>
      </c>
      <c r="F5866" s="36">
        <v>2.6999999999986798E-2</v>
      </c>
      <c r="G5866" s="34">
        <v>2.6999999999986798E-2</v>
      </c>
      <c r="H5866" s="35">
        <v>1940.6</v>
      </c>
      <c r="I5866" s="37">
        <f t="shared" si="91"/>
        <v>3.2837927247560336E-2</v>
      </c>
      <c r="J5866" s="33"/>
    </row>
    <row r="5867" spans="1:10">
      <c r="A5867" s="33" t="s">
        <v>109</v>
      </c>
      <c r="B5867" s="34">
        <v>342.50799999999998</v>
      </c>
      <c r="C5867" s="35">
        <v>59096.3</v>
      </c>
      <c r="D5867" s="33" t="s">
        <v>278</v>
      </c>
      <c r="E5867" s="34">
        <v>342.49900000000002</v>
      </c>
      <c r="F5867" s="36">
        <v>8.9999999999577102E-3</v>
      </c>
      <c r="G5867" s="34">
        <v>8.9999999999577102E-3</v>
      </c>
      <c r="H5867" s="35">
        <v>29.8</v>
      </c>
      <c r="I5867" s="37">
        <f t="shared" si="91"/>
        <v>5.0426168812599096E-4</v>
      </c>
      <c r="J5867" s="33"/>
    </row>
    <row r="5868" spans="1:10">
      <c r="A5868" s="33" t="s">
        <v>109</v>
      </c>
      <c r="B5868" s="34">
        <v>342.50799999999998</v>
      </c>
      <c r="C5868" s="35">
        <v>59096.3</v>
      </c>
      <c r="D5868" s="33" t="s">
        <v>280</v>
      </c>
      <c r="E5868" s="34">
        <v>342.5</v>
      </c>
      <c r="F5868" s="36">
        <v>7.9999999999813606E-3</v>
      </c>
      <c r="G5868" s="34">
        <v>7.9999999999813606E-3</v>
      </c>
      <c r="H5868" s="35">
        <v>747.1</v>
      </c>
      <c r="I5868" s="37">
        <f t="shared" si="91"/>
        <v>1.2642077422782814E-2</v>
      </c>
      <c r="J5868" s="33"/>
    </row>
    <row r="5869" spans="1:10">
      <c r="A5869" s="33" t="s">
        <v>109</v>
      </c>
      <c r="B5869" s="34">
        <v>342.50799999999998</v>
      </c>
      <c r="C5869" s="35">
        <v>59096.3</v>
      </c>
      <c r="D5869" s="33" t="s">
        <v>97</v>
      </c>
      <c r="E5869" s="34">
        <v>342.50099999999998</v>
      </c>
      <c r="F5869" s="36">
        <v>7.0000000000049996E-3</v>
      </c>
      <c r="G5869" s="34">
        <v>7.0000000000049996E-3</v>
      </c>
      <c r="H5869" s="35">
        <v>13.6</v>
      </c>
      <c r="I5869" s="37">
        <f t="shared" si="91"/>
        <v>2.3013285095682809E-4</v>
      </c>
      <c r="J5869" s="33"/>
    </row>
    <row r="5870" spans="1:10">
      <c r="A5870" s="33" t="s">
        <v>109</v>
      </c>
      <c r="B5870" s="34">
        <v>342.50799999999998</v>
      </c>
      <c r="C5870" s="35">
        <v>59096.3</v>
      </c>
      <c r="D5870" s="33" t="s">
        <v>33</v>
      </c>
      <c r="E5870" s="34">
        <v>342.505</v>
      </c>
      <c r="F5870" s="36">
        <v>2.9999999999858998E-3</v>
      </c>
      <c r="G5870" s="34">
        <v>2.9999999999858998E-3</v>
      </c>
      <c r="H5870" s="35">
        <v>1519</v>
      </c>
      <c r="I5870" s="37">
        <f t="shared" si="91"/>
        <v>2.5703808867898664E-2</v>
      </c>
      <c r="J5870" s="33" t="s">
        <v>116</v>
      </c>
    </row>
    <row r="5871" spans="1:10">
      <c r="A5871" s="33" t="s">
        <v>109</v>
      </c>
      <c r="B5871" s="34">
        <v>342.50799999999998</v>
      </c>
      <c r="C5871" s="35">
        <v>59096.3</v>
      </c>
      <c r="D5871" s="33" t="s">
        <v>84</v>
      </c>
      <c r="E5871" s="34">
        <v>342.50900000000001</v>
      </c>
      <c r="F5871" s="36">
        <v>1.0000000000332E-3</v>
      </c>
      <c r="G5871" s="34">
        <v>1.0000000000332E-3</v>
      </c>
      <c r="H5871" s="35">
        <v>1760.2</v>
      </c>
      <c r="I5871" s="37">
        <f t="shared" si="91"/>
        <v>2.9785282665750645E-2</v>
      </c>
      <c r="J5871" s="33" t="s">
        <v>116</v>
      </c>
    </row>
    <row r="5872" spans="1:10">
      <c r="A5872" s="33" t="s">
        <v>109</v>
      </c>
      <c r="B5872" s="34">
        <v>342.50799999999998</v>
      </c>
      <c r="C5872" s="35">
        <v>59096.3</v>
      </c>
      <c r="D5872" s="33" t="s">
        <v>271</v>
      </c>
      <c r="E5872" s="34">
        <v>342.51900000000001</v>
      </c>
      <c r="F5872" s="36">
        <v>1.10000000000241E-2</v>
      </c>
      <c r="G5872" s="34">
        <v>1.10000000000241E-2</v>
      </c>
      <c r="H5872" s="35">
        <v>447.1</v>
      </c>
      <c r="I5872" s="37">
        <f t="shared" si="91"/>
        <v>7.5656174752057239E-3</v>
      </c>
      <c r="J5872" s="33"/>
    </row>
    <row r="5873" spans="1:10">
      <c r="A5873" s="33" t="s">
        <v>109</v>
      </c>
      <c r="B5873" s="34">
        <v>342.50799999999998</v>
      </c>
      <c r="C5873" s="35">
        <v>59096.3</v>
      </c>
      <c r="D5873" s="33" t="s">
        <v>27</v>
      </c>
      <c r="E5873" s="34">
        <v>342.52</v>
      </c>
      <c r="F5873" s="36">
        <v>1.20000000000005E-2</v>
      </c>
      <c r="G5873" s="34">
        <v>1.20000000000005E-2</v>
      </c>
      <c r="H5873" s="35">
        <v>367.8</v>
      </c>
      <c r="I5873" s="37">
        <f t="shared" si="91"/>
        <v>6.223739895729513E-3</v>
      </c>
      <c r="J5873" s="33" t="s">
        <v>116</v>
      </c>
    </row>
    <row r="5874" spans="1:10">
      <c r="A5874" s="33" t="s">
        <v>109</v>
      </c>
      <c r="B5874" s="34">
        <v>342.50799999999998</v>
      </c>
      <c r="C5874" s="35">
        <v>59096.3</v>
      </c>
      <c r="D5874" s="33" t="s">
        <v>94</v>
      </c>
      <c r="E5874" s="34">
        <v>342.53399999999999</v>
      </c>
      <c r="F5874" s="36">
        <v>2.6000000000010501E-2</v>
      </c>
      <c r="G5874" s="34">
        <v>2.6000000000010501E-2</v>
      </c>
      <c r="H5874" s="35">
        <v>11424</v>
      </c>
      <c r="I5874" s="37">
        <f t="shared" si="91"/>
        <v>0.19331159480373558</v>
      </c>
      <c r="J5874" s="33" t="s">
        <v>116</v>
      </c>
    </row>
    <row r="5875" spans="1:10">
      <c r="A5875" s="33" t="s">
        <v>109</v>
      </c>
      <c r="B5875" s="34">
        <v>342.50799999999998</v>
      </c>
      <c r="C5875" s="35">
        <v>59096.3</v>
      </c>
      <c r="D5875" s="33" t="s">
        <v>25</v>
      </c>
      <c r="E5875" s="34">
        <v>342.53500000000003</v>
      </c>
      <c r="F5875" s="36">
        <v>2.7000000000043701E-2</v>
      </c>
      <c r="G5875" s="34">
        <v>2.7000000000043701E-2</v>
      </c>
      <c r="H5875" s="35">
        <v>197.6</v>
      </c>
      <c r="I5875" s="37">
        <f t="shared" si="91"/>
        <v>3.343694952137443E-3</v>
      </c>
      <c r="J5875" s="33" t="s">
        <v>116</v>
      </c>
    </row>
    <row r="5876" spans="1:10">
      <c r="A5876" s="33" t="s">
        <v>109</v>
      </c>
      <c r="B5876" s="34">
        <v>342.50799999999998</v>
      </c>
      <c r="C5876" s="35">
        <v>59096.3</v>
      </c>
      <c r="D5876" s="33" t="s">
        <v>273</v>
      </c>
      <c r="E5876" s="34">
        <v>342.54199999999997</v>
      </c>
      <c r="F5876" s="36">
        <v>3.3999999999991801E-2</v>
      </c>
      <c r="G5876" s="34">
        <v>3.3999999999991801E-2</v>
      </c>
      <c r="H5876" s="35">
        <v>2705.6</v>
      </c>
      <c r="I5876" s="37">
        <f t="shared" si="91"/>
        <v>4.5782900113881912E-2</v>
      </c>
      <c r="J5876" s="33"/>
    </row>
    <row r="5877" spans="1:10">
      <c r="A5877" s="33" t="s">
        <v>109</v>
      </c>
      <c r="B5877" s="34">
        <v>342.50799999999998</v>
      </c>
      <c r="C5877" s="35">
        <v>59096.3</v>
      </c>
      <c r="D5877" s="33" t="s">
        <v>275</v>
      </c>
      <c r="E5877" s="34">
        <v>342.548</v>
      </c>
      <c r="F5877" s="36">
        <v>4.0000000000020498E-2</v>
      </c>
      <c r="G5877" s="34">
        <v>4.0000000000020498E-2</v>
      </c>
      <c r="H5877" s="35">
        <v>17.8</v>
      </c>
      <c r="I5877" s="37">
        <f t="shared" si="91"/>
        <v>3.0120329022290733E-4</v>
      </c>
      <c r="J5877" s="33"/>
    </row>
    <row r="5878" spans="1:10">
      <c r="A5878" s="33" t="s">
        <v>109</v>
      </c>
      <c r="B5878" s="34">
        <v>342.50799999999998</v>
      </c>
      <c r="C5878" s="35">
        <v>59096.3</v>
      </c>
      <c r="D5878" s="33" t="s">
        <v>109</v>
      </c>
      <c r="E5878" s="34">
        <v>342.56200000000001</v>
      </c>
      <c r="F5878" s="36">
        <v>5.4000000000030503E-2</v>
      </c>
      <c r="G5878" s="34">
        <v>5.4000000000030503E-2</v>
      </c>
      <c r="H5878" s="35">
        <v>8284.7000000000007</v>
      </c>
      <c r="I5878" s="37">
        <f t="shared" si="91"/>
        <v>0.14018982575897307</v>
      </c>
      <c r="J5878" s="33" t="s">
        <v>116</v>
      </c>
    </row>
    <row r="5879" spans="1:10">
      <c r="A5879" s="33" t="s">
        <v>109</v>
      </c>
      <c r="B5879" s="34">
        <v>342.50799999999998</v>
      </c>
      <c r="C5879" s="35">
        <v>59096.3</v>
      </c>
      <c r="D5879" s="33" t="s">
        <v>97</v>
      </c>
      <c r="E5879" s="34">
        <v>342.56700000000001</v>
      </c>
      <c r="F5879" s="36">
        <v>5.90000000000259E-2</v>
      </c>
      <c r="G5879" s="34">
        <v>5.90000000000259E-2</v>
      </c>
      <c r="H5879" s="35">
        <v>0.8</v>
      </c>
      <c r="I5879" s="37">
        <f t="shared" si="91"/>
        <v>1.3537226526872241E-5</v>
      </c>
      <c r="J5879" s="33"/>
    </row>
    <row r="5880" spans="1:10">
      <c r="A5880" s="33" t="s">
        <v>109</v>
      </c>
      <c r="B5880" s="34">
        <v>342.50799999999998</v>
      </c>
      <c r="C5880" s="35">
        <v>59096.3</v>
      </c>
      <c r="D5880" s="33" t="s">
        <v>85</v>
      </c>
      <c r="E5880" s="34">
        <v>342.58199999999999</v>
      </c>
      <c r="F5880" s="36">
        <v>7.4000000000012306E-2</v>
      </c>
      <c r="G5880" s="34">
        <v>7.4000000000012306E-2</v>
      </c>
      <c r="H5880" s="35">
        <v>25.3</v>
      </c>
      <c r="I5880" s="37">
        <f t="shared" si="91"/>
        <v>4.281147889123346E-4</v>
      </c>
      <c r="J5880" s="33" t="s">
        <v>116</v>
      </c>
    </row>
    <row r="5881" spans="1:10">
      <c r="A5881" s="33" t="s">
        <v>109</v>
      </c>
      <c r="B5881" s="34">
        <v>342.50799999999998</v>
      </c>
      <c r="C5881" s="35">
        <v>59096.3</v>
      </c>
      <c r="D5881" s="33" t="s">
        <v>273</v>
      </c>
      <c r="E5881" s="34">
        <v>342.58499999999998</v>
      </c>
      <c r="F5881" s="36">
        <v>7.6999999999998195E-2</v>
      </c>
      <c r="G5881" s="34">
        <v>7.6999999999998195E-2</v>
      </c>
      <c r="H5881" s="35">
        <v>40</v>
      </c>
      <c r="I5881" s="37">
        <f t="shared" si="91"/>
        <v>6.7686132634361203E-4</v>
      </c>
      <c r="J5881" s="33"/>
    </row>
    <row r="5882" spans="1:10">
      <c r="A5882" s="33" t="s">
        <v>109</v>
      </c>
      <c r="B5882" s="34">
        <v>342.50799999999998</v>
      </c>
      <c r="C5882" s="35">
        <v>59096.3</v>
      </c>
      <c r="D5882" s="33" t="s">
        <v>36</v>
      </c>
      <c r="E5882" s="34">
        <v>342.59300000000002</v>
      </c>
      <c r="F5882" s="36">
        <v>8.5000000000036394E-2</v>
      </c>
      <c r="G5882" s="34">
        <v>8.5000000000036394E-2</v>
      </c>
      <c r="H5882" s="35">
        <v>2074.5</v>
      </c>
      <c r="I5882" s="37">
        <f t="shared" si="91"/>
        <v>3.5103720537495581E-2</v>
      </c>
      <c r="J5882" s="33" t="s">
        <v>116</v>
      </c>
    </row>
    <row r="5883" spans="1:10">
      <c r="A5883" s="33" t="s">
        <v>109</v>
      </c>
      <c r="B5883" s="34">
        <v>342.50799999999998</v>
      </c>
      <c r="C5883" s="35">
        <v>59096.3</v>
      </c>
      <c r="D5883" s="33" t="s">
        <v>271</v>
      </c>
      <c r="E5883" s="34">
        <v>342.59399999999999</v>
      </c>
      <c r="F5883" s="36">
        <v>8.6000000000012705E-2</v>
      </c>
      <c r="G5883" s="34">
        <v>8.6000000000012705E-2</v>
      </c>
      <c r="H5883" s="35">
        <v>384.4</v>
      </c>
      <c r="I5883" s="37">
        <f t="shared" si="91"/>
        <v>6.5046373461621109E-3</v>
      </c>
      <c r="J5883" s="33"/>
    </row>
    <row r="5884" spans="1:10">
      <c r="A5884" s="33" t="s">
        <v>109</v>
      </c>
      <c r="B5884" s="34">
        <v>342.50799999999998</v>
      </c>
      <c r="C5884" s="35">
        <v>59096.3</v>
      </c>
      <c r="D5884" s="33" t="s">
        <v>275</v>
      </c>
      <c r="E5884" s="34">
        <v>342.6</v>
      </c>
      <c r="F5884" s="36">
        <v>9.2000000000041396E-2</v>
      </c>
      <c r="G5884" s="34">
        <v>9.2000000000041396E-2</v>
      </c>
      <c r="H5884" s="35">
        <v>13.9</v>
      </c>
      <c r="I5884" s="37">
        <f t="shared" si="91"/>
        <v>2.3520931090440517E-4</v>
      </c>
      <c r="J5884" s="33"/>
    </row>
    <row r="5885" spans="1:10">
      <c r="A5885" s="33" t="s">
        <v>109</v>
      </c>
      <c r="B5885" s="34">
        <v>342.50799999999998</v>
      </c>
      <c r="C5885" s="35">
        <v>59096.3</v>
      </c>
      <c r="D5885" s="33" t="s">
        <v>63</v>
      </c>
      <c r="E5885" s="34">
        <v>342.60399999999998</v>
      </c>
      <c r="F5885" s="36">
        <v>9.6000000000003596E-2</v>
      </c>
      <c r="G5885" s="34">
        <v>9.6000000000003596E-2</v>
      </c>
      <c r="H5885" s="35">
        <v>113.5</v>
      </c>
      <c r="I5885" s="37">
        <f t="shared" si="91"/>
        <v>1.9205940134999992E-3</v>
      </c>
      <c r="J5885" s="33" t="s">
        <v>116</v>
      </c>
    </row>
    <row r="5886" spans="1:10">
      <c r="A5886" s="33" t="s">
        <v>109</v>
      </c>
      <c r="B5886" s="34">
        <v>342.50799999999998</v>
      </c>
      <c r="C5886" s="35">
        <v>59096.3</v>
      </c>
      <c r="D5886" s="33" t="s">
        <v>239</v>
      </c>
      <c r="E5886" s="34">
        <v>342.61399999999998</v>
      </c>
      <c r="F5886" s="36">
        <v>0.105999999999995</v>
      </c>
      <c r="G5886" s="34">
        <v>0.105999999999995</v>
      </c>
      <c r="H5886" s="35">
        <v>7.4</v>
      </c>
      <c r="I5886" s="37">
        <f t="shared" si="91"/>
        <v>1.2521934537356821E-4</v>
      </c>
      <c r="J5886" s="33"/>
    </row>
    <row r="5887" spans="1:10">
      <c r="A5887" s="33" t="s">
        <v>109</v>
      </c>
      <c r="B5887" s="34">
        <v>342.50799999999998</v>
      </c>
      <c r="C5887" s="35">
        <v>59096.3</v>
      </c>
      <c r="D5887" s="33" t="s">
        <v>279</v>
      </c>
      <c r="E5887" s="34">
        <v>342.61900000000003</v>
      </c>
      <c r="F5887" s="36">
        <v>0.11100000000004701</v>
      </c>
      <c r="G5887" s="34">
        <v>0.11100000000004701</v>
      </c>
      <c r="H5887" s="35">
        <v>38.200000000000003</v>
      </c>
      <c r="I5887" s="37">
        <f t="shared" si="91"/>
        <v>6.4640256665814946E-4</v>
      </c>
      <c r="J5887" s="33"/>
    </row>
    <row r="5888" spans="1:10">
      <c r="A5888" s="33" t="s">
        <v>109</v>
      </c>
      <c r="B5888" s="34">
        <v>342.50799999999998</v>
      </c>
      <c r="C5888" s="35">
        <v>59096.3</v>
      </c>
      <c r="D5888" s="33" t="s">
        <v>25</v>
      </c>
      <c r="E5888" s="34">
        <v>342.62099999999998</v>
      </c>
      <c r="F5888" s="36">
        <v>0.113</v>
      </c>
      <c r="G5888" s="34">
        <v>0.113</v>
      </c>
      <c r="H5888" s="35">
        <v>1201.5</v>
      </c>
      <c r="I5888" s="37">
        <f t="shared" si="91"/>
        <v>2.0331222090046244E-2</v>
      </c>
      <c r="J5888" s="33" t="s">
        <v>116</v>
      </c>
    </row>
    <row r="5889" spans="1:10">
      <c r="A5889" s="33" t="s">
        <v>109</v>
      </c>
      <c r="B5889" s="34">
        <v>342.50799999999998</v>
      </c>
      <c r="C5889" s="35">
        <v>59096.3</v>
      </c>
      <c r="D5889" s="33" t="s">
        <v>270</v>
      </c>
      <c r="E5889" s="34">
        <v>342.62099999999998</v>
      </c>
      <c r="F5889" s="36">
        <v>0.113</v>
      </c>
      <c r="G5889" s="34">
        <v>0.113</v>
      </c>
      <c r="H5889" s="35">
        <v>660</v>
      </c>
      <c r="I5889" s="37">
        <f t="shared" si="91"/>
        <v>1.1168211884669599E-2</v>
      </c>
      <c r="J5889" s="33"/>
    </row>
    <row r="5890" spans="1:10">
      <c r="A5890" s="33" t="s">
        <v>109</v>
      </c>
      <c r="B5890" s="34">
        <v>342.50799999999998</v>
      </c>
      <c r="C5890" s="35">
        <v>59096.3</v>
      </c>
      <c r="D5890" s="33" t="s">
        <v>36</v>
      </c>
      <c r="E5890" s="34">
        <v>342.63400000000001</v>
      </c>
      <c r="F5890" s="36">
        <v>0.126000000000033</v>
      </c>
      <c r="G5890" s="34">
        <v>0.126000000000033</v>
      </c>
      <c r="H5890" s="35">
        <v>716.7</v>
      </c>
      <c r="I5890" s="37">
        <f t="shared" ref="I5890:I5953" si="92">H5890/C5890</f>
        <v>1.2127662814761669E-2</v>
      </c>
      <c r="J5890" s="33" t="s">
        <v>116</v>
      </c>
    </row>
    <row r="5891" spans="1:10">
      <c r="A5891" s="33" t="s">
        <v>109</v>
      </c>
      <c r="B5891" s="34">
        <v>346.22</v>
      </c>
      <c r="C5891" s="35">
        <v>32683.3</v>
      </c>
      <c r="D5891" s="33" t="s">
        <v>239</v>
      </c>
      <c r="E5891" s="34">
        <v>346.041</v>
      </c>
      <c r="F5891" s="36">
        <v>0.179000000000031</v>
      </c>
      <c r="G5891" s="34">
        <v>0.179000000000031</v>
      </c>
      <c r="H5891" s="35">
        <v>5.4</v>
      </c>
      <c r="I5891" s="37">
        <f t="shared" si="92"/>
        <v>1.6522199410708223E-4</v>
      </c>
      <c r="J5891" s="33"/>
    </row>
    <row r="5892" spans="1:10">
      <c r="A5892" s="33" t="s">
        <v>109</v>
      </c>
      <c r="B5892" s="34">
        <v>346.22</v>
      </c>
      <c r="C5892" s="35">
        <v>32683.3</v>
      </c>
      <c r="D5892" s="33" t="s">
        <v>279</v>
      </c>
      <c r="E5892" s="34">
        <v>346.04500000000002</v>
      </c>
      <c r="F5892" s="36">
        <v>0.17500000000001101</v>
      </c>
      <c r="G5892" s="34">
        <v>0.17500000000001101</v>
      </c>
      <c r="H5892" s="35">
        <v>1361.9</v>
      </c>
      <c r="I5892" s="37">
        <f t="shared" si="92"/>
        <v>4.1669598847117642E-2</v>
      </c>
      <c r="J5892" s="33"/>
    </row>
    <row r="5893" spans="1:10">
      <c r="A5893" s="33" t="s">
        <v>109</v>
      </c>
      <c r="B5893" s="34">
        <v>346.22</v>
      </c>
      <c r="C5893" s="35">
        <v>32683.3</v>
      </c>
      <c r="D5893" s="33" t="s">
        <v>184</v>
      </c>
      <c r="E5893" s="34">
        <v>346.06900000000002</v>
      </c>
      <c r="F5893" s="36">
        <v>0.15100000000001099</v>
      </c>
      <c r="G5893" s="34">
        <v>0.15100000000001099</v>
      </c>
      <c r="H5893" s="35">
        <v>14.9</v>
      </c>
      <c r="I5893" s="37">
        <f t="shared" si="92"/>
        <v>4.558903170732454E-4</v>
      </c>
      <c r="J5893" s="33"/>
    </row>
    <row r="5894" spans="1:10">
      <c r="A5894" s="33" t="s">
        <v>109</v>
      </c>
      <c r="B5894" s="34">
        <v>346.22</v>
      </c>
      <c r="C5894" s="35">
        <v>32683.3</v>
      </c>
      <c r="D5894" s="33" t="s">
        <v>285</v>
      </c>
      <c r="E5894" s="34">
        <v>346.07400000000001</v>
      </c>
      <c r="F5894" s="36">
        <v>0.14600000000001501</v>
      </c>
      <c r="G5894" s="34">
        <v>0.14600000000001501</v>
      </c>
      <c r="H5894" s="35">
        <v>1114.8</v>
      </c>
      <c r="I5894" s="37">
        <f t="shared" si="92"/>
        <v>3.410916278343986E-2</v>
      </c>
      <c r="J5894" s="33"/>
    </row>
    <row r="5895" spans="1:10">
      <c r="A5895" s="33" t="s">
        <v>109</v>
      </c>
      <c r="B5895" s="34">
        <v>346.22</v>
      </c>
      <c r="C5895" s="35">
        <v>32683.3</v>
      </c>
      <c r="D5895" s="33" t="s">
        <v>275</v>
      </c>
      <c r="E5895" s="34">
        <v>346.07799999999997</v>
      </c>
      <c r="F5895" s="36">
        <v>0.142000000000053</v>
      </c>
      <c r="G5895" s="34">
        <v>0.142000000000053</v>
      </c>
      <c r="H5895" s="35">
        <v>55</v>
      </c>
      <c r="I5895" s="37">
        <f t="shared" si="92"/>
        <v>1.6828166066462078E-3</v>
      </c>
      <c r="J5895" s="33"/>
    </row>
    <row r="5896" spans="1:10">
      <c r="A5896" s="33" t="s">
        <v>109</v>
      </c>
      <c r="B5896" s="34">
        <v>346.22</v>
      </c>
      <c r="C5896" s="35">
        <v>32683.3</v>
      </c>
      <c r="D5896" s="33" t="s">
        <v>33</v>
      </c>
      <c r="E5896" s="34">
        <v>346.09699999999998</v>
      </c>
      <c r="F5896" s="36">
        <v>0.123000000000047</v>
      </c>
      <c r="G5896" s="34">
        <v>0.123000000000047</v>
      </c>
      <c r="H5896" s="35">
        <v>5649.3</v>
      </c>
      <c r="I5896" s="37">
        <f t="shared" si="92"/>
        <v>0.17284974283502585</v>
      </c>
      <c r="J5896" s="33" t="s">
        <v>116</v>
      </c>
    </row>
    <row r="5897" spans="1:10">
      <c r="A5897" s="33" t="s">
        <v>109</v>
      </c>
      <c r="B5897" s="34">
        <v>346.22</v>
      </c>
      <c r="C5897" s="35">
        <v>32683.3</v>
      </c>
      <c r="D5897" s="33" t="s">
        <v>116</v>
      </c>
      <c r="E5897" s="34">
        <v>346.1</v>
      </c>
      <c r="F5897" s="36">
        <v>0.12000000000000501</v>
      </c>
      <c r="G5897" s="34">
        <v>0.12000000000000501</v>
      </c>
      <c r="H5897" s="35">
        <v>175.8</v>
      </c>
      <c r="I5897" s="37">
        <f t="shared" si="92"/>
        <v>5.3788938081527878E-3</v>
      </c>
      <c r="J5897" s="33" t="s">
        <v>116</v>
      </c>
    </row>
    <row r="5898" spans="1:10">
      <c r="A5898" s="33" t="s">
        <v>109</v>
      </c>
      <c r="B5898" s="34">
        <v>346.22</v>
      </c>
      <c r="C5898" s="35">
        <v>32683.3</v>
      </c>
      <c r="D5898" s="33" t="s">
        <v>287</v>
      </c>
      <c r="E5898" s="34">
        <v>346.108</v>
      </c>
      <c r="F5898" s="36">
        <v>0.112000000000023</v>
      </c>
      <c r="G5898" s="34">
        <v>0.112000000000023</v>
      </c>
      <c r="H5898" s="35">
        <v>2617</v>
      </c>
      <c r="I5898" s="37">
        <f t="shared" si="92"/>
        <v>8.0071473810784097E-2</v>
      </c>
      <c r="J5898" s="33"/>
    </row>
    <row r="5899" spans="1:10">
      <c r="A5899" s="33" t="s">
        <v>109</v>
      </c>
      <c r="B5899" s="34">
        <v>346.22</v>
      </c>
      <c r="C5899" s="35">
        <v>32683.3</v>
      </c>
      <c r="D5899" s="33" t="s">
        <v>236</v>
      </c>
      <c r="E5899" s="34">
        <v>346.10899999999998</v>
      </c>
      <c r="F5899" s="36">
        <v>0.11100000000004701</v>
      </c>
      <c r="G5899" s="34">
        <v>0.11100000000004701</v>
      </c>
      <c r="H5899" s="35">
        <v>27.6</v>
      </c>
      <c r="I5899" s="37">
        <f t="shared" si="92"/>
        <v>8.4446796988064249E-4</v>
      </c>
      <c r="J5899" s="33"/>
    </row>
    <row r="5900" spans="1:10">
      <c r="A5900" s="33" t="s">
        <v>109</v>
      </c>
      <c r="B5900" s="34">
        <v>346.22</v>
      </c>
      <c r="C5900" s="35">
        <v>32683.3</v>
      </c>
      <c r="D5900" s="33" t="s">
        <v>270</v>
      </c>
      <c r="E5900" s="34">
        <v>346.11099999999999</v>
      </c>
      <c r="F5900" s="36">
        <v>0.109000000000037</v>
      </c>
      <c r="G5900" s="34">
        <v>0.109000000000037</v>
      </c>
      <c r="H5900" s="35">
        <v>491.9</v>
      </c>
      <c r="I5900" s="37">
        <f t="shared" si="92"/>
        <v>1.5050499796532174E-2</v>
      </c>
      <c r="J5900" s="33"/>
    </row>
    <row r="5901" spans="1:10">
      <c r="A5901" s="33" t="s">
        <v>109</v>
      </c>
      <c r="B5901" s="34">
        <v>346.22</v>
      </c>
      <c r="C5901" s="35">
        <v>32683.3</v>
      </c>
      <c r="D5901" s="33" t="s">
        <v>109</v>
      </c>
      <c r="E5901" s="34">
        <v>346.11599999999999</v>
      </c>
      <c r="F5901" s="36">
        <v>0.104000000000042</v>
      </c>
      <c r="G5901" s="34">
        <v>0.104000000000042</v>
      </c>
      <c r="H5901" s="35">
        <v>345.6</v>
      </c>
      <c r="I5901" s="37">
        <f t="shared" si="92"/>
        <v>1.0574207622853262E-2</v>
      </c>
      <c r="J5901" s="33" t="s">
        <v>116</v>
      </c>
    </row>
    <row r="5902" spans="1:10">
      <c r="A5902" s="33" t="s">
        <v>109</v>
      </c>
      <c r="B5902" s="34">
        <v>346.22</v>
      </c>
      <c r="C5902" s="35">
        <v>32683.3</v>
      </c>
      <c r="D5902" s="33" t="s">
        <v>54</v>
      </c>
      <c r="E5902" s="34">
        <v>346.11700000000002</v>
      </c>
      <c r="F5902" s="36">
        <v>0.103000000000009</v>
      </c>
      <c r="G5902" s="34">
        <v>0.103000000000009</v>
      </c>
      <c r="H5902" s="35">
        <v>62.4</v>
      </c>
      <c r="I5902" s="37">
        <f t="shared" si="92"/>
        <v>1.909231931904061E-3</v>
      </c>
      <c r="J5902" s="33"/>
    </row>
    <row r="5903" spans="1:10">
      <c r="A5903" s="33" t="s">
        <v>109</v>
      </c>
      <c r="B5903" s="34">
        <v>346.22</v>
      </c>
      <c r="C5903" s="35">
        <v>32683.3</v>
      </c>
      <c r="D5903" s="33" t="s">
        <v>280</v>
      </c>
      <c r="E5903" s="34">
        <v>346.137</v>
      </c>
      <c r="F5903" s="36">
        <v>8.3000000000026802E-2</v>
      </c>
      <c r="G5903" s="34">
        <v>8.3000000000026802E-2</v>
      </c>
      <c r="H5903" s="35">
        <v>313.3</v>
      </c>
      <c r="I5903" s="37">
        <f t="shared" si="92"/>
        <v>9.585935324768308E-3</v>
      </c>
      <c r="J5903" s="33"/>
    </row>
    <row r="5904" spans="1:10">
      <c r="A5904" s="33" t="s">
        <v>109</v>
      </c>
      <c r="B5904" s="34">
        <v>346.22</v>
      </c>
      <c r="C5904" s="35">
        <v>32683.3</v>
      </c>
      <c r="D5904" s="33" t="s">
        <v>84</v>
      </c>
      <c r="E5904" s="34">
        <v>346.13900000000001</v>
      </c>
      <c r="F5904" s="36">
        <v>8.1000000000017294E-2</v>
      </c>
      <c r="G5904" s="34">
        <v>8.1000000000017294E-2</v>
      </c>
      <c r="H5904" s="35">
        <v>312.10000000000002</v>
      </c>
      <c r="I5904" s="37">
        <f t="shared" si="92"/>
        <v>9.5492193260778447E-3</v>
      </c>
      <c r="J5904" s="33" t="s">
        <v>116</v>
      </c>
    </row>
    <row r="5905" spans="1:10">
      <c r="A5905" s="33" t="s">
        <v>109</v>
      </c>
      <c r="B5905" s="34">
        <v>346.22</v>
      </c>
      <c r="C5905" s="35">
        <v>32683.3</v>
      </c>
      <c r="D5905" s="33" t="s">
        <v>237</v>
      </c>
      <c r="E5905" s="34">
        <v>346.149</v>
      </c>
      <c r="F5905" s="36">
        <v>7.1000000000026403E-2</v>
      </c>
      <c r="G5905" s="34">
        <v>7.1000000000026403E-2</v>
      </c>
      <c r="H5905" s="35">
        <v>3596.7</v>
      </c>
      <c r="I5905" s="37">
        <f t="shared" si="92"/>
        <v>0.11004702707498937</v>
      </c>
      <c r="J5905" s="33"/>
    </row>
    <row r="5906" spans="1:10">
      <c r="A5906" s="33" t="s">
        <v>109</v>
      </c>
      <c r="B5906" s="34">
        <v>346.22</v>
      </c>
      <c r="C5906" s="35">
        <v>32683.3</v>
      </c>
      <c r="D5906" s="33" t="s">
        <v>165</v>
      </c>
      <c r="E5906" s="34">
        <v>346.16500000000002</v>
      </c>
      <c r="F5906" s="36">
        <v>5.50000000000068E-2</v>
      </c>
      <c r="G5906" s="34">
        <v>5.50000000000068E-2</v>
      </c>
      <c r="H5906" s="35">
        <v>1866.3</v>
      </c>
      <c r="I5906" s="37">
        <f t="shared" si="92"/>
        <v>5.7102556963342134E-2</v>
      </c>
      <c r="J5906" s="33"/>
    </row>
    <row r="5907" spans="1:10">
      <c r="A5907" s="33" t="s">
        <v>109</v>
      </c>
      <c r="B5907" s="34">
        <v>346.22</v>
      </c>
      <c r="C5907" s="35">
        <v>32683.3</v>
      </c>
      <c r="D5907" s="33" t="s">
        <v>36</v>
      </c>
      <c r="E5907" s="34">
        <v>346.19600000000003</v>
      </c>
      <c r="F5907" s="36">
        <v>2.4000000000000899E-2</v>
      </c>
      <c r="G5907" s="34">
        <v>2.4000000000000899E-2</v>
      </c>
      <c r="H5907" s="35">
        <v>358.6</v>
      </c>
      <c r="I5907" s="37">
        <f t="shared" si="92"/>
        <v>1.0971964275333274E-2</v>
      </c>
      <c r="J5907" s="33" t="s">
        <v>116</v>
      </c>
    </row>
    <row r="5908" spans="1:10">
      <c r="A5908" s="33" t="s">
        <v>109</v>
      </c>
      <c r="B5908" s="34">
        <v>346.22</v>
      </c>
      <c r="C5908" s="35">
        <v>32683.3</v>
      </c>
      <c r="D5908" s="33" t="s">
        <v>94</v>
      </c>
      <c r="E5908" s="34">
        <v>346.197</v>
      </c>
      <c r="F5908" s="36">
        <v>2.3000000000024601E-2</v>
      </c>
      <c r="G5908" s="34">
        <v>2.3000000000024601E-2</v>
      </c>
      <c r="H5908" s="35">
        <v>3506.2</v>
      </c>
      <c r="I5908" s="37">
        <f t="shared" si="92"/>
        <v>0.10727802884041697</v>
      </c>
      <c r="J5908" s="33" t="s">
        <v>116</v>
      </c>
    </row>
    <row r="5909" spans="1:10">
      <c r="A5909" s="33" t="s">
        <v>109</v>
      </c>
      <c r="B5909" s="34">
        <v>346.22</v>
      </c>
      <c r="C5909" s="35">
        <v>32683.3</v>
      </c>
      <c r="D5909" s="33" t="s">
        <v>282</v>
      </c>
      <c r="E5909" s="34">
        <v>346.20400000000001</v>
      </c>
      <c r="F5909" s="36">
        <v>1.6000000000019599E-2</v>
      </c>
      <c r="G5909" s="34">
        <v>1.6000000000019599E-2</v>
      </c>
      <c r="H5909" s="35">
        <v>672</v>
      </c>
      <c r="I5909" s="37">
        <f t="shared" si="92"/>
        <v>2.0560959266659119E-2</v>
      </c>
      <c r="J5909" s="33"/>
    </row>
    <row r="5910" spans="1:10">
      <c r="A5910" s="33" t="s">
        <v>109</v>
      </c>
      <c r="B5910" s="34">
        <v>346.22</v>
      </c>
      <c r="C5910" s="35">
        <v>32683.3</v>
      </c>
      <c r="D5910" s="33" t="s">
        <v>184</v>
      </c>
      <c r="E5910" s="34">
        <v>346.21699999999998</v>
      </c>
      <c r="F5910" s="36">
        <v>3.0000000000427502E-3</v>
      </c>
      <c r="G5910" s="34">
        <v>3.0000000000427502E-3</v>
      </c>
      <c r="H5910" s="35">
        <v>32.299999999999997</v>
      </c>
      <c r="I5910" s="37">
        <f t="shared" si="92"/>
        <v>9.8827229808495461E-4</v>
      </c>
      <c r="J5910" s="33"/>
    </row>
    <row r="5911" spans="1:10">
      <c r="A5911" s="33" t="s">
        <v>109</v>
      </c>
      <c r="B5911" s="34">
        <v>346.22</v>
      </c>
      <c r="C5911" s="35">
        <v>32683.3</v>
      </c>
      <c r="D5911" s="33" t="s">
        <v>273</v>
      </c>
      <c r="E5911" s="34">
        <v>346.26400000000001</v>
      </c>
      <c r="F5911" s="36">
        <v>4.3999999999982699E-2</v>
      </c>
      <c r="G5911" s="34">
        <v>4.3999999999982699E-2</v>
      </c>
      <c r="H5911" s="35">
        <v>5</v>
      </c>
      <c r="I5911" s="37">
        <f t="shared" si="92"/>
        <v>1.5298332787692798E-4</v>
      </c>
      <c r="J5911" s="33"/>
    </row>
    <row r="5912" spans="1:10">
      <c r="A5912" s="33" t="s">
        <v>109</v>
      </c>
      <c r="B5912" s="34">
        <v>346.22</v>
      </c>
      <c r="C5912" s="35">
        <v>32683.3</v>
      </c>
      <c r="D5912" s="33" t="s">
        <v>269</v>
      </c>
      <c r="E5912" s="34">
        <v>346.26499999999999</v>
      </c>
      <c r="F5912" s="36">
        <v>4.49999999999591E-2</v>
      </c>
      <c r="G5912" s="34">
        <v>4.49999999999591E-2</v>
      </c>
      <c r="H5912" s="35">
        <v>286.7</v>
      </c>
      <c r="I5912" s="37">
        <f t="shared" si="92"/>
        <v>8.7720640204630492E-3</v>
      </c>
      <c r="J5912" s="33"/>
    </row>
    <row r="5913" spans="1:10">
      <c r="A5913" s="33" t="s">
        <v>109</v>
      </c>
      <c r="B5913" s="34">
        <v>346.22</v>
      </c>
      <c r="C5913" s="35">
        <v>32683.3</v>
      </c>
      <c r="D5913" s="33" t="s">
        <v>270</v>
      </c>
      <c r="E5913" s="34">
        <v>346.27</v>
      </c>
      <c r="F5913" s="36">
        <v>4.9999999999954498E-2</v>
      </c>
      <c r="G5913" s="34">
        <v>4.9999999999954498E-2</v>
      </c>
      <c r="H5913" s="35">
        <v>168.6</v>
      </c>
      <c r="I5913" s="37">
        <f t="shared" si="92"/>
        <v>5.1585978160100113E-3</v>
      </c>
      <c r="J5913" s="33"/>
    </row>
    <row r="5914" spans="1:10">
      <c r="A5914" s="33" t="s">
        <v>109</v>
      </c>
      <c r="B5914" s="34">
        <v>346.22</v>
      </c>
      <c r="C5914" s="35">
        <v>32683.3</v>
      </c>
      <c r="D5914" s="33" t="s">
        <v>239</v>
      </c>
      <c r="E5914" s="34">
        <v>346.27300000000002</v>
      </c>
      <c r="F5914" s="36">
        <v>5.2999999999997299E-2</v>
      </c>
      <c r="G5914" s="34">
        <v>5.2999999999997299E-2</v>
      </c>
      <c r="H5914" s="35">
        <v>46</v>
      </c>
      <c r="I5914" s="37">
        <f t="shared" si="92"/>
        <v>1.4074466164677374E-3</v>
      </c>
      <c r="J5914" s="33"/>
    </row>
    <row r="5915" spans="1:10">
      <c r="A5915" s="33" t="s">
        <v>109</v>
      </c>
      <c r="B5915" s="34">
        <v>346.22</v>
      </c>
      <c r="C5915" s="35">
        <v>32683.3</v>
      </c>
      <c r="D5915" s="33" t="s">
        <v>240</v>
      </c>
      <c r="E5915" s="34">
        <v>346.27499999999998</v>
      </c>
      <c r="F5915" s="36">
        <v>5.4999999999949999E-2</v>
      </c>
      <c r="G5915" s="34">
        <v>5.4999999999949999E-2</v>
      </c>
      <c r="H5915" s="35">
        <v>0.5</v>
      </c>
      <c r="I5915" s="37">
        <f t="shared" si="92"/>
        <v>1.5298332787692797E-5</v>
      </c>
      <c r="J5915" s="33"/>
    </row>
    <row r="5916" spans="1:10">
      <c r="A5916" s="33" t="s">
        <v>109</v>
      </c>
      <c r="B5916" s="34">
        <v>346.22</v>
      </c>
      <c r="C5916" s="35">
        <v>32683.3</v>
      </c>
      <c r="D5916" s="33" t="s">
        <v>54</v>
      </c>
      <c r="E5916" s="34">
        <v>346.28</v>
      </c>
      <c r="F5916" s="36">
        <v>5.9999999999945403E-2</v>
      </c>
      <c r="G5916" s="34">
        <v>5.9999999999945403E-2</v>
      </c>
      <c r="H5916" s="35">
        <v>548.79999999999995</v>
      </c>
      <c r="I5916" s="37">
        <f t="shared" si="92"/>
        <v>1.6791450067771614E-2</v>
      </c>
      <c r="J5916" s="33"/>
    </row>
    <row r="5917" spans="1:10">
      <c r="A5917" s="33" t="s">
        <v>109</v>
      </c>
      <c r="B5917" s="34">
        <v>346.22</v>
      </c>
      <c r="C5917" s="35">
        <v>32683.3</v>
      </c>
      <c r="D5917" s="33" t="s">
        <v>271</v>
      </c>
      <c r="E5917" s="34">
        <v>346.28500000000003</v>
      </c>
      <c r="F5917" s="36">
        <v>6.4999999999997699E-2</v>
      </c>
      <c r="G5917" s="34">
        <v>6.4999999999997699E-2</v>
      </c>
      <c r="H5917" s="35">
        <v>659</v>
      </c>
      <c r="I5917" s="37">
        <f t="shared" si="92"/>
        <v>2.0163202614179108E-2</v>
      </c>
      <c r="J5917" s="33"/>
    </row>
    <row r="5918" spans="1:10">
      <c r="A5918" s="33" t="s">
        <v>109</v>
      </c>
      <c r="B5918" s="34">
        <v>346.22</v>
      </c>
      <c r="C5918" s="35">
        <v>32683.3</v>
      </c>
      <c r="D5918" s="33" t="s">
        <v>201</v>
      </c>
      <c r="E5918" s="34">
        <v>346.29700000000003</v>
      </c>
      <c r="F5918" s="36">
        <v>7.6999999999998195E-2</v>
      </c>
      <c r="G5918" s="34">
        <v>7.6999999999998195E-2</v>
      </c>
      <c r="H5918" s="35">
        <v>238.1</v>
      </c>
      <c r="I5918" s="37">
        <f t="shared" si="92"/>
        <v>7.2850660734993097E-3</v>
      </c>
      <c r="J5918" s="33"/>
    </row>
    <row r="5919" spans="1:10">
      <c r="A5919" s="33" t="s">
        <v>109</v>
      </c>
      <c r="B5919" s="34">
        <v>346.22</v>
      </c>
      <c r="C5919" s="35">
        <v>32683.3</v>
      </c>
      <c r="D5919" s="33" t="s">
        <v>36</v>
      </c>
      <c r="E5919" s="34">
        <v>346.3</v>
      </c>
      <c r="F5919" s="36">
        <v>7.9999999999984098E-2</v>
      </c>
      <c r="G5919" s="34">
        <v>7.9999999999984098E-2</v>
      </c>
      <c r="H5919" s="35">
        <v>363.9</v>
      </c>
      <c r="I5919" s="37">
        <f t="shared" si="92"/>
        <v>1.1134126602882818E-2</v>
      </c>
      <c r="J5919" s="33" t="s">
        <v>116</v>
      </c>
    </row>
    <row r="5920" spans="1:10">
      <c r="A5920" s="33" t="s">
        <v>109</v>
      </c>
      <c r="B5920" s="34">
        <v>346.22</v>
      </c>
      <c r="C5920" s="35">
        <v>32683.3</v>
      </c>
      <c r="D5920" s="33" t="s">
        <v>236</v>
      </c>
      <c r="E5920" s="34">
        <v>346.30200000000002</v>
      </c>
      <c r="F5920" s="36">
        <v>8.1999999999993606E-2</v>
      </c>
      <c r="G5920" s="34">
        <v>8.1999999999993606E-2</v>
      </c>
      <c r="H5920" s="35">
        <v>3170.7</v>
      </c>
      <c r="I5920" s="37">
        <f t="shared" si="92"/>
        <v>9.7012847539875102E-2</v>
      </c>
      <c r="J5920" s="33"/>
    </row>
    <row r="5921" spans="1:10">
      <c r="A5921" s="33" t="s">
        <v>109</v>
      </c>
      <c r="B5921" s="34">
        <v>346.22</v>
      </c>
      <c r="C5921" s="35">
        <v>32683.3</v>
      </c>
      <c r="D5921" s="33" t="s">
        <v>268</v>
      </c>
      <c r="E5921" s="34">
        <v>346.31400000000002</v>
      </c>
      <c r="F5921" s="36">
        <v>9.3999999999994102E-2</v>
      </c>
      <c r="G5921" s="34">
        <v>9.3999999999994102E-2</v>
      </c>
      <c r="H5921" s="35">
        <v>3.2</v>
      </c>
      <c r="I5921" s="37">
        <f t="shared" si="92"/>
        <v>9.7909329841233916E-5</v>
      </c>
      <c r="J5921" s="33"/>
    </row>
    <row r="5922" spans="1:10">
      <c r="A5922" s="33" t="s">
        <v>109</v>
      </c>
      <c r="B5922" s="34">
        <v>346.22</v>
      </c>
      <c r="C5922" s="35">
        <v>32683.3</v>
      </c>
      <c r="D5922" s="33" t="s">
        <v>25</v>
      </c>
      <c r="E5922" s="34">
        <v>346.322</v>
      </c>
      <c r="F5922" s="36">
        <v>0.101999999999975</v>
      </c>
      <c r="G5922" s="34">
        <v>0.101999999999975</v>
      </c>
      <c r="H5922" s="35">
        <v>114</v>
      </c>
      <c r="I5922" s="37">
        <f t="shared" si="92"/>
        <v>3.4880198755939578E-3</v>
      </c>
      <c r="J5922" s="33" t="s">
        <v>116</v>
      </c>
    </row>
    <row r="5923" spans="1:10">
      <c r="A5923" s="33" t="s">
        <v>109</v>
      </c>
      <c r="B5923" s="34">
        <v>346.22</v>
      </c>
      <c r="C5923" s="35">
        <v>32683.3</v>
      </c>
      <c r="D5923" s="33" t="s">
        <v>33</v>
      </c>
      <c r="E5923" s="34">
        <v>346.334</v>
      </c>
      <c r="F5923" s="36">
        <v>0.113999999999976</v>
      </c>
      <c r="G5923" s="34">
        <v>0.113999999999976</v>
      </c>
      <c r="H5923" s="35">
        <v>148.5</v>
      </c>
      <c r="I5923" s="37">
        <f t="shared" si="92"/>
        <v>4.543604837944761E-3</v>
      </c>
      <c r="J5923" s="33" t="s">
        <v>116</v>
      </c>
    </row>
    <row r="5924" spans="1:10">
      <c r="A5924" s="33" t="s">
        <v>109</v>
      </c>
      <c r="B5924" s="34">
        <v>346.22</v>
      </c>
      <c r="C5924" s="35">
        <v>32683.3</v>
      </c>
      <c r="D5924" s="33" t="s">
        <v>274</v>
      </c>
      <c r="E5924" s="34">
        <v>346.35199999999998</v>
      </c>
      <c r="F5924" s="36">
        <v>0.13199999999994799</v>
      </c>
      <c r="G5924" s="34">
        <v>0.13199999999994799</v>
      </c>
      <c r="H5924" s="35">
        <v>53.9</v>
      </c>
      <c r="I5924" s="37">
        <f t="shared" si="92"/>
        <v>1.6491602745132836E-3</v>
      </c>
      <c r="J5924" s="33"/>
    </row>
    <row r="5925" spans="1:10">
      <c r="A5925" s="33" t="s">
        <v>109</v>
      </c>
      <c r="B5925" s="34">
        <v>346.22</v>
      </c>
      <c r="C5925" s="35">
        <v>32683.3</v>
      </c>
      <c r="D5925" s="33" t="s">
        <v>277</v>
      </c>
      <c r="E5925" s="34">
        <v>346.35500000000002</v>
      </c>
      <c r="F5925" s="36">
        <v>0.13499999999999099</v>
      </c>
      <c r="G5925" s="34">
        <v>0.13499999999999099</v>
      </c>
      <c r="H5925" s="35">
        <v>108.6</v>
      </c>
      <c r="I5925" s="37">
        <f t="shared" si="92"/>
        <v>3.3227978814868754E-3</v>
      </c>
      <c r="J5925" s="33"/>
    </row>
    <row r="5926" spans="1:10">
      <c r="A5926" s="33" t="s">
        <v>109</v>
      </c>
      <c r="B5926" s="34">
        <v>346.22</v>
      </c>
      <c r="C5926" s="35">
        <v>32683.3</v>
      </c>
      <c r="D5926" s="33" t="s">
        <v>275</v>
      </c>
      <c r="E5926" s="34">
        <v>346.35599999999999</v>
      </c>
      <c r="F5926" s="36">
        <v>0.13599999999996701</v>
      </c>
      <c r="G5926" s="34">
        <v>0.13599999999996701</v>
      </c>
      <c r="H5926" s="35">
        <v>2.8</v>
      </c>
      <c r="I5926" s="37">
        <f t="shared" si="92"/>
        <v>8.567066361107966E-5</v>
      </c>
      <c r="J5926" s="33"/>
    </row>
    <row r="5927" spans="1:10">
      <c r="A5927" s="33" t="s">
        <v>109</v>
      </c>
      <c r="B5927" s="34">
        <v>346.22</v>
      </c>
      <c r="C5927" s="35">
        <v>32683.3</v>
      </c>
      <c r="D5927" s="33" t="s">
        <v>271</v>
      </c>
      <c r="E5927" s="34">
        <v>346.37200000000001</v>
      </c>
      <c r="F5927" s="36">
        <v>0.15199999999998701</v>
      </c>
      <c r="G5927" s="34">
        <v>0.15199999999998701</v>
      </c>
      <c r="H5927" s="35">
        <v>335</v>
      </c>
      <c r="I5927" s="37">
        <f t="shared" si="92"/>
        <v>1.0249882967754174E-2</v>
      </c>
      <c r="J5927" s="33"/>
    </row>
    <row r="5928" spans="1:10">
      <c r="A5928" s="33" t="s">
        <v>109</v>
      </c>
      <c r="B5928" s="34">
        <v>346.22</v>
      </c>
      <c r="C5928" s="35">
        <v>32683.3</v>
      </c>
      <c r="D5928" s="33" t="s">
        <v>193</v>
      </c>
      <c r="E5928" s="34">
        <v>346.37700000000001</v>
      </c>
      <c r="F5928" s="36">
        <v>0.15699999999998199</v>
      </c>
      <c r="G5928" s="34">
        <v>0.15699999999998199</v>
      </c>
      <c r="H5928" s="35">
        <v>23.6</v>
      </c>
      <c r="I5928" s="37">
        <f t="shared" si="92"/>
        <v>7.2208130757910006E-4</v>
      </c>
      <c r="J5928" s="33"/>
    </row>
    <row r="5929" spans="1:10">
      <c r="A5929" s="33" t="s">
        <v>109</v>
      </c>
      <c r="B5929" s="34">
        <v>346.22</v>
      </c>
      <c r="C5929" s="35">
        <v>32683.3</v>
      </c>
      <c r="D5929" s="33" t="s">
        <v>33</v>
      </c>
      <c r="E5929" s="34">
        <v>346.387</v>
      </c>
      <c r="F5929" s="36">
        <v>0.166999999999973</v>
      </c>
      <c r="G5929" s="34">
        <v>0.166999999999973</v>
      </c>
      <c r="H5929" s="35">
        <v>175.4</v>
      </c>
      <c r="I5929" s="37">
        <f t="shared" si="92"/>
        <v>5.3666551419226339E-3</v>
      </c>
      <c r="J5929" s="33" t="s">
        <v>116</v>
      </c>
    </row>
    <row r="5930" spans="1:10">
      <c r="A5930" s="33" t="s">
        <v>109</v>
      </c>
      <c r="B5930" s="34">
        <v>346.22</v>
      </c>
      <c r="C5930" s="35">
        <v>32683.3</v>
      </c>
      <c r="D5930" s="33" t="s">
        <v>36</v>
      </c>
      <c r="E5930" s="34">
        <v>346.399</v>
      </c>
      <c r="F5930" s="36">
        <v>0.17899999999997401</v>
      </c>
      <c r="G5930" s="34">
        <v>0.17899999999997401</v>
      </c>
      <c r="H5930" s="35">
        <v>4804.3999999999996</v>
      </c>
      <c r="I5930" s="37">
        <f t="shared" si="92"/>
        <v>0.14699862009038253</v>
      </c>
      <c r="J5930" s="33" t="s">
        <v>116</v>
      </c>
    </row>
    <row r="5931" spans="1:10">
      <c r="A5931" s="33" t="s">
        <v>116</v>
      </c>
      <c r="B5931" s="34">
        <v>321.66800000000001</v>
      </c>
      <c r="C5931" s="35">
        <v>106814.8</v>
      </c>
      <c r="D5931" s="33" t="s">
        <v>275</v>
      </c>
      <c r="E5931" s="34">
        <v>321.50700000000001</v>
      </c>
      <c r="F5931" s="36">
        <v>0.161000000000001</v>
      </c>
      <c r="G5931" s="34">
        <v>0.161000000000001</v>
      </c>
      <c r="H5931" s="35">
        <v>151.4</v>
      </c>
      <c r="I5931" s="37">
        <f t="shared" si="92"/>
        <v>1.4174065766167235E-3</v>
      </c>
      <c r="J5931" s="33"/>
    </row>
    <row r="5932" spans="1:10">
      <c r="A5932" s="33" t="s">
        <v>116</v>
      </c>
      <c r="B5932" s="34">
        <v>321.66800000000001</v>
      </c>
      <c r="C5932" s="35">
        <v>106814.8</v>
      </c>
      <c r="D5932" s="33" t="s">
        <v>33</v>
      </c>
      <c r="E5932" s="34">
        <v>321.51900000000001</v>
      </c>
      <c r="F5932" s="36">
        <v>0.14900000000000099</v>
      </c>
      <c r="G5932" s="34">
        <v>0.14900000000000099</v>
      </c>
      <c r="H5932" s="35">
        <v>2591.1999999999998</v>
      </c>
      <c r="I5932" s="37">
        <f t="shared" si="92"/>
        <v>2.4258810576811451E-2</v>
      </c>
      <c r="J5932" s="33" t="s">
        <v>116</v>
      </c>
    </row>
    <row r="5933" spans="1:10">
      <c r="A5933" s="33" t="s">
        <v>116</v>
      </c>
      <c r="B5933" s="34">
        <v>321.66800000000001</v>
      </c>
      <c r="C5933" s="35">
        <v>106814.8</v>
      </c>
      <c r="D5933" s="33" t="s">
        <v>270</v>
      </c>
      <c r="E5933" s="34">
        <v>321.52499999999998</v>
      </c>
      <c r="F5933" s="36">
        <v>0.14300000000002899</v>
      </c>
      <c r="G5933" s="34">
        <v>0.14300000000002899</v>
      </c>
      <c r="H5933" s="35">
        <v>1283.2</v>
      </c>
      <c r="I5933" s="37">
        <f t="shared" si="92"/>
        <v>1.2013316506701319E-2</v>
      </c>
      <c r="J5933" s="33"/>
    </row>
    <row r="5934" spans="1:10">
      <c r="A5934" s="33" t="s">
        <v>116</v>
      </c>
      <c r="B5934" s="34">
        <v>321.66800000000001</v>
      </c>
      <c r="C5934" s="35">
        <v>106814.8</v>
      </c>
      <c r="D5934" s="33" t="s">
        <v>36</v>
      </c>
      <c r="E5934" s="34">
        <v>321.52699999999999</v>
      </c>
      <c r="F5934" s="36">
        <v>0.14100000000002</v>
      </c>
      <c r="G5934" s="34">
        <v>0.14100000000002</v>
      </c>
      <c r="H5934" s="35">
        <v>346.6</v>
      </c>
      <c r="I5934" s="37">
        <f t="shared" si="92"/>
        <v>3.2448686886086949E-3</v>
      </c>
      <c r="J5934" s="33" t="s">
        <v>116</v>
      </c>
    </row>
    <row r="5935" spans="1:10">
      <c r="A5935" s="33" t="s">
        <v>116</v>
      </c>
      <c r="B5935" s="34">
        <v>321.66800000000001</v>
      </c>
      <c r="C5935" s="35">
        <v>106814.8</v>
      </c>
      <c r="D5935" s="33" t="s">
        <v>54</v>
      </c>
      <c r="E5935" s="34">
        <v>321.53300000000002</v>
      </c>
      <c r="F5935" s="36">
        <v>0.13499999999999099</v>
      </c>
      <c r="G5935" s="34">
        <v>0.13499999999999099</v>
      </c>
      <c r="H5935" s="35">
        <v>7.8</v>
      </c>
      <c r="I5935" s="37">
        <f t="shared" si="92"/>
        <v>7.3023588491482455E-5</v>
      </c>
      <c r="J5935" s="33"/>
    </row>
    <row r="5936" spans="1:10">
      <c r="A5936" s="33" t="s">
        <v>116</v>
      </c>
      <c r="B5936" s="34">
        <v>321.66800000000001</v>
      </c>
      <c r="C5936" s="35">
        <v>106814.8</v>
      </c>
      <c r="D5936" s="33" t="s">
        <v>278</v>
      </c>
      <c r="E5936" s="34">
        <v>321.53699999999998</v>
      </c>
      <c r="F5936" s="36">
        <v>0.13100000000002901</v>
      </c>
      <c r="G5936" s="34">
        <v>0.13100000000002901</v>
      </c>
      <c r="H5936" s="35">
        <v>11</v>
      </c>
      <c r="I5936" s="37">
        <f t="shared" si="92"/>
        <v>1.0298198377003936E-4</v>
      </c>
      <c r="J5936" s="33"/>
    </row>
    <row r="5937" spans="1:10">
      <c r="A5937" s="33" t="s">
        <v>116</v>
      </c>
      <c r="B5937" s="34">
        <v>321.66800000000001</v>
      </c>
      <c r="C5937" s="35">
        <v>106814.8</v>
      </c>
      <c r="D5937" s="33" t="s">
        <v>97</v>
      </c>
      <c r="E5937" s="34">
        <v>321.541</v>
      </c>
      <c r="F5937" s="36">
        <v>0.12700000000000999</v>
      </c>
      <c r="G5937" s="34">
        <v>0.12700000000000999</v>
      </c>
      <c r="H5937" s="35">
        <v>1.4</v>
      </c>
      <c r="I5937" s="37">
        <f t="shared" si="92"/>
        <v>1.3106797934368644E-5</v>
      </c>
      <c r="J5937" s="33"/>
    </row>
    <row r="5938" spans="1:10">
      <c r="A5938" s="33" t="s">
        <v>116</v>
      </c>
      <c r="B5938" s="34">
        <v>321.66800000000001</v>
      </c>
      <c r="C5938" s="35">
        <v>106814.8</v>
      </c>
      <c r="D5938" s="33" t="s">
        <v>274</v>
      </c>
      <c r="E5938" s="34">
        <v>321.55599999999998</v>
      </c>
      <c r="F5938" s="36">
        <v>0.112000000000023</v>
      </c>
      <c r="G5938" s="34">
        <v>0.112000000000023</v>
      </c>
      <c r="H5938" s="35">
        <v>440</v>
      </c>
      <c r="I5938" s="37">
        <f t="shared" si="92"/>
        <v>4.1192793508015744E-3</v>
      </c>
      <c r="J5938" s="33"/>
    </row>
    <row r="5939" spans="1:10">
      <c r="A5939" s="33" t="s">
        <v>116</v>
      </c>
      <c r="B5939" s="34">
        <v>321.66800000000001</v>
      </c>
      <c r="C5939" s="35">
        <v>106814.8</v>
      </c>
      <c r="D5939" s="33" t="s">
        <v>273</v>
      </c>
      <c r="E5939" s="34">
        <v>321.55900000000003</v>
      </c>
      <c r="F5939" s="36">
        <v>0.10899999999998</v>
      </c>
      <c r="G5939" s="34">
        <v>0.10899999999998</v>
      </c>
      <c r="H5939" s="35">
        <v>8896.1</v>
      </c>
      <c r="I5939" s="37">
        <f t="shared" si="92"/>
        <v>8.3285275074240647E-2</v>
      </c>
      <c r="J5939" s="33"/>
    </row>
    <row r="5940" spans="1:10">
      <c r="A5940" s="33" t="s">
        <v>116</v>
      </c>
      <c r="B5940" s="34">
        <v>321.66800000000001</v>
      </c>
      <c r="C5940" s="35">
        <v>106814.8</v>
      </c>
      <c r="D5940" s="33" t="s">
        <v>295</v>
      </c>
      <c r="E5940" s="34">
        <v>321.56700000000001</v>
      </c>
      <c r="F5940" s="36">
        <v>0.10099999999999899</v>
      </c>
      <c r="G5940" s="34">
        <v>0.10099999999999899</v>
      </c>
      <c r="H5940" s="35">
        <v>0.9</v>
      </c>
      <c r="I5940" s="37">
        <f t="shared" si="92"/>
        <v>8.4257986720941292E-6</v>
      </c>
      <c r="J5940" s="33"/>
    </row>
    <row r="5941" spans="1:10">
      <c r="A5941" s="33" t="s">
        <v>116</v>
      </c>
      <c r="B5941" s="34">
        <v>321.66800000000001</v>
      </c>
      <c r="C5941" s="35">
        <v>106814.8</v>
      </c>
      <c r="D5941" s="33" t="s">
        <v>271</v>
      </c>
      <c r="E5941" s="34">
        <v>321.57799999999997</v>
      </c>
      <c r="F5941" s="36">
        <v>9.0000000000031805E-2</v>
      </c>
      <c r="G5941" s="34">
        <v>9.0000000000031805E-2</v>
      </c>
      <c r="H5941" s="35">
        <v>225.7</v>
      </c>
      <c r="I5941" s="37">
        <f t="shared" si="92"/>
        <v>2.1130030669907164E-3</v>
      </c>
      <c r="J5941" s="33"/>
    </row>
    <row r="5942" spans="1:10">
      <c r="A5942" s="33" t="s">
        <v>116</v>
      </c>
      <c r="B5942" s="34">
        <v>321.66800000000001</v>
      </c>
      <c r="C5942" s="35">
        <v>106814.8</v>
      </c>
      <c r="D5942" s="33" t="s">
        <v>133</v>
      </c>
      <c r="E5942" s="34">
        <v>321.58100000000002</v>
      </c>
      <c r="F5942" s="36">
        <v>8.69999999999891E-2</v>
      </c>
      <c r="G5942" s="34">
        <v>8.69999999999891E-2</v>
      </c>
      <c r="H5942" s="35">
        <v>29.8</v>
      </c>
      <c r="I5942" s="37">
        <f t="shared" si="92"/>
        <v>2.7898755603156114E-4</v>
      </c>
      <c r="J5942" s="33"/>
    </row>
    <row r="5943" spans="1:10">
      <c r="A5943" s="33" t="s">
        <v>116</v>
      </c>
      <c r="B5943" s="34">
        <v>321.66800000000001</v>
      </c>
      <c r="C5943" s="35">
        <v>106814.8</v>
      </c>
      <c r="D5943" s="33" t="s">
        <v>97</v>
      </c>
      <c r="E5943" s="34">
        <v>321.59399999999999</v>
      </c>
      <c r="F5943" s="36">
        <v>7.4000000000012306E-2</v>
      </c>
      <c r="G5943" s="34">
        <v>7.4000000000012306E-2</v>
      </c>
      <c r="H5943" s="35">
        <v>41.9</v>
      </c>
      <c r="I5943" s="37">
        <f t="shared" si="92"/>
        <v>3.9226773817860441E-4</v>
      </c>
      <c r="J5943" s="33"/>
    </row>
    <row r="5944" spans="1:10">
      <c r="A5944" s="33" t="s">
        <v>116</v>
      </c>
      <c r="B5944" s="34">
        <v>321.66800000000001</v>
      </c>
      <c r="C5944" s="35">
        <v>106814.8</v>
      </c>
      <c r="D5944" s="33" t="s">
        <v>275</v>
      </c>
      <c r="E5944" s="34">
        <v>321.60700000000003</v>
      </c>
      <c r="F5944" s="36">
        <v>6.0999999999978599E-2</v>
      </c>
      <c r="G5944" s="34">
        <v>6.0999999999978599E-2</v>
      </c>
      <c r="H5944" s="35">
        <v>136.4</v>
      </c>
      <c r="I5944" s="37">
        <f t="shared" si="92"/>
        <v>1.2769765987484881E-3</v>
      </c>
      <c r="J5944" s="33"/>
    </row>
    <row r="5945" spans="1:10">
      <c r="A5945" s="33" t="s">
        <v>116</v>
      </c>
      <c r="B5945" s="34">
        <v>321.66800000000001</v>
      </c>
      <c r="C5945" s="35">
        <v>106814.8</v>
      </c>
      <c r="D5945" s="33" t="s">
        <v>109</v>
      </c>
      <c r="E5945" s="34">
        <v>321.61099999999999</v>
      </c>
      <c r="F5945" s="36">
        <v>5.7000000000016399E-2</v>
      </c>
      <c r="G5945" s="34">
        <v>5.7000000000016399E-2</v>
      </c>
      <c r="H5945" s="35">
        <v>584.6</v>
      </c>
      <c r="I5945" s="37">
        <f t="shared" si="92"/>
        <v>5.4730243374513645E-3</v>
      </c>
      <c r="J5945" s="33" t="s">
        <v>116</v>
      </c>
    </row>
    <row r="5946" spans="1:10">
      <c r="A5946" s="33" t="s">
        <v>116</v>
      </c>
      <c r="B5946" s="34">
        <v>321.66800000000001</v>
      </c>
      <c r="C5946" s="35">
        <v>106814.8</v>
      </c>
      <c r="D5946" s="33" t="s">
        <v>193</v>
      </c>
      <c r="E5946" s="34">
        <v>321.61500000000001</v>
      </c>
      <c r="F5946" s="36">
        <v>5.2999999999997299E-2</v>
      </c>
      <c r="G5946" s="34">
        <v>5.2999999999997299E-2</v>
      </c>
      <c r="H5946" s="35">
        <v>163.30000000000001</v>
      </c>
      <c r="I5946" s="37">
        <f t="shared" si="92"/>
        <v>1.5288143590588572E-3</v>
      </c>
      <c r="J5946" s="33"/>
    </row>
    <row r="5947" spans="1:10">
      <c r="A5947" s="33" t="s">
        <v>116</v>
      </c>
      <c r="B5947" s="34">
        <v>321.66800000000001</v>
      </c>
      <c r="C5947" s="35">
        <v>106814.8</v>
      </c>
      <c r="D5947" s="33" t="s">
        <v>273</v>
      </c>
      <c r="E5947" s="34">
        <v>321.61900000000003</v>
      </c>
      <c r="F5947" s="36">
        <v>4.89999999999782E-2</v>
      </c>
      <c r="G5947" s="34">
        <v>4.89999999999782E-2</v>
      </c>
      <c r="H5947" s="35">
        <v>250</v>
      </c>
      <c r="I5947" s="37">
        <f t="shared" si="92"/>
        <v>2.3404996311372581E-3</v>
      </c>
      <c r="J5947" s="33"/>
    </row>
    <row r="5948" spans="1:10">
      <c r="A5948" s="33" t="s">
        <v>116</v>
      </c>
      <c r="B5948" s="34">
        <v>321.66800000000001</v>
      </c>
      <c r="C5948" s="35">
        <v>106814.8</v>
      </c>
      <c r="D5948" s="33" t="s">
        <v>268</v>
      </c>
      <c r="E5948" s="34">
        <v>321.65199999999999</v>
      </c>
      <c r="F5948" s="36">
        <v>1.6000000000019599E-2</v>
      </c>
      <c r="G5948" s="34">
        <v>1.6000000000019599E-2</v>
      </c>
      <c r="H5948" s="35">
        <v>9.1999999999999993</v>
      </c>
      <c r="I5948" s="37">
        <f t="shared" si="92"/>
        <v>8.6130386425851093E-5</v>
      </c>
      <c r="J5948" s="33"/>
    </row>
    <row r="5949" spans="1:10">
      <c r="A5949" s="33" t="s">
        <v>116</v>
      </c>
      <c r="B5949" s="34">
        <v>321.66800000000001</v>
      </c>
      <c r="C5949" s="35">
        <v>106814.8</v>
      </c>
      <c r="D5949" s="33" t="s">
        <v>239</v>
      </c>
      <c r="E5949" s="34">
        <v>321.65600000000001</v>
      </c>
      <c r="F5949" s="36">
        <v>1.20000000000005E-2</v>
      </c>
      <c r="G5949" s="34">
        <v>1.20000000000005E-2</v>
      </c>
      <c r="H5949" s="35">
        <v>167.9</v>
      </c>
      <c r="I5949" s="37">
        <f t="shared" si="92"/>
        <v>1.5718795522717825E-3</v>
      </c>
      <c r="J5949" s="33"/>
    </row>
    <row r="5950" spans="1:10">
      <c r="A5950" s="33" t="s">
        <v>116</v>
      </c>
      <c r="B5950" s="34">
        <v>321.66800000000001</v>
      </c>
      <c r="C5950" s="35">
        <v>106814.8</v>
      </c>
      <c r="D5950" s="33" t="s">
        <v>33</v>
      </c>
      <c r="E5950" s="34">
        <v>321.66300000000001</v>
      </c>
      <c r="F5950" s="36">
        <v>4.9999999999954499E-3</v>
      </c>
      <c r="G5950" s="34">
        <v>4.9999999999954499E-3</v>
      </c>
      <c r="H5950" s="35">
        <v>4161.1000000000004</v>
      </c>
      <c r="I5950" s="37">
        <f t="shared" si="92"/>
        <v>3.8956212060500983E-2</v>
      </c>
      <c r="J5950" s="33" t="s">
        <v>116</v>
      </c>
    </row>
    <row r="5951" spans="1:10">
      <c r="A5951" s="33" t="s">
        <v>116</v>
      </c>
      <c r="B5951" s="34">
        <v>321.66800000000001</v>
      </c>
      <c r="C5951" s="35">
        <v>106814.8</v>
      </c>
      <c r="D5951" s="33" t="s">
        <v>25</v>
      </c>
      <c r="E5951" s="34">
        <v>321.67200000000003</v>
      </c>
      <c r="F5951" s="36">
        <v>4.0000000000191003E-3</v>
      </c>
      <c r="G5951" s="34">
        <v>4.0000000000191003E-3</v>
      </c>
      <c r="H5951" s="35">
        <v>79.400000000000006</v>
      </c>
      <c r="I5951" s="37">
        <f t="shared" si="92"/>
        <v>7.4334268284919323E-4</v>
      </c>
      <c r="J5951" s="33" t="s">
        <v>116</v>
      </c>
    </row>
    <row r="5952" spans="1:10">
      <c r="A5952" s="33" t="s">
        <v>116</v>
      </c>
      <c r="B5952" s="34">
        <v>321.66800000000001</v>
      </c>
      <c r="C5952" s="35">
        <v>106814.8</v>
      </c>
      <c r="D5952" s="33" t="s">
        <v>165</v>
      </c>
      <c r="E5952" s="34">
        <v>321.68099999999998</v>
      </c>
      <c r="F5952" s="36">
        <v>1.2999999999976799E-2</v>
      </c>
      <c r="G5952" s="34">
        <v>1.2999999999976799E-2</v>
      </c>
      <c r="H5952" s="35">
        <v>43.8</v>
      </c>
      <c r="I5952" s="37">
        <f t="shared" si="92"/>
        <v>4.100555353752476E-4</v>
      </c>
      <c r="J5952" s="33"/>
    </row>
    <row r="5953" spans="1:10">
      <c r="A5953" s="33" t="s">
        <v>116</v>
      </c>
      <c r="B5953" s="34">
        <v>321.66800000000001</v>
      </c>
      <c r="C5953" s="35">
        <v>106814.8</v>
      </c>
      <c r="D5953" s="33" t="s">
        <v>270</v>
      </c>
      <c r="E5953" s="34">
        <v>321.68400000000003</v>
      </c>
      <c r="F5953" s="36">
        <v>1.6000000000019599E-2</v>
      </c>
      <c r="G5953" s="34">
        <v>1.6000000000019599E-2</v>
      </c>
      <c r="H5953" s="35">
        <v>2630.5</v>
      </c>
      <c r="I5953" s="37">
        <f t="shared" si="92"/>
        <v>2.4626737118826229E-2</v>
      </c>
      <c r="J5953" s="33"/>
    </row>
    <row r="5954" spans="1:10">
      <c r="A5954" s="33" t="s">
        <v>116</v>
      </c>
      <c r="B5954" s="34">
        <v>321.66800000000001</v>
      </c>
      <c r="C5954" s="35">
        <v>106814.8</v>
      </c>
      <c r="D5954" s="33" t="s">
        <v>193</v>
      </c>
      <c r="E5954" s="34">
        <v>321.69200000000001</v>
      </c>
      <c r="F5954" s="36">
        <v>2.4000000000000899E-2</v>
      </c>
      <c r="G5954" s="34">
        <v>2.4000000000000899E-2</v>
      </c>
      <c r="H5954" s="35">
        <v>34.700000000000003</v>
      </c>
      <c r="I5954" s="37">
        <f t="shared" ref="I5954:I6017" si="93">H5954/C5954</f>
        <v>3.2486134880185146E-4</v>
      </c>
      <c r="J5954" s="33"/>
    </row>
    <row r="5955" spans="1:10">
      <c r="A5955" s="33" t="s">
        <v>116</v>
      </c>
      <c r="B5955" s="34">
        <v>321.66800000000001</v>
      </c>
      <c r="C5955" s="35">
        <v>106814.8</v>
      </c>
      <c r="D5955" s="33" t="s">
        <v>240</v>
      </c>
      <c r="E5955" s="34">
        <v>321.69499999999999</v>
      </c>
      <c r="F5955" s="36">
        <v>2.6999999999986798E-2</v>
      </c>
      <c r="G5955" s="34">
        <v>2.6999999999986798E-2</v>
      </c>
      <c r="H5955" s="35">
        <v>31.7</v>
      </c>
      <c r="I5955" s="37">
        <f t="shared" si="93"/>
        <v>2.9677535322820433E-4</v>
      </c>
      <c r="J5955" s="33"/>
    </row>
    <row r="5956" spans="1:10">
      <c r="A5956" s="33" t="s">
        <v>116</v>
      </c>
      <c r="B5956" s="34">
        <v>321.66800000000001</v>
      </c>
      <c r="C5956" s="35">
        <v>106814.8</v>
      </c>
      <c r="D5956" s="33" t="s">
        <v>54</v>
      </c>
      <c r="E5956" s="34">
        <v>321.69900000000001</v>
      </c>
      <c r="F5956" s="36">
        <v>3.1000000000005901E-2</v>
      </c>
      <c r="G5956" s="34">
        <v>3.1000000000005901E-2</v>
      </c>
      <c r="H5956" s="35">
        <v>1.2</v>
      </c>
      <c r="I5956" s="37">
        <f t="shared" si="93"/>
        <v>1.1234398229458838E-5</v>
      </c>
      <c r="J5956" s="33"/>
    </row>
    <row r="5957" spans="1:10">
      <c r="A5957" s="33" t="s">
        <v>116</v>
      </c>
      <c r="B5957" s="34">
        <v>321.66800000000001</v>
      </c>
      <c r="C5957" s="35">
        <v>106814.8</v>
      </c>
      <c r="D5957" s="33" t="s">
        <v>273</v>
      </c>
      <c r="E5957" s="34">
        <v>321.702</v>
      </c>
      <c r="F5957" s="36">
        <v>3.3999999999991801E-2</v>
      </c>
      <c r="G5957" s="34">
        <v>3.3999999999991801E-2</v>
      </c>
      <c r="H5957" s="35">
        <v>230.8</v>
      </c>
      <c r="I5957" s="37">
        <f t="shared" si="93"/>
        <v>2.1607492594659166E-3</v>
      </c>
      <c r="J5957" s="33"/>
    </row>
    <row r="5958" spans="1:10">
      <c r="A5958" s="33" t="s">
        <v>116</v>
      </c>
      <c r="B5958" s="34">
        <v>321.66800000000001</v>
      </c>
      <c r="C5958" s="35">
        <v>106814.8</v>
      </c>
      <c r="D5958" s="33" t="s">
        <v>237</v>
      </c>
      <c r="E5958" s="34">
        <v>321.70600000000002</v>
      </c>
      <c r="F5958" s="36">
        <v>3.80000000000109E-2</v>
      </c>
      <c r="G5958" s="34">
        <v>3.80000000000109E-2</v>
      </c>
      <c r="H5958" s="35">
        <v>19833.3</v>
      </c>
      <c r="I5958" s="37">
        <f t="shared" si="93"/>
        <v>0.18567932533693832</v>
      </c>
      <c r="J5958" s="33"/>
    </row>
    <row r="5959" spans="1:10">
      <c r="A5959" s="33" t="s">
        <v>116</v>
      </c>
      <c r="B5959" s="34">
        <v>321.66800000000001</v>
      </c>
      <c r="C5959" s="35">
        <v>106814.8</v>
      </c>
      <c r="D5959" s="33" t="s">
        <v>278</v>
      </c>
      <c r="E5959" s="34">
        <v>321.71100000000001</v>
      </c>
      <c r="F5959" s="36">
        <v>4.3000000000006401E-2</v>
      </c>
      <c r="G5959" s="34">
        <v>4.3000000000006401E-2</v>
      </c>
      <c r="H5959" s="35">
        <v>4001.6</v>
      </c>
      <c r="I5959" s="37">
        <f t="shared" si="93"/>
        <v>3.7462973295835408E-2</v>
      </c>
      <c r="J5959" s="33"/>
    </row>
    <row r="5960" spans="1:10">
      <c r="A5960" s="33" t="s">
        <v>116</v>
      </c>
      <c r="B5960" s="34">
        <v>321.66800000000001</v>
      </c>
      <c r="C5960" s="35">
        <v>106814.8</v>
      </c>
      <c r="D5960" s="33" t="s">
        <v>27</v>
      </c>
      <c r="E5960" s="34">
        <v>321.71199999999999</v>
      </c>
      <c r="F5960" s="36">
        <v>4.3999999999982699E-2</v>
      </c>
      <c r="G5960" s="34">
        <v>4.3999999999982699E-2</v>
      </c>
      <c r="H5960" s="35">
        <v>416</v>
      </c>
      <c r="I5960" s="37">
        <f t="shared" si="93"/>
        <v>3.8945913862123973E-3</v>
      </c>
      <c r="J5960" s="33" t="s">
        <v>116</v>
      </c>
    </row>
    <row r="5961" spans="1:10">
      <c r="A5961" s="33" t="s">
        <v>116</v>
      </c>
      <c r="B5961" s="34">
        <v>321.66800000000001</v>
      </c>
      <c r="C5961" s="35">
        <v>106814.8</v>
      </c>
      <c r="D5961" s="33" t="s">
        <v>309</v>
      </c>
      <c r="E5961" s="34">
        <v>321.71499999999997</v>
      </c>
      <c r="F5961" s="36">
        <v>4.6999999999968602E-2</v>
      </c>
      <c r="G5961" s="34">
        <v>4.6999999999968602E-2</v>
      </c>
      <c r="H5961" s="35">
        <v>0.4</v>
      </c>
      <c r="I5961" s="37">
        <f t="shared" si="93"/>
        <v>3.7447994098196132E-6</v>
      </c>
      <c r="J5961" s="33"/>
    </row>
    <row r="5962" spans="1:10">
      <c r="A5962" s="33" t="s">
        <v>116</v>
      </c>
      <c r="B5962" s="34">
        <v>321.66800000000001</v>
      </c>
      <c r="C5962" s="35">
        <v>106814.8</v>
      </c>
      <c r="D5962" s="33" t="s">
        <v>63</v>
      </c>
      <c r="E5962" s="34">
        <v>321.71699999999998</v>
      </c>
      <c r="F5962" s="36">
        <v>4.89999999999782E-2</v>
      </c>
      <c r="G5962" s="34">
        <v>4.89999999999782E-2</v>
      </c>
      <c r="H5962" s="35">
        <v>583.4</v>
      </c>
      <c r="I5962" s="37">
        <f t="shared" si="93"/>
        <v>5.461789939221905E-3</v>
      </c>
      <c r="J5962" s="33" t="s">
        <v>116</v>
      </c>
    </row>
    <row r="5963" spans="1:10">
      <c r="A5963" s="33" t="s">
        <v>116</v>
      </c>
      <c r="B5963" s="34">
        <v>321.66800000000001</v>
      </c>
      <c r="C5963" s="35">
        <v>106814.8</v>
      </c>
      <c r="D5963" s="33" t="s">
        <v>269</v>
      </c>
      <c r="E5963" s="34">
        <v>321.72899999999998</v>
      </c>
      <c r="F5963" s="36">
        <v>6.0999999999978599E-2</v>
      </c>
      <c r="G5963" s="34">
        <v>6.0999999999978599E-2</v>
      </c>
      <c r="H5963" s="35">
        <v>1461.1</v>
      </c>
      <c r="I5963" s="37">
        <f t="shared" si="93"/>
        <v>1.367881604421859E-2</v>
      </c>
      <c r="J5963" s="33"/>
    </row>
    <row r="5964" spans="1:10">
      <c r="A5964" s="33" t="s">
        <v>116</v>
      </c>
      <c r="B5964" s="34">
        <v>321.66800000000001</v>
      </c>
      <c r="C5964" s="35">
        <v>106814.8</v>
      </c>
      <c r="D5964" s="33" t="s">
        <v>97</v>
      </c>
      <c r="E5964" s="34">
        <v>321.738</v>
      </c>
      <c r="F5964" s="36">
        <v>6.9999999999993207E-2</v>
      </c>
      <c r="G5964" s="34">
        <v>6.9999999999993207E-2</v>
      </c>
      <c r="H5964" s="35">
        <v>26.2</v>
      </c>
      <c r="I5964" s="37">
        <f t="shared" si="93"/>
        <v>2.4528436134318461E-4</v>
      </c>
      <c r="J5964" s="33"/>
    </row>
    <row r="5965" spans="1:10">
      <c r="A5965" s="33" t="s">
        <v>116</v>
      </c>
      <c r="B5965" s="34">
        <v>321.66800000000001</v>
      </c>
      <c r="C5965" s="35">
        <v>106814.8</v>
      </c>
      <c r="D5965" s="33" t="s">
        <v>239</v>
      </c>
      <c r="E5965" s="34">
        <v>321.73899999999998</v>
      </c>
      <c r="F5965" s="36">
        <v>7.0999999999969504E-2</v>
      </c>
      <c r="G5965" s="34">
        <v>7.0999999999969504E-2</v>
      </c>
      <c r="H5965" s="35">
        <v>1906</v>
      </c>
      <c r="I5965" s="37">
        <f t="shared" si="93"/>
        <v>1.7843969187790455E-2</v>
      </c>
      <c r="J5965" s="33"/>
    </row>
    <row r="5966" spans="1:10">
      <c r="A5966" s="33" t="s">
        <v>116</v>
      </c>
      <c r="B5966" s="34">
        <v>321.66800000000001</v>
      </c>
      <c r="C5966" s="35">
        <v>106814.8</v>
      </c>
      <c r="D5966" s="33" t="s">
        <v>271</v>
      </c>
      <c r="E5966" s="34">
        <v>321.74599999999998</v>
      </c>
      <c r="F5966" s="36">
        <v>7.7999999999974506E-2</v>
      </c>
      <c r="G5966" s="34">
        <v>7.7999999999974506E-2</v>
      </c>
      <c r="H5966" s="35">
        <v>600.29999999999995</v>
      </c>
      <c r="I5966" s="37">
        <f t="shared" si="93"/>
        <v>5.620007714286784E-3</v>
      </c>
      <c r="J5966" s="33"/>
    </row>
    <row r="5967" spans="1:10">
      <c r="A5967" s="33" t="s">
        <v>116</v>
      </c>
      <c r="B5967" s="34">
        <v>321.66800000000001</v>
      </c>
      <c r="C5967" s="35">
        <v>106814.8</v>
      </c>
      <c r="D5967" s="33" t="s">
        <v>271</v>
      </c>
      <c r="E5967" s="34">
        <v>321.77300000000002</v>
      </c>
      <c r="F5967" s="36">
        <v>0.105000000000018</v>
      </c>
      <c r="G5967" s="34">
        <v>0.105000000000018</v>
      </c>
      <c r="H5967" s="35">
        <v>347.7</v>
      </c>
      <c r="I5967" s="37">
        <f t="shared" si="93"/>
        <v>3.2551668869856983E-3</v>
      </c>
      <c r="J5967" s="33"/>
    </row>
    <row r="5968" spans="1:10">
      <c r="A5968" s="33" t="s">
        <v>116</v>
      </c>
      <c r="B5968" s="34">
        <v>321.66800000000001</v>
      </c>
      <c r="C5968" s="35">
        <v>106814.8</v>
      </c>
      <c r="D5968" s="33" t="s">
        <v>165</v>
      </c>
      <c r="E5968" s="34">
        <v>321.78199999999998</v>
      </c>
      <c r="F5968" s="36">
        <v>0.113999999999976</v>
      </c>
      <c r="G5968" s="34">
        <v>0.113999999999976</v>
      </c>
      <c r="H5968" s="35">
        <v>109.2</v>
      </c>
      <c r="I5968" s="37">
        <f t="shared" si="93"/>
        <v>1.0223302388807543E-3</v>
      </c>
      <c r="J5968" s="33"/>
    </row>
    <row r="5969" spans="1:10">
      <c r="A5969" s="33" t="s">
        <v>116</v>
      </c>
      <c r="B5969" s="34">
        <v>321.66800000000001</v>
      </c>
      <c r="C5969" s="35">
        <v>106814.8</v>
      </c>
      <c r="D5969" s="33" t="s">
        <v>273</v>
      </c>
      <c r="E5969" s="34">
        <v>321.786</v>
      </c>
      <c r="F5969" s="36">
        <v>0.117999999999995</v>
      </c>
      <c r="G5969" s="34">
        <v>0.117999999999995</v>
      </c>
      <c r="H5969" s="35">
        <v>35.799999999999997</v>
      </c>
      <c r="I5969" s="37">
        <f t="shared" si="93"/>
        <v>3.3515954717885531E-4</v>
      </c>
      <c r="J5969" s="33"/>
    </row>
    <row r="5970" spans="1:10">
      <c r="A5970" s="33" t="s">
        <v>116</v>
      </c>
      <c r="B5970" s="34">
        <v>321.66800000000001</v>
      </c>
      <c r="C5970" s="35">
        <v>106814.8</v>
      </c>
      <c r="D5970" s="33" t="s">
        <v>307</v>
      </c>
      <c r="E5970" s="34">
        <v>321.80599999999998</v>
      </c>
      <c r="F5970" s="36">
        <v>0.137999999999977</v>
      </c>
      <c r="G5970" s="34">
        <v>0.137999999999977</v>
      </c>
      <c r="H5970" s="35">
        <v>490</v>
      </c>
      <c r="I5970" s="37">
        <f t="shared" si="93"/>
        <v>4.5873792770290255E-3</v>
      </c>
      <c r="J5970" s="33"/>
    </row>
    <row r="5971" spans="1:10">
      <c r="A5971" s="33" t="s">
        <v>116</v>
      </c>
      <c r="B5971" s="34">
        <v>324.22800000000001</v>
      </c>
      <c r="C5971" s="35">
        <v>62944.5</v>
      </c>
      <c r="D5971" s="33" t="s">
        <v>275</v>
      </c>
      <c r="E5971" s="34">
        <v>324.07299999999998</v>
      </c>
      <c r="F5971" s="36">
        <v>0.15500000000003</v>
      </c>
      <c r="G5971" s="34">
        <v>0.15500000000003</v>
      </c>
      <c r="H5971" s="35">
        <v>188.3</v>
      </c>
      <c r="I5971" s="37">
        <f t="shared" si="93"/>
        <v>2.9915242793254375E-3</v>
      </c>
      <c r="J5971" s="33"/>
    </row>
    <row r="5972" spans="1:10">
      <c r="A5972" s="33" t="s">
        <v>116</v>
      </c>
      <c r="B5972" s="34">
        <v>324.22800000000001</v>
      </c>
      <c r="C5972" s="35">
        <v>62944.5</v>
      </c>
      <c r="D5972" s="33" t="s">
        <v>33</v>
      </c>
      <c r="E5972" s="34">
        <v>324.08600000000001</v>
      </c>
      <c r="F5972" s="36">
        <v>0.14199999999999599</v>
      </c>
      <c r="G5972" s="34">
        <v>0.14199999999999599</v>
      </c>
      <c r="H5972" s="35">
        <v>202.6</v>
      </c>
      <c r="I5972" s="37">
        <f t="shared" si="93"/>
        <v>3.2187085448291746E-3</v>
      </c>
      <c r="J5972" s="33" t="s">
        <v>116</v>
      </c>
    </row>
    <row r="5973" spans="1:10">
      <c r="A5973" s="33" t="s">
        <v>116</v>
      </c>
      <c r="B5973" s="34">
        <v>324.22800000000001</v>
      </c>
      <c r="C5973" s="35">
        <v>62944.5</v>
      </c>
      <c r="D5973" s="33" t="s">
        <v>193</v>
      </c>
      <c r="E5973" s="34">
        <v>324.09399999999999</v>
      </c>
      <c r="F5973" s="36">
        <v>0.134000000000015</v>
      </c>
      <c r="G5973" s="34">
        <v>0.134000000000015</v>
      </c>
      <c r="H5973" s="35">
        <v>286.89999999999998</v>
      </c>
      <c r="I5973" s="37">
        <f t="shared" si="93"/>
        <v>4.5579836204910672E-3</v>
      </c>
      <c r="J5973" s="33"/>
    </row>
    <row r="5974" spans="1:10">
      <c r="A5974" s="33" t="s">
        <v>116</v>
      </c>
      <c r="B5974" s="34">
        <v>324.22800000000001</v>
      </c>
      <c r="C5974" s="35">
        <v>62944.5</v>
      </c>
      <c r="D5974" s="33" t="s">
        <v>236</v>
      </c>
      <c r="E5974" s="34">
        <v>324.10399999999998</v>
      </c>
      <c r="F5974" s="36">
        <v>0.12400000000002399</v>
      </c>
      <c r="G5974" s="34">
        <v>0.12400000000002399</v>
      </c>
      <c r="H5974" s="35">
        <v>2861.9</v>
      </c>
      <c r="I5974" s="37">
        <f t="shared" si="93"/>
        <v>4.5467038422737492E-2</v>
      </c>
      <c r="J5974" s="33"/>
    </row>
    <row r="5975" spans="1:10">
      <c r="A5975" s="33" t="s">
        <v>116</v>
      </c>
      <c r="B5975" s="34">
        <v>324.22800000000001</v>
      </c>
      <c r="C5975" s="35">
        <v>62944.5</v>
      </c>
      <c r="D5975" s="33" t="s">
        <v>284</v>
      </c>
      <c r="E5975" s="34">
        <v>324.10500000000002</v>
      </c>
      <c r="F5975" s="36">
        <v>0.12299999999999101</v>
      </c>
      <c r="G5975" s="34">
        <v>0.12299999999999101</v>
      </c>
      <c r="H5975" s="35">
        <v>0.5</v>
      </c>
      <c r="I5975" s="37">
        <f t="shared" si="93"/>
        <v>7.9435057868439666E-6</v>
      </c>
      <c r="J5975" s="33"/>
    </row>
    <row r="5976" spans="1:10">
      <c r="A5976" s="33" t="s">
        <v>116</v>
      </c>
      <c r="B5976" s="34">
        <v>324.22800000000001</v>
      </c>
      <c r="C5976" s="35">
        <v>62944.5</v>
      </c>
      <c r="D5976" s="33" t="s">
        <v>271</v>
      </c>
      <c r="E5976" s="34">
        <v>324.11099999999999</v>
      </c>
      <c r="F5976" s="36">
        <v>0.11700000000001901</v>
      </c>
      <c r="G5976" s="34">
        <v>0.11700000000001901</v>
      </c>
      <c r="H5976" s="35">
        <v>432.6</v>
      </c>
      <c r="I5976" s="37">
        <f t="shared" si="93"/>
        <v>6.8727212067773999E-3</v>
      </c>
      <c r="J5976" s="33"/>
    </row>
    <row r="5977" spans="1:10">
      <c r="A5977" s="33" t="s">
        <v>116</v>
      </c>
      <c r="B5977" s="34">
        <v>324.22800000000001</v>
      </c>
      <c r="C5977" s="35">
        <v>62944.5</v>
      </c>
      <c r="D5977" s="33" t="s">
        <v>270</v>
      </c>
      <c r="E5977" s="34">
        <v>324.11500000000001</v>
      </c>
      <c r="F5977" s="36">
        <v>0.113</v>
      </c>
      <c r="G5977" s="34">
        <v>0.113</v>
      </c>
      <c r="H5977" s="35">
        <v>617.4</v>
      </c>
      <c r="I5977" s="37">
        <f t="shared" si="93"/>
        <v>9.8086409455949292E-3</v>
      </c>
      <c r="J5977" s="33"/>
    </row>
    <row r="5978" spans="1:10">
      <c r="A5978" s="33" t="s">
        <v>116</v>
      </c>
      <c r="B5978" s="34">
        <v>324.22800000000001</v>
      </c>
      <c r="C5978" s="35">
        <v>62944.5</v>
      </c>
      <c r="D5978" s="33" t="s">
        <v>268</v>
      </c>
      <c r="E5978" s="34">
        <v>324.12299999999999</v>
      </c>
      <c r="F5978" s="36">
        <v>0.105000000000018</v>
      </c>
      <c r="G5978" s="34">
        <v>0.105000000000018</v>
      </c>
      <c r="H5978" s="35">
        <v>5.6</v>
      </c>
      <c r="I5978" s="37">
        <f t="shared" si="93"/>
        <v>8.8967264812652415E-5</v>
      </c>
      <c r="J5978" s="33"/>
    </row>
    <row r="5979" spans="1:10">
      <c r="A5979" s="33" t="s">
        <v>116</v>
      </c>
      <c r="B5979" s="34">
        <v>324.22800000000001</v>
      </c>
      <c r="C5979" s="35">
        <v>62944.5</v>
      </c>
      <c r="D5979" s="33" t="s">
        <v>291</v>
      </c>
      <c r="E5979" s="34">
        <v>324.12799999999999</v>
      </c>
      <c r="F5979" s="36">
        <v>0.100000000000023</v>
      </c>
      <c r="G5979" s="34">
        <v>0.100000000000023</v>
      </c>
      <c r="H5979" s="35">
        <v>0.1</v>
      </c>
      <c r="I5979" s="37">
        <f t="shared" si="93"/>
        <v>1.5887011573687933E-6</v>
      </c>
      <c r="J5979" s="33"/>
    </row>
    <row r="5980" spans="1:10">
      <c r="A5980" s="33" t="s">
        <v>116</v>
      </c>
      <c r="B5980" s="34">
        <v>324.22800000000001</v>
      </c>
      <c r="C5980" s="35">
        <v>62944.5</v>
      </c>
      <c r="D5980" s="33" t="s">
        <v>279</v>
      </c>
      <c r="E5980" s="34">
        <v>324.14600000000002</v>
      </c>
      <c r="F5980" s="36">
        <v>8.1999999999993606E-2</v>
      </c>
      <c r="G5980" s="34">
        <v>8.1999999999993606E-2</v>
      </c>
      <c r="H5980" s="35">
        <v>1.9</v>
      </c>
      <c r="I5980" s="37">
        <f t="shared" si="93"/>
        <v>3.0185321990007068E-5</v>
      </c>
      <c r="J5980" s="33"/>
    </row>
    <row r="5981" spans="1:10">
      <c r="A5981" s="33" t="s">
        <v>116</v>
      </c>
      <c r="B5981" s="34">
        <v>324.22800000000001</v>
      </c>
      <c r="C5981" s="35">
        <v>62944.5</v>
      </c>
      <c r="D5981" s="33" t="s">
        <v>290</v>
      </c>
      <c r="E5981" s="34">
        <v>324.15100000000001</v>
      </c>
      <c r="F5981" s="36">
        <v>7.6999999999998195E-2</v>
      </c>
      <c r="G5981" s="34">
        <v>7.6999999999998195E-2</v>
      </c>
      <c r="H5981" s="35">
        <v>32.5</v>
      </c>
      <c r="I5981" s="37">
        <f t="shared" si="93"/>
        <v>5.1632787614485775E-4</v>
      </c>
      <c r="J5981" s="33"/>
    </row>
    <row r="5982" spans="1:10">
      <c r="A5982" s="33" t="s">
        <v>116</v>
      </c>
      <c r="B5982" s="34">
        <v>324.22800000000001</v>
      </c>
      <c r="C5982" s="35">
        <v>62944.5</v>
      </c>
      <c r="D5982" s="33" t="s">
        <v>109</v>
      </c>
      <c r="E5982" s="34">
        <v>324.15300000000002</v>
      </c>
      <c r="F5982" s="36">
        <v>7.4999999999988604E-2</v>
      </c>
      <c r="G5982" s="34">
        <v>7.4999999999988604E-2</v>
      </c>
      <c r="H5982" s="35">
        <v>7035.2</v>
      </c>
      <c r="I5982" s="37">
        <f t="shared" si="93"/>
        <v>0.11176830382320933</v>
      </c>
      <c r="J5982" s="33" t="s">
        <v>116</v>
      </c>
    </row>
    <row r="5983" spans="1:10">
      <c r="A5983" s="33" t="s">
        <v>116</v>
      </c>
      <c r="B5983" s="34">
        <v>324.22800000000001</v>
      </c>
      <c r="C5983" s="35">
        <v>62944.5</v>
      </c>
      <c r="D5983" s="33" t="s">
        <v>273</v>
      </c>
      <c r="E5983" s="34">
        <v>324.18200000000002</v>
      </c>
      <c r="F5983" s="36">
        <v>4.5999999999992297E-2</v>
      </c>
      <c r="G5983" s="34">
        <v>4.5999999999992297E-2</v>
      </c>
      <c r="H5983" s="35">
        <v>54.7</v>
      </c>
      <c r="I5983" s="37">
        <f t="shared" si="93"/>
        <v>8.690195330807299E-4</v>
      </c>
      <c r="J5983" s="33"/>
    </row>
    <row r="5984" spans="1:10">
      <c r="A5984" s="33" t="s">
        <v>116</v>
      </c>
      <c r="B5984" s="34">
        <v>324.22800000000001</v>
      </c>
      <c r="C5984" s="35">
        <v>62944.5</v>
      </c>
      <c r="D5984" s="33" t="s">
        <v>237</v>
      </c>
      <c r="E5984" s="34">
        <v>324.19900000000001</v>
      </c>
      <c r="F5984" s="36">
        <v>2.89999999999964E-2</v>
      </c>
      <c r="G5984" s="34">
        <v>2.89999999999964E-2</v>
      </c>
      <c r="H5984" s="35">
        <v>18347.2</v>
      </c>
      <c r="I5984" s="37">
        <f t="shared" si="93"/>
        <v>0.29148217874476723</v>
      </c>
      <c r="J5984" s="33"/>
    </row>
    <row r="5985" spans="1:10">
      <c r="A5985" s="33" t="s">
        <v>116</v>
      </c>
      <c r="B5985" s="34">
        <v>324.22800000000001</v>
      </c>
      <c r="C5985" s="35">
        <v>62944.5</v>
      </c>
      <c r="D5985" s="33" t="s">
        <v>277</v>
      </c>
      <c r="E5985" s="34">
        <v>324.19900000000001</v>
      </c>
      <c r="F5985" s="36">
        <v>2.89999999999964E-2</v>
      </c>
      <c r="G5985" s="34">
        <v>2.89999999999964E-2</v>
      </c>
      <c r="H5985" s="35">
        <v>99.9</v>
      </c>
      <c r="I5985" s="37">
        <f t="shared" si="93"/>
        <v>1.5871124562114244E-3</v>
      </c>
      <c r="J5985" s="33"/>
    </row>
    <row r="5986" spans="1:10">
      <c r="A5986" s="33" t="s">
        <v>116</v>
      </c>
      <c r="B5986" s="34">
        <v>324.22800000000001</v>
      </c>
      <c r="C5986" s="35">
        <v>62944.5</v>
      </c>
      <c r="D5986" s="33" t="s">
        <v>274</v>
      </c>
      <c r="E5986" s="34">
        <v>324.20299999999997</v>
      </c>
      <c r="F5986" s="36">
        <v>2.5000000000034099E-2</v>
      </c>
      <c r="G5986" s="34">
        <v>2.5000000000034099E-2</v>
      </c>
      <c r="H5986" s="35">
        <v>6.7</v>
      </c>
      <c r="I5986" s="37">
        <f t="shared" si="93"/>
        <v>1.0644297754370914E-4</v>
      </c>
      <c r="J5986" s="33"/>
    </row>
    <row r="5987" spans="1:10">
      <c r="A5987" s="33" t="s">
        <v>116</v>
      </c>
      <c r="B5987" s="34">
        <v>324.22800000000001</v>
      </c>
      <c r="C5987" s="35">
        <v>62944.5</v>
      </c>
      <c r="D5987" s="33" t="s">
        <v>270</v>
      </c>
      <c r="E5987" s="34">
        <v>324.20400000000001</v>
      </c>
      <c r="F5987" s="36">
        <v>2.4000000000000899E-2</v>
      </c>
      <c r="G5987" s="34">
        <v>2.4000000000000899E-2</v>
      </c>
      <c r="H5987" s="35">
        <v>339.5</v>
      </c>
      <c r="I5987" s="37">
        <f t="shared" si="93"/>
        <v>5.3936404292670524E-3</v>
      </c>
      <c r="J5987" s="33"/>
    </row>
    <row r="5988" spans="1:10">
      <c r="A5988" s="33" t="s">
        <v>116</v>
      </c>
      <c r="B5988" s="34">
        <v>324.22800000000001</v>
      </c>
      <c r="C5988" s="35">
        <v>62944.5</v>
      </c>
      <c r="D5988" s="33" t="s">
        <v>193</v>
      </c>
      <c r="E5988" s="34">
        <v>324.20499999999998</v>
      </c>
      <c r="F5988" s="36">
        <v>2.3000000000024601E-2</v>
      </c>
      <c r="G5988" s="34">
        <v>2.3000000000024601E-2</v>
      </c>
      <c r="H5988" s="35">
        <v>28.6</v>
      </c>
      <c r="I5988" s="37">
        <f t="shared" si="93"/>
        <v>4.5436853100747489E-4</v>
      </c>
      <c r="J5988" s="33"/>
    </row>
    <row r="5989" spans="1:10">
      <c r="A5989" s="33" t="s">
        <v>116</v>
      </c>
      <c r="B5989" s="34">
        <v>324.22800000000001</v>
      </c>
      <c r="C5989" s="35">
        <v>62944.5</v>
      </c>
      <c r="D5989" s="33" t="s">
        <v>236</v>
      </c>
      <c r="E5989" s="34">
        <v>324.21499999999997</v>
      </c>
      <c r="F5989" s="36">
        <v>1.30000000000337E-2</v>
      </c>
      <c r="G5989" s="34">
        <v>1.30000000000337E-2</v>
      </c>
      <c r="H5989" s="35">
        <v>179.2</v>
      </c>
      <c r="I5989" s="37">
        <f t="shared" si="93"/>
        <v>2.8469524740048773E-3</v>
      </c>
      <c r="J5989" s="33"/>
    </row>
    <row r="5990" spans="1:10">
      <c r="A5990" s="33" t="s">
        <v>116</v>
      </c>
      <c r="B5990" s="34">
        <v>324.22800000000001</v>
      </c>
      <c r="C5990" s="35">
        <v>62944.5</v>
      </c>
      <c r="D5990" s="33" t="s">
        <v>271</v>
      </c>
      <c r="E5990" s="34">
        <v>324.22500000000002</v>
      </c>
      <c r="F5990" s="36">
        <v>2.9999999999858998E-3</v>
      </c>
      <c r="G5990" s="34">
        <v>2.9999999999858998E-3</v>
      </c>
      <c r="H5990" s="35">
        <v>88.5</v>
      </c>
      <c r="I5990" s="37">
        <f t="shared" si="93"/>
        <v>1.4060005242713819E-3</v>
      </c>
      <c r="J5990" s="33"/>
    </row>
    <row r="5991" spans="1:10">
      <c r="A5991" s="33" t="s">
        <v>116</v>
      </c>
      <c r="B5991" s="34">
        <v>324.22800000000001</v>
      </c>
      <c r="C5991" s="35">
        <v>62944.5</v>
      </c>
      <c r="D5991" s="33" t="s">
        <v>273</v>
      </c>
      <c r="E5991" s="34">
        <v>324.25299999999999</v>
      </c>
      <c r="F5991" s="36">
        <v>2.4999999999977301E-2</v>
      </c>
      <c r="G5991" s="34">
        <v>2.4999999999977301E-2</v>
      </c>
      <c r="H5991" s="35">
        <v>80.3</v>
      </c>
      <c r="I5991" s="37">
        <f t="shared" si="93"/>
        <v>1.2757270293671408E-3</v>
      </c>
      <c r="J5991" s="33"/>
    </row>
    <row r="5992" spans="1:10">
      <c r="A5992" s="33" t="s">
        <v>116</v>
      </c>
      <c r="B5992" s="34">
        <v>324.22800000000001</v>
      </c>
      <c r="C5992" s="35">
        <v>62944.5</v>
      </c>
      <c r="D5992" s="33" t="s">
        <v>285</v>
      </c>
      <c r="E5992" s="34">
        <v>324.27</v>
      </c>
      <c r="F5992" s="36">
        <v>4.1999999999973198E-2</v>
      </c>
      <c r="G5992" s="34">
        <v>4.1999999999973198E-2</v>
      </c>
      <c r="H5992" s="35">
        <v>2569</v>
      </c>
      <c r="I5992" s="37">
        <f t="shared" si="93"/>
        <v>4.0813732732804295E-2</v>
      </c>
      <c r="J5992" s="33"/>
    </row>
    <row r="5993" spans="1:10">
      <c r="A5993" s="33" t="s">
        <v>116</v>
      </c>
      <c r="B5993" s="34">
        <v>324.22800000000001</v>
      </c>
      <c r="C5993" s="35">
        <v>62944.5</v>
      </c>
      <c r="D5993" s="33" t="s">
        <v>193</v>
      </c>
      <c r="E5993" s="34">
        <v>324.28399999999999</v>
      </c>
      <c r="F5993" s="36">
        <v>5.5999999999983202E-2</v>
      </c>
      <c r="G5993" s="34">
        <v>5.5999999999983202E-2</v>
      </c>
      <c r="H5993" s="35">
        <v>25.3</v>
      </c>
      <c r="I5993" s="37">
        <f t="shared" si="93"/>
        <v>4.0194139281430469E-4</v>
      </c>
      <c r="J5993" s="33"/>
    </row>
    <row r="5994" spans="1:10">
      <c r="A5994" s="33" t="s">
        <v>116</v>
      </c>
      <c r="B5994" s="34">
        <v>324.22800000000001</v>
      </c>
      <c r="C5994" s="35">
        <v>62944.5</v>
      </c>
      <c r="D5994" s="33" t="s">
        <v>269</v>
      </c>
      <c r="E5994" s="34">
        <v>324.3</v>
      </c>
      <c r="F5994" s="36">
        <v>7.2000000000002701E-2</v>
      </c>
      <c r="G5994" s="34">
        <v>7.2000000000002701E-2</v>
      </c>
      <c r="H5994" s="35">
        <v>30</v>
      </c>
      <c r="I5994" s="37">
        <f t="shared" si="93"/>
        <v>4.7661034721063793E-4</v>
      </c>
      <c r="J5994" s="33"/>
    </row>
    <row r="5995" spans="1:10">
      <c r="A5995" s="33" t="s">
        <v>116</v>
      </c>
      <c r="B5995" s="34">
        <v>324.22800000000001</v>
      </c>
      <c r="C5995" s="35">
        <v>62944.5</v>
      </c>
      <c r="D5995" s="33" t="s">
        <v>271</v>
      </c>
      <c r="E5995" s="34">
        <v>324.303</v>
      </c>
      <c r="F5995" s="36">
        <v>7.4999999999988604E-2</v>
      </c>
      <c r="G5995" s="34">
        <v>7.4999999999988604E-2</v>
      </c>
      <c r="H5995" s="35">
        <v>60.8</v>
      </c>
      <c r="I5995" s="37">
        <f t="shared" si="93"/>
        <v>9.6593030368022619E-4</v>
      </c>
      <c r="J5995" s="33"/>
    </row>
    <row r="5996" spans="1:10">
      <c r="A5996" s="33" t="s">
        <v>116</v>
      </c>
      <c r="B5996" s="34">
        <v>324.22800000000001</v>
      </c>
      <c r="C5996" s="35">
        <v>62944.5</v>
      </c>
      <c r="D5996" s="33" t="s">
        <v>165</v>
      </c>
      <c r="E5996" s="34">
        <v>324.30500000000001</v>
      </c>
      <c r="F5996" s="36">
        <v>7.6999999999998195E-2</v>
      </c>
      <c r="G5996" s="34">
        <v>7.6999999999998195E-2</v>
      </c>
      <c r="H5996" s="35">
        <v>151.1</v>
      </c>
      <c r="I5996" s="37">
        <f t="shared" si="93"/>
        <v>2.4005274487842463E-3</v>
      </c>
      <c r="J5996" s="33"/>
    </row>
    <row r="5997" spans="1:10">
      <c r="A5997" s="33" t="s">
        <v>116</v>
      </c>
      <c r="B5997" s="34">
        <v>324.22800000000001</v>
      </c>
      <c r="C5997" s="35">
        <v>62944.5</v>
      </c>
      <c r="D5997" s="33" t="s">
        <v>286</v>
      </c>
      <c r="E5997" s="34">
        <v>324.31599999999997</v>
      </c>
      <c r="F5997" s="36">
        <v>8.7999999999965398E-2</v>
      </c>
      <c r="G5997" s="34">
        <v>8.7999999999965398E-2</v>
      </c>
      <c r="H5997" s="35">
        <v>15.7</v>
      </c>
      <c r="I5997" s="37">
        <f t="shared" si="93"/>
        <v>2.4942608170690049E-4</v>
      </c>
      <c r="J5997" s="33"/>
    </row>
    <row r="5998" spans="1:10">
      <c r="A5998" s="33" t="s">
        <v>116</v>
      </c>
      <c r="B5998" s="34">
        <v>324.22800000000001</v>
      </c>
      <c r="C5998" s="35">
        <v>62944.5</v>
      </c>
      <c r="D5998" s="33" t="s">
        <v>274</v>
      </c>
      <c r="E5998" s="34">
        <v>324.33300000000003</v>
      </c>
      <c r="F5998" s="36">
        <v>0.105000000000018</v>
      </c>
      <c r="G5998" s="34">
        <v>0.105000000000018</v>
      </c>
      <c r="H5998" s="35">
        <v>30.8</v>
      </c>
      <c r="I5998" s="37">
        <f t="shared" si="93"/>
        <v>4.8931995646958831E-4</v>
      </c>
      <c r="J5998" s="33"/>
    </row>
    <row r="5999" spans="1:10">
      <c r="A5999" s="33" t="s">
        <v>116</v>
      </c>
      <c r="B5999" s="34">
        <v>324.22800000000001</v>
      </c>
      <c r="C5999" s="35">
        <v>62944.5</v>
      </c>
      <c r="D5999" s="33" t="s">
        <v>269</v>
      </c>
      <c r="E5999" s="34">
        <v>324.334</v>
      </c>
      <c r="F5999" s="36">
        <v>0.105999999999995</v>
      </c>
      <c r="G5999" s="34">
        <v>0.105999999999995</v>
      </c>
      <c r="H5999" s="35">
        <v>11.7</v>
      </c>
      <c r="I5999" s="37">
        <f t="shared" si="93"/>
        <v>1.858780354121488E-4</v>
      </c>
      <c r="J5999" s="33"/>
    </row>
    <row r="6000" spans="1:10">
      <c r="A6000" s="33" t="s">
        <v>116</v>
      </c>
      <c r="B6000" s="34">
        <v>324.22800000000001</v>
      </c>
      <c r="C6000" s="35">
        <v>62944.5</v>
      </c>
      <c r="D6000" s="33" t="s">
        <v>25</v>
      </c>
      <c r="E6000" s="34">
        <v>324.33699999999999</v>
      </c>
      <c r="F6000" s="36">
        <v>0.10899999999998</v>
      </c>
      <c r="G6000" s="34">
        <v>0.10899999999998</v>
      </c>
      <c r="H6000" s="35">
        <v>596.5</v>
      </c>
      <c r="I6000" s="37">
        <f t="shared" si="93"/>
        <v>9.4766024037048514E-3</v>
      </c>
      <c r="J6000" s="33" t="s">
        <v>116</v>
      </c>
    </row>
    <row r="6001" spans="1:10">
      <c r="A6001" s="33" t="s">
        <v>116</v>
      </c>
      <c r="B6001" s="34">
        <v>324.22800000000001</v>
      </c>
      <c r="C6001" s="35">
        <v>62944.5</v>
      </c>
      <c r="D6001" s="33" t="s">
        <v>268</v>
      </c>
      <c r="E6001" s="34">
        <v>324.35000000000002</v>
      </c>
      <c r="F6001" s="36">
        <v>0.122000000000014</v>
      </c>
      <c r="G6001" s="34">
        <v>0.122000000000014</v>
      </c>
      <c r="H6001" s="35">
        <v>5.4</v>
      </c>
      <c r="I6001" s="37">
        <f t="shared" si="93"/>
        <v>8.5789862497914833E-5</v>
      </c>
      <c r="J6001" s="33"/>
    </row>
    <row r="6002" spans="1:10">
      <c r="A6002" s="33" t="s">
        <v>116</v>
      </c>
      <c r="B6002" s="34">
        <v>324.22800000000001</v>
      </c>
      <c r="C6002" s="35">
        <v>62944.5</v>
      </c>
      <c r="D6002" s="33" t="s">
        <v>277</v>
      </c>
      <c r="E6002" s="34">
        <v>324.36500000000001</v>
      </c>
      <c r="F6002" s="36">
        <v>0.13700000000000101</v>
      </c>
      <c r="G6002" s="34">
        <v>0.13700000000000101</v>
      </c>
      <c r="H6002" s="35">
        <v>51.3</v>
      </c>
      <c r="I6002" s="37">
        <f t="shared" si="93"/>
        <v>8.1500369373019082E-4</v>
      </c>
      <c r="J6002" s="33"/>
    </row>
    <row r="6003" spans="1:10">
      <c r="A6003" s="33" t="s">
        <v>116</v>
      </c>
      <c r="B6003" s="34">
        <v>324.22800000000001</v>
      </c>
      <c r="C6003" s="35">
        <v>62944.5</v>
      </c>
      <c r="D6003" s="33" t="s">
        <v>33</v>
      </c>
      <c r="E6003" s="34">
        <v>324.37200000000001</v>
      </c>
      <c r="F6003" s="36">
        <v>0.14400000000000601</v>
      </c>
      <c r="G6003" s="34">
        <v>0.14400000000000601</v>
      </c>
      <c r="H6003" s="35">
        <v>136.9</v>
      </c>
      <c r="I6003" s="37">
        <f t="shared" si="93"/>
        <v>2.1749318844378777E-3</v>
      </c>
      <c r="J6003" s="33" t="s">
        <v>116</v>
      </c>
    </row>
    <row r="6004" spans="1:10">
      <c r="A6004" s="33" t="s">
        <v>116</v>
      </c>
      <c r="B6004" s="34">
        <v>324.22800000000001</v>
      </c>
      <c r="C6004" s="35">
        <v>62944.5</v>
      </c>
      <c r="D6004" s="33" t="s">
        <v>240</v>
      </c>
      <c r="E6004" s="34">
        <v>324.37700000000001</v>
      </c>
      <c r="F6004" s="36">
        <v>0.14900000000000099</v>
      </c>
      <c r="G6004" s="34">
        <v>0.14900000000000099</v>
      </c>
      <c r="H6004" s="35">
        <v>86.3</v>
      </c>
      <c r="I6004" s="37">
        <f t="shared" si="93"/>
        <v>1.3710490988092685E-3</v>
      </c>
      <c r="J6004" s="33"/>
    </row>
    <row r="6005" spans="1:10">
      <c r="A6005" s="33" t="s">
        <v>116</v>
      </c>
      <c r="B6005" s="34">
        <v>324.22800000000001</v>
      </c>
      <c r="C6005" s="35">
        <v>62944.5</v>
      </c>
      <c r="D6005" s="33" t="s">
        <v>54</v>
      </c>
      <c r="E6005" s="34">
        <v>324.38400000000001</v>
      </c>
      <c r="F6005" s="36">
        <v>0.15600000000000599</v>
      </c>
      <c r="G6005" s="34">
        <v>0.15600000000000599</v>
      </c>
      <c r="H6005" s="35">
        <v>28.3</v>
      </c>
      <c r="I6005" s="37">
        <f t="shared" si="93"/>
        <v>4.4960242753536845E-4</v>
      </c>
      <c r="J6005" s="33"/>
    </row>
    <row r="6006" spans="1:10">
      <c r="A6006" s="33" t="s">
        <v>116</v>
      </c>
      <c r="B6006" s="34">
        <v>324.22800000000001</v>
      </c>
      <c r="C6006" s="35">
        <v>62944.5</v>
      </c>
      <c r="D6006" s="33" t="s">
        <v>239</v>
      </c>
      <c r="E6006" s="34">
        <v>324.41199999999998</v>
      </c>
      <c r="F6006" s="36">
        <v>0.18399999999996899</v>
      </c>
      <c r="G6006" s="34">
        <v>0.18399999999996899</v>
      </c>
      <c r="H6006" s="35">
        <v>1.4</v>
      </c>
      <c r="I6006" s="37">
        <f t="shared" si="93"/>
        <v>2.2241816203163104E-5</v>
      </c>
      <c r="J6006" s="33"/>
    </row>
    <row r="6007" spans="1:10">
      <c r="A6007" s="33" t="s">
        <v>116</v>
      </c>
      <c r="B6007" s="34">
        <v>324.22800000000001</v>
      </c>
      <c r="C6007" s="35">
        <v>62944.5</v>
      </c>
      <c r="D6007" s="33" t="s">
        <v>184</v>
      </c>
      <c r="E6007" s="34">
        <v>324.416</v>
      </c>
      <c r="F6007" s="36">
        <v>0.18799999999998801</v>
      </c>
      <c r="G6007" s="34">
        <v>0.18799999999998801</v>
      </c>
      <c r="H6007" s="35">
        <v>19.399999999999999</v>
      </c>
      <c r="I6007" s="37">
        <f t="shared" si="93"/>
        <v>3.0820802452954585E-4</v>
      </c>
      <c r="J6007" s="33"/>
    </row>
    <row r="6008" spans="1:10">
      <c r="A6008" s="33" t="s">
        <v>116</v>
      </c>
      <c r="B6008" s="34">
        <v>324.22800000000001</v>
      </c>
      <c r="C6008" s="35">
        <v>62944.5</v>
      </c>
      <c r="D6008" s="33" t="s">
        <v>277</v>
      </c>
      <c r="E6008" s="34">
        <v>324.41699999999997</v>
      </c>
      <c r="F6008" s="36">
        <v>0.188999999999965</v>
      </c>
      <c r="G6008" s="34">
        <v>0.188999999999965</v>
      </c>
      <c r="H6008" s="35">
        <v>258</v>
      </c>
      <c r="I6008" s="37">
        <f t="shared" si="93"/>
        <v>4.0988489860114864E-3</v>
      </c>
      <c r="J6008" s="33"/>
    </row>
    <row r="6009" spans="1:10">
      <c r="A6009" s="33" t="s">
        <v>116</v>
      </c>
      <c r="B6009" s="34">
        <v>324.22800000000001</v>
      </c>
      <c r="C6009" s="35">
        <v>62944.5</v>
      </c>
      <c r="D6009" s="33" t="s">
        <v>97</v>
      </c>
      <c r="E6009" s="34">
        <v>324.41899999999998</v>
      </c>
      <c r="F6009" s="36">
        <v>0.190999999999974</v>
      </c>
      <c r="G6009" s="34">
        <v>0.190999999999974</v>
      </c>
      <c r="H6009" s="35">
        <v>17.600000000000001</v>
      </c>
      <c r="I6009" s="37">
        <f t="shared" si="93"/>
        <v>2.7961140369690764E-4</v>
      </c>
      <c r="J6009" s="33"/>
    </row>
    <row r="6010" spans="1:10">
      <c r="A6010" s="33" t="s">
        <v>116</v>
      </c>
      <c r="B6010" s="34">
        <v>324.22800000000001</v>
      </c>
      <c r="C6010" s="35">
        <v>62944.5</v>
      </c>
      <c r="D6010" s="33" t="s">
        <v>271</v>
      </c>
      <c r="E6010" s="34">
        <v>324.44499999999999</v>
      </c>
      <c r="F6010" s="36">
        <v>0.21699999999998501</v>
      </c>
      <c r="G6010" s="34">
        <v>0.21699999999998501</v>
      </c>
      <c r="H6010" s="35">
        <v>34.5</v>
      </c>
      <c r="I6010" s="37">
        <f t="shared" si="93"/>
        <v>5.4810189929223362E-4</v>
      </c>
      <c r="J6010" s="33"/>
    </row>
    <row r="6011" spans="1:10">
      <c r="A6011" s="33" t="s">
        <v>116</v>
      </c>
      <c r="B6011" s="34">
        <v>360.07400000000001</v>
      </c>
      <c r="C6011" s="35">
        <v>341074.1</v>
      </c>
      <c r="D6011" s="33" t="s">
        <v>109</v>
      </c>
      <c r="E6011" s="34">
        <v>359.916</v>
      </c>
      <c r="F6011" s="36">
        <v>0.15800000000001599</v>
      </c>
      <c r="G6011" s="34">
        <v>0.15800000000001599</v>
      </c>
      <c r="H6011" s="35">
        <v>414.7</v>
      </c>
      <c r="I6011" s="37">
        <f t="shared" si="93"/>
        <v>1.2158648223362608E-3</v>
      </c>
      <c r="J6011" s="33" t="s">
        <v>116</v>
      </c>
    </row>
    <row r="6012" spans="1:10">
      <c r="A6012" s="33" t="s">
        <v>116</v>
      </c>
      <c r="B6012" s="34">
        <v>360.07400000000001</v>
      </c>
      <c r="C6012" s="35">
        <v>341074.1</v>
      </c>
      <c r="D6012" s="33" t="s">
        <v>54</v>
      </c>
      <c r="E6012" s="34">
        <v>359.92099999999999</v>
      </c>
      <c r="F6012" s="36">
        <v>0.15300000000002001</v>
      </c>
      <c r="G6012" s="34">
        <v>0.15300000000002001</v>
      </c>
      <c r="H6012" s="35">
        <v>1.3</v>
      </c>
      <c r="I6012" s="37">
        <f t="shared" si="93"/>
        <v>3.8114884712735447E-6</v>
      </c>
      <c r="J6012" s="33"/>
    </row>
    <row r="6013" spans="1:10">
      <c r="A6013" s="33" t="s">
        <v>116</v>
      </c>
      <c r="B6013" s="34">
        <v>360.07400000000001</v>
      </c>
      <c r="C6013" s="35">
        <v>341074.1</v>
      </c>
      <c r="D6013" s="33" t="s">
        <v>273</v>
      </c>
      <c r="E6013" s="34">
        <v>359.928</v>
      </c>
      <c r="F6013" s="36">
        <v>0.14600000000001501</v>
      </c>
      <c r="G6013" s="34">
        <v>0.14600000000001501</v>
      </c>
      <c r="H6013" s="35">
        <v>27.2</v>
      </c>
      <c r="I6013" s="37">
        <f t="shared" si="93"/>
        <v>7.9748066475877235E-5</v>
      </c>
      <c r="J6013" s="33"/>
    </row>
    <row r="6014" spans="1:10">
      <c r="A6014" s="33" t="s">
        <v>116</v>
      </c>
      <c r="B6014" s="34">
        <v>360.07400000000001</v>
      </c>
      <c r="C6014" s="35">
        <v>341074.1</v>
      </c>
      <c r="D6014" s="33" t="s">
        <v>271</v>
      </c>
      <c r="E6014" s="34">
        <v>359.93599999999998</v>
      </c>
      <c r="F6014" s="36">
        <v>0.13800000000003401</v>
      </c>
      <c r="G6014" s="34">
        <v>0.13800000000003401</v>
      </c>
      <c r="H6014" s="35">
        <v>174.1</v>
      </c>
      <c r="I6014" s="37">
        <f t="shared" si="93"/>
        <v>5.104462637297878E-4</v>
      </c>
      <c r="J6014" s="33"/>
    </row>
    <row r="6015" spans="1:10">
      <c r="A6015" s="33" t="s">
        <v>116</v>
      </c>
      <c r="B6015" s="34">
        <v>360.07400000000001</v>
      </c>
      <c r="C6015" s="35">
        <v>341074.1</v>
      </c>
      <c r="D6015" s="33" t="s">
        <v>239</v>
      </c>
      <c r="E6015" s="34">
        <v>359.93900000000002</v>
      </c>
      <c r="F6015" s="36">
        <v>0.13499999999999099</v>
      </c>
      <c r="G6015" s="34">
        <v>0.13499999999999099</v>
      </c>
      <c r="H6015" s="35">
        <v>9.1</v>
      </c>
      <c r="I6015" s="37">
        <f t="shared" si="93"/>
        <v>2.6680419298914812E-5</v>
      </c>
      <c r="J6015" s="33"/>
    </row>
    <row r="6016" spans="1:10">
      <c r="A6016" s="33" t="s">
        <v>116</v>
      </c>
      <c r="B6016" s="34">
        <v>360.07400000000001</v>
      </c>
      <c r="C6016" s="35">
        <v>341074.1</v>
      </c>
      <c r="D6016" s="33" t="s">
        <v>94</v>
      </c>
      <c r="E6016" s="34">
        <v>359.94799999999998</v>
      </c>
      <c r="F6016" s="36">
        <v>0.126000000000033</v>
      </c>
      <c r="G6016" s="34">
        <v>0.126000000000033</v>
      </c>
      <c r="H6016" s="35">
        <v>82.2</v>
      </c>
      <c r="I6016" s="37">
        <f t="shared" si="93"/>
        <v>2.4100334795283492E-4</v>
      </c>
      <c r="J6016" s="33" t="s">
        <v>116</v>
      </c>
    </row>
    <row r="6017" spans="1:10">
      <c r="A6017" s="33" t="s">
        <v>116</v>
      </c>
      <c r="B6017" s="34">
        <v>360.07400000000001</v>
      </c>
      <c r="C6017" s="35">
        <v>341074.1</v>
      </c>
      <c r="D6017" s="33" t="s">
        <v>84</v>
      </c>
      <c r="E6017" s="34">
        <v>359.95</v>
      </c>
      <c r="F6017" s="36">
        <v>0.12400000000002399</v>
      </c>
      <c r="G6017" s="34">
        <v>0.12400000000002399</v>
      </c>
      <c r="H6017" s="35">
        <v>5162.5</v>
      </c>
      <c r="I6017" s="37">
        <f t="shared" si="93"/>
        <v>1.513600710226898E-2</v>
      </c>
      <c r="J6017" s="33" t="s">
        <v>116</v>
      </c>
    </row>
    <row r="6018" spans="1:10">
      <c r="A6018" s="33" t="s">
        <v>116</v>
      </c>
      <c r="B6018" s="34">
        <v>360.07400000000001</v>
      </c>
      <c r="C6018" s="35">
        <v>341074.1</v>
      </c>
      <c r="D6018" s="33" t="s">
        <v>33</v>
      </c>
      <c r="E6018" s="34">
        <v>359.95600000000002</v>
      </c>
      <c r="F6018" s="36">
        <v>0.117999999999995</v>
      </c>
      <c r="G6018" s="34">
        <v>0.117999999999995</v>
      </c>
      <c r="H6018" s="35">
        <v>371.9</v>
      </c>
      <c r="I6018" s="37">
        <f t="shared" ref="I6018:I6081" si="94">H6018/C6018</f>
        <v>1.0903788942051009E-3</v>
      </c>
      <c r="J6018" s="33" t="s">
        <v>116</v>
      </c>
    </row>
    <row r="6019" spans="1:10">
      <c r="A6019" s="33" t="s">
        <v>116</v>
      </c>
      <c r="B6019" s="34">
        <v>360.07400000000001</v>
      </c>
      <c r="C6019" s="35">
        <v>341074.1</v>
      </c>
      <c r="D6019" s="33" t="s">
        <v>97</v>
      </c>
      <c r="E6019" s="34">
        <v>359.96199999999999</v>
      </c>
      <c r="F6019" s="36">
        <v>0.112000000000023</v>
      </c>
      <c r="G6019" s="34">
        <v>0.112000000000023</v>
      </c>
      <c r="H6019" s="35">
        <v>10.3</v>
      </c>
      <c r="I6019" s="37">
        <f t="shared" si="94"/>
        <v>3.0198716349321165E-5</v>
      </c>
      <c r="J6019" s="33"/>
    </row>
    <row r="6020" spans="1:10">
      <c r="A6020" s="33" t="s">
        <v>116</v>
      </c>
      <c r="B6020" s="34">
        <v>360.07400000000001</v>
      </c>
      <c r="C6020" s="35">
        <v>341074.1</v>
      </c>
      <c r="D6020" s="33" t="s">
        <v>273</v>
      </c>
      <c r="E6020" s="34">
        <v>359.96300000000002</v>
      </c>
      <c r="F6020" s="36">
        <v>0.11099999999999</v>
      </c>
      <c r="G6020" s="34">
        <v>0.11099999999999</v>
      </c>
      <c r="H6020" s="35">
        <v>34.200000000000003</v>
      </c>
      <c r="I6020" s="37">
        <f t="shared" si="94"/>
        <v>1.0027146593658095E-4</v>
      </c>
      <c r="J6020" s="33"/>
    </row>
    <row r="6021" spans="1:10">
      <c r="A6021" s="33" t="s">
        <v>116</v>
      </c>
      <c r="B6021" s="34">
        <v>360.07400000000001</v>
      </c>
      <c r="C6021" s="35">
        <v>341074.1</v>
      </c>
      <c r="D6021" s="33" t="s">
        <v>287</v>
      </c>
      <c r="E6021" s="34">
        <v>359.971</v>
      </c>
      <c r="F6021" s="36">
        <v>0.103000000000009</v>
      </c>
      <c r="G6021" s="34">
        <v>0.103000000000009</v>
      </c>
      <c r="H6021" s="35">
        <v>1050</v>
      </c>
      <c r="I6021" s="37">
        <f t="shared" si="94"/>
        <v>3.0785099191055552E-3</v>
      </c>
      <c r="J6021" s="33"/>
    </row>
    <row r="6022" spans="1:10">
      <c r="A6022" s="33" t="s">
        <v>116</v>
      </c>
      <c r="B6022" s="34">
        <v>360.07400000000001</v>
      </c>
      <c r="C6022" s="35">
        <v>341074.1</v>
      </c>
      <c r="D6022" s="33" t="s">
        <v>268</v>
      </c>
      <c r="E6022" s="34">
        <v>359.976</v>
      </c>
      <c r="F6022" s="36">
        <v>9.8000000000013202E-2</v>
      </c>
      <c r="G6022" s="34">
        <v>9.8000000000013202E-2</v>
      </c>
      <c r="H6022" s="35">
        <v>493.1</v>
      </c>
      <c r="I6022" s="37">
        <f t="shared" si="94"/>
        <v>1.4457268962961422E-3</v>
      </c>
      <c r="J6022" s="33"/>
    </row>
    <row r="6023" spans="1:10">
      <c r="A6023" s="33" t="s">
        <v>116</v>
      </c>
      <c r="B6023" s="34">
        <v>360.07400000000001</v>
      </c>
      <c r="C6023" s="35">
        <v>341074.1</v>
      </c>
      <c r="D6023" s="33" t="s">
        <v>84</v>
      </c>
      <c r="E6023" s="34">
        <v>359.98200000000003</v>
      </c>
      <c r="F6023" s="36">
        <v>9.1999999999984497E-2</v>
      </c>
      <c r="G6023" s="34">
        <v>9.1999999999984497E-2</v>
      </c>
      <c r="H6023" s="35">
        <v>11420.4</v>
      </c>
      <c r="I6023" s="37">
        <f t="shared" si="94"/>
        <v>3.3483633028717222E-2</v>
      </c>
      <c r="J6023" s="33" t="s">
        <v>116</v>
      </c>
    </row>
    <row r="6024" spans="1:10">
      <c r="A6024" s="33" t="s">
        <v>116</v>
      </c>
      <c r="B6024" s="34">
        <v>360.07400000000001</v>
      </c>
      <c r="C6024" s="35">
        <v>341074.1</v>
      </c>
      <c r="D6024" s="33" t="s">
        <v>277</v>
      </c>
      <c r="E6024" s="34">
        <v>359.98399999999998</v>
      </c>
      <c r="F6024" s="36">
        <v>9.0000000000031805E-2</v>
      </c>
      <c r="G6024" s="34">
        <v>9.0000000000031805E-2</v>
      </c>
      <c r="H6024" s="35">
        <v>398.5</v>
      </c>
      <c r="I6024" s="37">
        <f t="shared" si="94"/>
        <v>1.1683678121557749E-3</v>
      </c>
      <c r="J6024" s="33"/>
    </row>
    <row r="6025" spans="1:10">
      <c r="A6025" s="33" t="s">
        <v>116</v>
      </c>
      <c r="B6025" s="34">
        <v>360.07400000000001</v>
      </c>
      <c r="C6025" s="35">
        <v>341074.1</v>
      </c>
      <c r="D6025" s="33" t="s">
        <v>271</v>
      </c>
      <c r="E6025" s="34">
        <v>359.98700000000002</v>
      </c>
      <c r="F6025" s="36">
        <v>8.69999999999891E-2</v>
      </c>
      <c r="G6025" s="34">
        <v>8.69999999999891E-2</v>
      </c>
      <c r="H6025" s="35">
        <v>134.4</v>
      </c>
      <c r="I6025" s="37">
        <f t="shared" si="94"/>
        <v>3.940492696455111E-4</v>
      </c>
      <c r="J6025" s="33"/>
    </row>
    <row r="6026" spans="1:10">
      <c r="A6026" s="33" t="s">
        <v>116</v>
      </c>
      <c r="B6026" s="34">
        <v>360.07400000000001</v>
      </c>
      <c r="C6026" s="35">
        <v>341074.1</v>
      </c>
      <c r="D6026" s="33" t="s">
        <v>236</v>
      </c>
      <c r="E6026" s="34">
        <v>359.988</v>
      </c>
      <c r="F6026" s="36">
        <v>8.6000000000012705E-2</v>
      </c>
      <c r="G6026" s="34">
        <v>8.6000000000012705E-2</v>
      </c>
      <c r="H6026" s="35">
        <v>1182.0999999999999</v>
      </c>
      <c r="I6026" s="37">
        <f t="shared" si="94"/>
        <v>3.4658157860711207E-3</v>
      </c>
      <c r="J6026" s="33"/>
    </row>
    <row r="6027" spans="1:10">
      <c r="A6027" s="33" t="s">
        <v>116</v>
      </c>
      <c r="B6027" s="34">
        <v>360.07400000000001</v>
      </c>
      <c r="C6027" s="35">
        <v>341074.1</v>
      </c>
      <c r="D6027" s="33" t="s">
        <v>25</v>
      </c>
      <c r="E6027" s="34">
        <v>359.99700000000001</v>
      </c>
      <c r="F6027" s="36">
        <v>7.6999999999998195E-2</v>
      </c>
      <c r="G6027" s="34">
        <v>7.6999999999998195E-2</v>
      </c>
      <c r="H6027" s="35">
        <v>395.1</v>
      </c>
      <c r="I6027" s="37">
        <f t="shared" si="94"/>
        <v>1.1583993038462904E-3</v>
      </c>
      <c r="J6027" s="33" t="s">
        <v>116</v>
      </c>
    </row>
    <row r="6028" spans="1:10">
      <c r="A6028" s="33" t="s">
        <v>116</v>
      </c>
      <c r="B6028" s="34">
        <v>360.07400000000001</v>
      </c>
      <c r="C6028" s="35">
        <v>341074.1</v>
      </c>
      <c r="D6028" s="33" t="s">
        <v>33</v>
      </c>
      <c r="E6028" s="34">
        <v>360.03699999999998</v>
      </c>
      <c r="F6028" s="36">
        <v>3.7000000000034602E-2</v>
      </c>
      <c r="G6028" s="34">
        <v>3.7000000000034602E-2</v>
      </c>
      <c r="H6028" s="35">
        <v>3604.2</v>
      </c>
      <c r="I6028" s="37">
        <f t="shared" si="94"/>
        <v>1.0567205190895469E-2</v>
      </c>
      <c r="J6028" s="33" t="s">
        <v>116</v>
      </c>
    </row>
    <row r="6029" spans="1:10">
      <c r="A6029" s="33" t="s">
        <v>116</v>
      </c>
      <c r="B6029" s="34">
        <v>360.07400000000001</v>
      </c>
      <c r="C6029" s="35">
        <v>341074.1</v>
      </c>
      <c r="D6029" s="33" t="s">
        <v>201</v>
      </c>
      <c r="E6029" s="34">
        <v>360.04399999999998</v>
      </c>
      <c r="F6029" s="36">
        <v>3.00000000000296E-2</v>
      </c>
      <c r="G6029" s="34">
        <v>3.00000000000296E-2</v>
      </c>
      <c r="H6029" s="35">
        <v>12900</v>
      </c>
      <c r="I6029" s="37">
        <f t="shared" si="94"/>
        <v>3.7821693291868248E-2</v>
      </c>
      <c r="J6029" s="33"/>
    </row>
    <row r="6030" spans="1:10">
      <c r="A6030" s="33" t="s">
        <v>116</v>
      </c>
      <c r="B6030" s="34">
        <v>360.07400000000001</v>
      </c>
      <c r="C6030" s="35">
        <v>341074.1</v>
      </c>
      <c r="D6030" s="33" t="s">
        <v>25</v>
      </c>
      <c r="E6030" s="34">
        <v>360.05799999999999</v>
      </c>
      <c r="F6030" s="36">
        <v>1.6000000000019599E-2</v>
      </c>
      <c r="G6030" s="34">
        <v>1.6000000000019599E-2</v>
      </c>
      <c r="H6030" s="35">
        <v>743</v>
      </c>
      <c r="I6030" s="37">
        <f t="shared" si="94"/>
        <v>2.1784122570432645E-3</v>
      </c>
      <c r="J6030" s="33" t="s">
        <v>116</v>
      </c>
    </row>
    <row r="6031" spans="1:10">
      <c r="A6031" s="33" t="s">
        <v>116</v>
      </c>
      <c r="B6031" s="34">
        <v>360.07400000000001</v>
      </c>
      <c r="C6031" s="35">
        <v>341074.1</v>
      </c>
      <c r="D6031" s="33" t="s">
        <v>282</v>
      </c>
      <c r="E6031" s="34">
        <v>360.07600000000002</v>
      </c>
      <c r="F6031" s="36">
        <v>2.0000000000095501E-3</v>
      </c>
      <c r="G6031" s="34">
        <v>2.0000000000095501E-3</v>
      </c>
      <c r="H6031" s="35">
        <v>5.9</v>
      </c>
      <c r="I6031" s="37">
        <f t="shared" si="94"/>
        <v>1.7298293831164548E-5</v>
      </c>
      <c r="J6031" s="33"/>
    </row>
    <row r="6032" spans="1:10">
      <c r="A6032" s="33" t="s">
        <v>116</v>
      </c>
      <c r="B6032" s="34">
        <v>360.07400000000001</v>
      </c>
      <c r="C6032" s="35">
        <v>341074.1</v>
      </c>
      <c r="D6032" s="33" t="s">
        <v>165</v>
      </c>
      <c r="E6032" s="34">
        <v>360.08199999999999</v>
      </c>
      <c r="F6032" s="36">
        <v>7.9999999999813606E-3</v>
      </c>
      <c r="G6032" s="34">
        <v>7.9999999999813606E-3</v>
      </c>
      <c r="H6032" s="35">
        <v>5.9</v>
      </c>
      <c r="I6032" s="37">
        <f t="shared" si="94"/>
        <v>1.7298293831164548E-5</v>
      </c>
      <c r="J6032" s="33"/>
    </row>
    <row r="6033" spans="1:10">
      <c r="A6033" s="33" t="s">
        <v>116</v>
      </c>
      <c r="B6033" s="34">
        <v>360.07400000000001</v>
      </c>
      <c r="C6033" s="35">
        <v>341074.1</v>
      </c>
      <c r="D6033" s="33" t="s">
        <v>27</v>
      </c>
      <c r="E6033" s="34">
        <v>360.09</v>
      </c>
      <c r="F6033" s="36">
        <v>1.59999999999627E-2</v>
      </c>
      <c r="G6033" s="34">
        <v>1.59999999999627E-2</v>
      </c>
      <c r="H6033" s="35">
        <v>918.5</v>
      </c>
      <c r="I6033" s="37">
        <f t="shared" si="94"/>
        <v>2.6929632006651928E-3</v>
      </c>
      <c r="J6033" s="33" t="s">
        <v>116</v>
      </c>
    </row>
    <row r="6034" spans="1:10">
      <c r="A6034" s="33" t="s">
        <v>116</v>
      </c>
      <c r="B6034" s="34">
        <v>360.07400000000001</v>
      </c>
      <c r="C6034" s="35">
        <v>341074.1</v>
      </c>
      <c r="D6034" s="33" t="s">
        <v>94</v>
      </c>
      <c r="E6034" s="34">
        <v>360.09500000000003</v>
      </c>
      <c r="F6034" s="36">
        <v>2.1000000000015E-2</v>
      </c>
      <c r="G6034" s="34">
        <v>2.1000000000015E-2</v>
      </c>
      <c r="H6034" s="35">
        <v>4328</v>
      </c>
      <c r="I6034" s="37">
        <f t="shared" si="94"/>
        <v>1.2689324695132231E-2</v>
      </c>
      <c r="J6034" s="33" t="s">
        <v>116</v>
      </c>
    </row>
    <row r="6035" spans="1:10">
      <c r="A6035" s="33" t="s">
        <v>116</v>
      </c>
      <c r="B6035" s="34">
        <v>360.07400000000001</v>
      </c>
      <c r="C6035" s="35">
        <v>341074.1</v>
      </c>
      <c r="D6035" s="33" t="s">
        <v>36</v>
      </c>
      <c r="E6035" s="34">
        <v>360.096</v>
      </c>
      <c r="F6035" s="36">
        <v>2.1999999999991401E-2</v>
      </c>
      <c r="G6035" s="34">
        <v>2.1999999999991401E-2</v>
      </c>
      <c r="H6035" s="35">
        <v>3396.3</v>
      </c>
      <c r="I6035" s="37">
        <f t="shared" si="94"/>
        <v>9.9576602269125687E-3</v>
      </c>
      <c r="J6035" s="33" t="s">
        <v>116</v>
      </c>
    </row>
    <row r="6036" spans="1:10">
      <c r="A6036" s="33" t="s">
        <v>116</v>
      </c>
      <c r="B6036" s="34">
        <v>360.07400000000001</v>
      </c>
      <c r="C6036" s="35">
        <v>341074.1</v>
      </c>
      <c r="D6036" s="33" t="s">
        <v>271</v>
      </c>
      <c r="E6036" s="34">
        <v>360.10300000000001</v>
      </c>
      <c r="F6036" s="36">
        <v>2.89999999999964E-2</v>
      </c>
      <c r="G6036" s="34">
        <v>2.89999999999964E-2</v>
      </c>
      <c r="H6036" s="35">
        <v>2433.5</v>
      </c>
      <c r="I6036" s="37">
        <f t="shared" si="94"/>
        <v>7.1348132268032084E-3</v>
      </c>
      <c r="J6036" s="33"/>
    </row>
    <row r="6037" spans="1:10">
      <c r="A6037" s="33" t="s">
        <v>116</v>
      </c>
      <c r="B6037" s="34">
        <v>360.07400000000001</v>
      </c>
      <c r="C6037" s="35">
        <v>341074.1</v>
      </c>
      <c r="D6037" s="33" t="s">
        <v>133</v>
      </c>
      <c r="E6037" s="34">
        <v>360.10500000000002</v>
      </c>
      <c r="F6037" s="36">
        <v>3.1000000000005901E-2</v>
      </c>
      <c r="G6037" s="34">
        <v>3.1000000000005901E-2</v>
      </c>
      <c r="H6037" s="35">
        <v>829.6</v>
      </c>
      <c r="I6037" s="37">
        <f t="shared" si="94"/>
        <v>2.432316027514256E-3</v>
      </c>
      <c r="J6037" s="33"/>
    </row>
    <row r="6038" spans="1:10">
      <c r="A6038" s="33" t="s">
        <v>116</v>
      </c>
      <c r="B6038" s="34">
        <v>360.07400000000001</v>
      </c>
      <c r="C6038" s="35">
        <v>341074.1</v>
      </c>
      <c r="D6038" s="33" t="s">
        <v>236</v>
      </c>
      <c r="E6038" s="34">
        <v>360.11700000000002</v>
      </c>
      <c r="F6038" s="36">
        <v>4.3000000000006401E-2</v>
      </c>
      <c r="G6038" s="34">
        <v>4.3000000000006401E-2</v>
      </c>
      <c r="H6038" s="35">
        <v>2260.1</v>
      </c>
      <c r="I6038" s="37">
        <f t="shared" si="94"/>
        <v>6.6264193030194903E-3</v>
      </c>
      <c r="J6038" s="33"/>
    </row>
    <row r="6039" spans="1:10">
      <c r="A6039" s="33" t="s">
        <v>116</v>
      </c>
      <c r="B6039" s="34">
        <v>360.07400000000001</v>
      </c>
      <c r="C6039" s="35">
        <v>341074.1</v>
      </c>
      <c r="D6039" s="33" t="s">
        <v>277</v>
      </c>
      <c r="E6039" s="34">
        <v>360.12</v>
      </c>
      <c r="F6039" s="36">
        <v>4.5999999999992297E-2</v>
      </c>
      <c r="G6039" s="34">
        <v>4.5999999999992297E-2</v>
      </c>
      <c r="H6039" s="35">
        <v>73.3</v>
      </c>
      <c r="I6039" s="37">
        <f t="shared" si="94"/>
        <v>2.1490931149565446E-4</v>
      </c>
      <c r="J6039" s="33"/>
    </row>
    <row r="6040" spans="1:10">
      <c r="A6040" s="33" t="s">
        <v>116</v>
      </c>
      <c r="B6040" s="34">
        <v>360.07400000000001</v>
      </c>
      <c r="C6040" s="35">
        <v>341074.1</v>
      </c>
      <c r="D6040" s="33" t="s">
        <v>239</v>
      </c>
      <c r="E6040" s="34">
        <v>360.16399999999999</v>
      </c>
      <c r="F6040" s="36">
        <v>8.9999999999975003E-2</v>
      </c>
      <c r="G6040" s="34">
        <v>8.9999999999975003E-2</v>
      </c>
      <c r="H6040" s="35">
        <v>108.3</v>
      </c>
      <c r="I6040" s="37">
        <f t="shared" si="94"/>
        <v>3.1752630879917297E-4</v>
      </c>
      <c r="J6040" s="33"/>
    </row>
    <row r="6041" spans="1:10">
      <c r="A6041" s="33" t="s">
        <v>116</v>
      </c>
      <c r="B6041" s="34">
        <v>360.07400000000001</v>
      </c>
      <c r="C6041" s="35">
        <v>341074.1</v>
      </c>
      <c r="D6041" s="33" t="s">
        <v>270</v>
      </c>
      <c r="E6041" s="34">
        <v>360.16899999999998</v>
      </c>
      <c r="F6041" s="36">
        <v>9.49999999999704E-2</v>
      </c>
      <c r="G6041" s="34">
        <v>9.49999999999704E-2</v>
      </c>
      <c r="H6041" s="35">
        <v>2213.1999999999998</v>
      </c>
      <c r="I6041" s="37">
        <f t="shared" si="94"/>
        <v>6.4889125266327759E-3</v>
      </c>
      <c r="J6041" s="33"/>
    </row>
    <row r="6042" spans="1:10">
      <c r="A6042" s="33" t="s">
        <v>116</v>
      </c>
      <c r="B6042" s="34">
        <v>360.07400000000001</v>
      </c>
      <c r="C6042" s="35">
        <v>341074.1</v>
      </c>
      <c r="D6042" s="33" t="s">
        <v>25</v>
      </c>
      <c r="E6042" s="34">
        <v>360.17599999999999</v>
      </c>
      <c r="F6042" s="36">
        <v>0.101999999999975</v>
      </c>
      <c r="G6042" s="34">
        <v>0.101999999999975</v>
      </c>
      <c r="H6042" s="35">
        <v>143.4</v>
      </c>
      <c r="I6042" s="37">
        <f t="shared" si="94"/>
        <v>4.204364975235587E-4</v>
      </c>
      <c r="J6042" s="33" t="s">
        <v>116</v>
      </c>
    </row>
    <row r="6043" spans="1:10">
      <c r="A6043" s="33" t="s">
        <v>116</v>
      </c>
      <c r="B6043" s="34">
        <v>360.07400000000001</v>
      </c>
      <c r="C6043" s="35">
        <v>341074.1</v>
      </c>
      <c r="D6043" s="33" t="s">
        <v>240</v>
      </c>
      <c r="E6043" s="34">
        <v>360.178</v>
      </c>
      <c r="F6043" s="36">
        <v>0.10399999999998499</v>
      </c>
      <c r="G6043" s="34">
        <v>0.10399999999998499</v>
      </c>
      <c r="H6043" s="35">
        <v>2.4</v>
      </c>
      <c r="I6043" s="37">
        <f t="shared" si="94"/>
        <v>7.0365941008126975E-6</v>
      </c>
      <c r="J6043" s="33"/>
    </row>
    <row r="6044" spans="1:10">
      <c r="A6044" s="33" t="s">
        <v>116</v>
      </c>
      <c r="B6044" s="34">
        <v>360.07400000000001</v>
      </c>
      <c r="C6044" s="35">
        <v>341074.1</v>
      </c>
      <c r="D6044" s="33" t="s">
        <v>284</v>
      </c>
      <c r="E6044" s="34">
        <v>360.18299999999999</v>
      </c>
      <c r="F6044" s="36">
        <v>0.10899999999998</v>
      </c>
      <c r="G6044" s="34">
        <v>0.10899999999998</v>
      </c>
      <c r="H6044" s="35">
        <v>0.9</v>
      </c>
      <c r="I6044" s="37">
        <f t="shared" si="94"/>
        <v>2.6387227878047618E-6</v>
      </c>
      <c r="J6044" s="33"/>
    </row>
    <row r="6045" spans="1:10">
      <c r="A6045" s="33" t="s">
        <v>116</v>
      </c>
      <c r="B6045" s="34">
        <v>360.07400000000001</v>
      </c>
      <c r="C6045" s="35">
        <v>341074.1</v>
      </c>
      <c r="D6045" s="33" t="s">
        <v>275</v>
      </c>
      <c r="E6045" s="34">
        <v>360.18799999999999</v>
      </c>
      <c r="F6045" s="36">
        <v>0.113999999999976</v>
      </c>
      <c r="G6045" s="34">
        <v>0.113999999999976</v>
      </c>
      <c r="H6045" s="35">
        <v>3.1</v>
      </c>
      <c r="I6045" s="37">
        <f t="shared" si="94"/>
        <v>9.0889340468830687E-6</v>
      </c>
      <c r="J6045" s="33"/>
    </row>
    <row r="6046" spans="1:10">
      <c r="A6046" s="33" t="s">
        <v>116</v>
      </c>
      <c r="B6046" s="34">
        <v>360.07400000000001</v>
      </c>
      <c r="C6046" s="35">
        <v>341074.1</v>
      </c>
      <c r="D6046" s="33" t="s">
        <v>116</v>
      </c>
      <c r="E6046" s="34">
        <v>360.19200000000001</v>
      </c>
      <c r="F6046" s="36">
        <v>0.117999999999995</v>
      </c>
      <c r="G6046" s="34">
        <v>0.117999999999995</v>
      </c>
      <c r="H6046" s="35">
        <v>122495.4</v>
      </c>
      <c r="I6046" s="37">
        <f t="shared" si="94"/>
        <v>0.35914600375695488</v>
      </c>
      <c r="J6046" s="33" t="s">
        <v>116</v>
      </c>
    </row>
    <row r="6047" spans="1:10">
      <c r="A6047" s="33" t="s">
        <v>116</v>
      </c>
      <c r="B6047" s="34">
        <v>360.07400000000001</v>
      </c>
      <c r="C6047" s="35">
        <v>341074.1</v>
      </c>
      <c r="D6047" s="33" t="s">
        <v>36</v>
      </c>
      <c r="E6047" s="34">
        <v>360.20100000000002</v>
      </c>
      <c r="F6047" s="36">
        <v>0.12700000000000999</v>
      </c>
      <c r="G6047" s="34">
        <v>0.12700000000000999</v>
      </c>
      <c r="H6047" s="35">
        <v>456.7</v>
      </c>
      <c r="I6047" s="37">
        <f t="shared" si="94"/>
        <v>1.3390052191004829E-3</v>
      </c>
      <c r="J6047" s="33" t="s">
        <v>116</v>
      </c>
    </row>
    <row r="6048" spans="1:10">
      <c r="A6048" s="33" t="s">
        <v>116</v>
      </c>
      <c r="B6048" s="34">
        <v>360.07400000000001</v>
      </c>
      <c r="C6048" s="35">
        <v>341074.1</v>
      </c>
      <c r="D6048" s="33" t="s">
        <v>286</v>
      </c>
      <c r="E6048" s="34">
        <v>360.202</v>
      </c>
      <c r="F6048" s="36">
        <v>0.12799999999998601</v>
      </c>
      <c r="G6048" s="34">
        <v>0.12799999999998601</v>
      </c>
      <c r="H6048" s="35">
        <v>42.3</v>
      </c>
      <c r="I6048" s="37">
        <f t="shared" si="94"/>
        <v>1.2401997102682379E-4</v>
      </c>
      <c r="J6048" s="33"/>
    </row>
    <row r="6049" spans="1:10">
      <c r="A6049" s="33" t="s">
        <v>116</v>
      </c>
      <c r="B6049" s="34">
        <v>360.07400000000001</v>
      </c>
      <c r="C6049" s="35">
        <v>341074.1</v>
      </c>
      <c r="D6049" s="33" t="s">
        <v>54</v>
      </c>
      <c r="E6049" s="34">
        <v>360.20800000000003</v>
      </c>
      <c r="F6049" s="36">
        <v>0.134000000000015</v>
      </c>
      <c r="G6049" s="34">
        <v>0.134000000000015</v>
      </c>
      <c r="H6049" s="35">
        <v>449.8</v>
      </c>
      <c r="I6049" s="37">
        <f t="shared" si="94"/>
        <v>1.3187750110606464E-3</v>
      </c>
      <c r="J6049" s="33"/>
    </row>
    <row r="6050" spans="1:10">
      <c r="A6050" s="33" t="s">
        <v>116</v>
      </c>
      <c r="B6050" s="34">
        <v>360.07400000000001</v>
      </c>
      <c r="C6050" s="35">
        <v>341074.1</v>
      </c>
      <c r="D6050" s="33" t="s">
        <v>97</v>
      </c>
      <c r="E6050" s="34">
        <v>360.20800000000003</v>
      </c>
      <c r="F6050" s="36">
        <v>0.134000000000015</v>
      </c>
      <c r="G6050" s="34">
        <v>0.134000000000015</v>
      </c>
      <c r="H6050" s="35">
        <v>1.6</v>
      </c>
      <c r="I6050" s="37">
        <f t="shared" si="94"/>
        <v>4.6910627338751325E-6</v>
      </c>
      <c r="J6050" s="33"/>
    </row>
    <row r="6051" spans="1:10">
      <c r="A6051" s="33" t="s">
        <v>116</v>
      </c>
      <c r="B6051" s="34">
        <v>361.10399999999998</v>
      </c>
      <c r="C6051" s="35">
        <v>121194.4</v>
      </c>
      <c r="D6051" s="33" t="s">
        <v>193</v>
      </c>
      <c r="E6051" s="34">
        <v>360.99299999999999</v>
      </c>
      <c r="F6051" s="36">
        <v>0.11099999999999</v>
      </c>
      <c r="G6051" s="34">
        <v>0.11099999999999</v>
      </c>
      <c r="H6051" s="35">
        <v>149.19999999999999</v>
      </c>
      <c r="I6051" s="37">
        <f t="shared" si="94"/>
        <v>1.2310799838936453E-3</v>
      </c>
      <c r="J6051" s="33"/>
    </row>
    <row r="6052" spans="1:10">
      <c r="A6052" s="33" t="s">
        <v>116</v>
      </c>
      <c r="B6052" s="34">
        <v>361.10399999999998</v>
      </c>
      <c r="C6052" s="35">
        <v>121194.4</v>
      </c>
      <c r="D6052" s="33" t="s">
        <v>109</v>
      </c>
      <c r="E6052" s="34">
        <v>361.00299999999999</v>
      </c>
      <c r="F6052" s="36">
        <v>0.10099999999999899</v>
      </c>
      <c r="G6052" s="34">
        <v>0.10099999999999899</v>
      </c>
      <c r="H6052" s="35">
        <v>156.1</v>
      </c>
      <c r="I6052" s="37">
        <f t="shared" si="94"/>
        <v>1.2880133075455632E-3</v>
      </c>
      <c r="J6052" s="33" t="s">
        <v>116</v>
      </c>
    </row>
    <row r="6053" spans="1:10">
      <c r="A6053" s="33" t="s">
        <v>116</v>
      </c>
      <c r="B6053" s="34">
        <v>361.10399999999998</v>
      </c>
      <c r="C6053" s="35">
        <v>121194.4</v>
      </c>
      <c r="D6053" s="33" t="s">
        <v>239</v>
      </c>
      <c r="E6053" s="34">
        <v>361.00400000000002</v>
      </c>
      <c r="F6053" s="36">
        <v>9.9999999999965894E-2</v>
      </c>
      <c r="G6053" s="34">
        <v>9.9999999999965894E-2</v>
      </c>
      <c r="H6053" s="35">
        <v>10.1</v>
      </c>
      <c r="I6053" s="37">
        <f t="shared" si="94"/>
        <v>8.3337183896285642E-5</v>
      </c>
      <c r="J6053" s="33"/>
    </row>
    <row r="6054" spans="1:10">
      <c r="A6054" s="33" t="s">
        <v>116</v>
      </c>
      <c r="B6054" s="34">
        <v>361.10399999999998</v>
      </c>
      <c r="C6054" s="35">
        <v>121194.4</v>
      </c>
      <c r="D6054" s="33" t="s">
        <v>271</v>
      </c>
      <c r="E6054" s="34">
        <v>361.00400000000002</v>
      </c>
      <c r="F6054" s="36">
        <v>9.9999999999965894E-2</v>
      </c>
      <c r="G6054" s="34">
        <v>9.9999999999965894E-2</v>
      </c>
      <c r="H6054" s="35">
        <v>527.4</v>
      </c>
      <c r="I6054" s="37">
        <f t="shared" si="94"/>
        <v>4.3516862165248558E-3</v>
      </c>
      <c r="J6054" s="33"/>
    </row>
    <row r="6055" spans="1:10">
      <c r="A6055" s="33" t="s">
        <v>116</v>
      </c>
      <c r="B6055" s="34">
        <v>361.10399999999998</v>
      </c>
      <c r="C6055" s="35">
        <v>121194.4</v>
      </c>
      <c r="D6055" s="33" t="s">
        <v>274</v>
      </c>
      <c r="E6055" s="34">
        <v>361.00599999999997</v>
      </c>
      <c r="F6055" s="36">
        <v>9.8000000000013202E-2</v>
      </c>
      <c r="G6055" s="34">
        <v>9.8000000000013202E-2</v>
      </c>
      <c r="H6055" s="35">
        <v>8.3000000000000007</v>
      </c>
      <c r="I6055" s="37">
        <f t="shared" si="94"/>
        <v>6.8485012508828804E-5</v>
      </c>
      <c r="J6055" s="33"/>
    </row>
    <row r="6056" spans="1:10">
      <c r="A6056" s="33" t="s">
        <v>116</v>
      </c>
      <c r="B6056" s="34">
        <v>361.10399999999998</v>
      </c>
      <c r="C6056" s="35">
        <v>121194.4</v>
      </c>
      <c r="D6056" s="33" t="s">
        <v>33</v>
      </c>
      <c r="E6056" s="34">
        <v>361.01</v>
      </c>
      <c r="F6056" s="36">
        <v>9.3999999999994102E-2</v>
      </c>
      <c r="G6056" s="34">
        <v>9.3999999999994102E-2</v>
      </c>
      <c r="H6056" s="35">
        <v>57.6</v>
      </c>
      <c r="I6056" s="37">
        <f t="shared" si="94"/>
        <v>4.752694843986191E-4</v>
      </c>
      <c r="J6056" s="33" t="s">
        <v>116</v>
      </c>
    </row>
    <row r="6057" spans="1:10">
      <c r="A6057" s="33" t="s">
        <v>116</v>
      </c>
      <c r="B6057" s="34">
        <v>361.10399999999998</v>
      </c>
      <c r="C6057" s="35">
        <v>121194.4</v>
      </c>
      <c r="D6057" s="33" t="s">
        <v>237</v>
      </c>
      <c r="E6057" s="34">
        <v>361.01499999999999</v>
      </c>
      <c r="F6057" s="36">
        <v>8.8999999999998594E-2</v>
      </c>
      <c r="G6057" s="34">
        <v>8.8999999999998594E-2</v>
      </c>
      <c r="H6057" s="35">
        <v>165.3</v>
      </c>
      <c r="I6057" s="37">
        <f t="shared" si="94"/>
        <v>1.3639244057481205E-3</v>
      </c>
      <c r="J6057" s="33"/>
    </row>
    <row r="6058" spans="1:10">
      <c r="A6058" s="33" t="s">
        <v>116</v>
      </c>
      <c r="B6058" s="34">
        <v>361.10399999999998</v>
      </c>
      <c r="C6058" s="35">
        <v>121194.4</v>
      </c>
      <c r="D6058" s="33" t="s">
        <v>97</v>
      </c>
      <c r="E6058" s="34">
        <v>361.01600000000002</v>
      </c>
      <c r="F6058" s="36">
        <v>8.7999999999965398E-2</v>
      </c>
      <c r="G6058" s="34">
        <v>8.7999999999965398E-2</v>
      </c>
      <c r="H6058" s="35">
        <v>84.2</v>
      </c>
      <c r="I6058" s="37">
        <f t="shared" si="94"/>
        <v>6.947515726799259E-4</v>
      </c>
      <c r="J6058" s="33"/>
    </row>
    <row r="6059" spans="1:10">
      <c r="A6059" s="33" t="s">
        <v>116</v>
      </c>
      <c r="B6059" s="34">
        <v>361.10399999999998</v>
      </c>
      <c r="C6059" s="35">
        <v>121194.4</v>
      </c>
      <c r="D6059" s="33" t="s">
        <v>36</v>
      </c>
      <c r="E6059" s="34">
        <v>361.01600000000002</v>
      </c>
      <c r="F6059" s="36">
        <v>8.7999999999965398E-2</v>
      </c>
      <c r="G6059" s="34">
        <v>8.7999999999965398E-2</v>
      </c>
      <c r="H6059" s="35">
        <v>25.9</v>
      </c>
      <c r="I6059" s="37">
        <f t="shared" si="94"/>
        <v>2.1370624385285127E-4</v>
      </c>
      <c r="J6059" s="33" t="s">
        <v>116</v>
      </c>
    </row>
    <row r="6060" spans="1:10">
      <c r="A6060" s="33" t="s">
        <v>116</v>
      </c>
      <c r="B6060" s="34">
        <v>361.10399999999998</v>
      </c>
      <c r="C6060" s="35">
        <v>121194.4</v>
      </c>
      <c r="D6060" s="33" t="s">
        <v>63</v>
      </c>
      <c r="E6060" s="34">
        <v>361.02300000000002</v>
      </c>
      <c r="F6060" s="36">
        <v>8.0999999999960395E-2</v>
      </c>
      <c r="G6060" s="34">
        <v>8.0999999999960395E-2</v>
      </c>
      <c r="H6060" s="35">
        <v>138.1</v>
      </c>
      <c r="I6060" s="37">
        <f t="shared" si="94"/>
        <v>1.1394915936709948E-3</v>
      </c>
      <c r="J6060" s="33" t="s">
        <v>116</v>
      </c>
    </row>
    <row r="6061" spans="1:10">
      <c r="A6061" s="33" t="s">
        <v>116</v>
      </c>
      <c r="B6061" s="34">
        <v>361.10399999999998</v>
      </c>
      <c r="C6061" s="35">
        <v>121194.4</v>
      </c>
      <c r="D6061" s="33" t="s">
        <v>240</v>
      </c>
      <c r="E6061" s="34">
        <v>361.029</v>
      </c>
      <c r="F6061" s="36">
        <v>7.4999999999988604E-2</v>
      </c>
      <c r="G6061" s="34">
        <v>7.4999999999988604E-2</v>
      </c>
      <c r="H6061" s="35">
        <v>139.19999999999999</v>
      </c>
      <c r="I6061" s="37">
        <f t="shared" si="94"/>
        <v>1.1485679206299961E-3</v>
      </c>
      <c r="J6061" s="33"/>
    </row>
    <row r="6062" spans="1:10">
      <c r="A6062" s="33" t="s">
        <v>116</v>
      </c>
      <c r="B6062" s="34">
        <v>361.10399999999998</v>
      </c>
      <c r="C6062" s="35">
        <v>121194.4</v>
      </c>
      <c r="D6062" s="33" t="s">
        <v>271</v>
      </c>
      <c r="E6062" s="34">
        <v>361.04</v>
      </c>
      <c r="F6062" s="36">
        <v>6.3999999999964502E-2</v>
      </c>
      <c r="G6062" s="34">
        <v>6.3999999999964502E-2</v>
      </c>
      <c r="H6062" s="35">
        <v>370.7</v>
      </c>
      <c r="I6062" s="37">
        <f t="shared" si="94"/>
        <v>3.0587221851834739E-3</v>
      </c>
      <c r="J6062" s="33"/>
    </row>
    <row r="6063" spans="1:10">
      <c r="A6063" s="33" t="s">
        <v>116</v>
      </c>
      <c r="B6063" s="34">
        <v>361.10399999999998</v>
      </c>
      <c r="C6063" s="35">
        <v>121194.4</v>
      </c>
      <c r="D6063" s="33" t="s">
        <v>165</v>
      </c>
      <c r="E6063" s="34">
        <v>361.04599999999999</v>
      </c>
      <c r="F6063" s="36">
        <v>5.7999999999992703E-2</v>
      </c>
      <c r="G6063" s="34">
        <v>5.7999999999992703E-2</v>
      </c>
      <c r="H6063" s="35">
        <v>610</v>
      </c>
      <c r="I6063" s="37">
        <f t="shared" si="94"/>
        <v>5.0332358590825981E-3</v>
      </c>
      <c r="J6063" s="33"/>
    </row>
    <row r="6064" spans="1:10">
      <c r="A6064" s="33" t="s">
        <v>116</v>
      </c>
      <c r="B6064" s="34">
        <v>361.10399999999998</v>
      </c>
      <c r="C6064" s="35">
        <v>121194.4</v>
      </c>
      <c r="D6064" s="33" t="s">
        <v>277</v>
      </c>
      <c r="E6064" s="34">
        <v>361.048</v>
      </c>
      <c r="F6064" s="36">
        <v>5.5999999999983202E-2</v>
      </c>
      <c r="G6064" s="34">
        <v>5.5999999999983202E-2</v>
      </c>
      <c r="H6064" s="35">
        <v>225.1</v>
      </c>
      <c r="I6064" s="37">
        <f t="shared" si="94"/>
        <v>1.8573465440647422E-3</v>
      </c>
      <c r="J6064" s="33"/>
    </row>
    <row r="6065" spans="1:10">
      <c r="A6065" s="33" t="s">
        <v>116</v>
      </c>
      <c r="B6065" s="34">
        <v>361.10399999999998</v>
      </c>
      <c r="C6065" s="35">
        <v>121194.4</v>
      </c>
      <c r="D6065" s="33" t="s">
        <v>292</v>
      </c>
      <c r="E6065" s="34">
        <v>361.05099999999999</v>
      </c>
      <c r="F6065" s="36">
        <v>5.2999999999997299E-2</v>
      </c>
      <c r="G6065" s="34">
        <v>5.2999999999997299E-2</v>
      </c>
      <c r="H6065" s="35">
        <v>1362</v>
      </c>
      <c r="I6065" s="37">
        <f t="shared" si="94"/>
        <v>1.1238143016509014E-2</v>
      </c>
      <c r="J6065" s="33"/>
    </row>
    <row r="6066" spans="1:10">
      <c r="A6066" s="33" t="s">
        <v>116</v>
      </c>
      <c r="B6066" s="34">
        <v>361.10399999999998</v>
      </c>
      <c r="C6066" s="35">
        <v>121194.4</v>
      </c>
      <c r="D6066" s="33" t="s">
        <v>275</v>
      </c>
      <c r="E6066" s="34">
        <v>361.06099999999998</v>
      </c>
      <c r="F6066" s="36">
        <v>4.3000000000006401E-2</v>
      </c>
      <c r="G6066" s="34">
        <v>4.3000000000006401E-2</v>
      </c>
      <c r="H6066" s="35">
        <v>3.1</v>
      </c>
      <c r="I6066" s="37">
        <f t="shared" si="94"/>
        <v>2.5578739611731236E-5</v>
      </c>
      <c r="J6066" s="33"/>
    </row>
    <row r="6067" spans="1:10">
      <c r="A6067" s="33" t="s">
        <v>116</v>
      </c>
      <c r="B6067" s="34">
        <v>361.10399999999998</v>
      </c>
      <c r="C6067" s="35">
        <v>121194.4</v>
      </c>
      <c r="D6067" s="33" t="s">
        <v>97</v>
      </c>
      <c r="E6067" s="34">
        <v>361.06900000000002</v>
      </c>
      <c r="F6067" s="36">
        <v>3.4999999999968202E-2</v>
      </c>
      <c r="G6067" s="34">
        <v>3.4999999999968202E-2</v>
      </c>
      <c r="H6067" s="35">
        <v>2.2000000000000002</v>
      </c>
      <c r="I6067" s="37">
        <f t="shared" si="94"/>
        <v>1.8152653918002814E-5</v>
      </c>
      <c r="J6067" s="33"/>
    </row>
    <row r="6068" spans="1:10">
      <c r="A6068" s="33" t="s">
        <v>116</v>
      </c>
      <c r="B6068" s="34">
        <v>361.10399999999998</v>
      </c>
      <c r="C6068" s="35">
        <v>121194.4</v>
      </c>
      <c r="D6068" s="33" t="s">
        <v>36</v>
      </c>
      <c r="E6068" s="34">
        <v>361.07600000000002</v>
      </c>
      <c r="F6068" s="36">
        <v>2.79999999999632E-2</v>
      </c>
      <c r="G6068" s="34">
        <v>2.79999999999632E-2</v>
      </c>
      <c r="H6068" s="35">
        <v>3219.9</v>
      </c>
      <c r="I6068" s="37">
        <f t="shared" si="94"/>
        <v>2.6568059250262389E-2</v>
      </c>
      <c r="J6068" s="33" t="s">
        <v>116</v>
      </c>
    </row>
    <row r="6069" spans="1:10">
      <c r="A6069" s="33" t="s">
        <v>116</v>
      </c>
      <c r="B6069" s="34">
        <v>361.10399999999998</v>
      </c>
      <c r="C6069" s="35">
        <v>121194.4</v>
      </c>
      <c r="D6069" s="33" t="s">
        <v>271</v>
      </c>
      <c r="E6069" s="34">
        <v>361.07900000000001</v>
      </c>
      <c r="F6069" s="36">
        <v>2.4999999999977301E-2</v>
      </c>
      <c r="G6069" s="34">
        <v>2.4999999999977301E-2</v>
      </c>
      <c r="H6069" s="35">
        <v>343.8</v>
      </c>
      <c r="I6069" s="37">
        <f t="shared" si="94"/>
        <v>2.8367647350042578E-3</v>
      </c>
      <c r="J6069" s="33"/>
    </row>
    <row r="6070" spans="1:10">
      <c r="A6070" s="33" t="s">
        <v>116</v>
      </c>
      <c r="B6070" s="34">
        <v>361.10399999999998</v>
      </c>
      <c r="C6070" s="35">
        <v>121194.4</v>
      </c>
      <c r="D6070" s="33" t="s">
        <v>25</v>
      </c>
      <c r="E6070" s="34">
        <v>361.09100000000001</v>
      </c>
      <c r="F6070" s="36">
        <v>1.2999999999976799E-2</v>
      </c>
      <c r="G6070" s="34">
        <v>1.2999999999976799E-2</v>
      </c>
      <c r="H6070" s="35">
        <v>443.5</v>
      </c>
      <c r="I6070" s="37">
        <f t="shared" si="94"/>
        <v>3.6594100057428399E-3</v>
      </c>
      <c r="J6070" s="33" t="s">
        <v>116</v>
      </c>
    </row>
    <row r="6071" spans="1:10">
      <c r="A6071" s="33" t="s">
        <v>116</v>
      </c>
      <c r="B6071" s="34">
        <v>361.10399999999998</v>
      </c>
      <c r="C6071" s="35">
        <v>121194.4</v>
      </c>
      <c r="D6071" s="33" t="s">
        <v>33</v>
      </c>
      <c r="E6071" s="34">
        <v>361.12299999999999</v>
      </c>
      <c r="F6071" s="36">
        <v>1.9000000000005499E-2</v>
      </c>
      <c r="G6071" s="34">
        <v>1.9000000000005499E-2</v>
      </c>
      <c r="H6071" s="35">
        <v>70.599999999999994</v>
      </c>
      <c r="I6071" s="37">
        <f t="shared" si="94"/>
        <v>5.8253516664136295E-4</v>
      </c>
      <c r="J6071" s="33" t="s">
        <v>116</v>
      </c>
    </row>
    <row r="6072" spans="1:10">
      <c r="A6072" s="33" t="s">
        <v>116</v>
      </c>
      <c r="B6072" s="34">
        <v>361.10399999999998</v>
      </c>
      <c r="C6072" s="35">
        <v>121194.4</v>
      </c>
      <c r="D6072" s="33" t="s">
        <v>63</v>
      </c>
      <c r="E6072" s="34">
        <v>361.13</v>
      </c>
      <c r="F6072" s="36">
        <v>2.6000000000010501E-2</v>
      </c>
      <c r="G6072" s="34">
        <v>2.6000000000010501E-2</v>
      </c>
      <c r="H6072" s="35">
        <v>185.5</v>
      </c>
      <c r="I6072" s="37">
        <f t="shared" si="94"/>
        <v>1.5305987735406918E-3</v>
      </c>
      <c r="J6072" s="33" t="s">
        <v>116</v>
      </c>
    </row>
    <row r="6073" spans="1:10">
      <c r="A6073" s="33" t="s">
        <v>116</v>
      </c>
      <c r="B6073" s="34">
        <v>361.10399999999998</v>
      </c>
      <c r="C6073" s="35">
        <v>121194.4</v>
      </c>
      <c r="D6073" s="33" t="s">
        <v>201</v>
      </c>
      <c r="E6073" s="34">
        <v>361.13299999999998</v>
      </c>
      <c r="F6073" s="36">
        <v>2.89999999999964E-2</v>
      </c>
      <c r="G6073" s="34">
        <v>2.89999999999964E-2</v>
      </c>
      <c r="H6073" s="35">
        <v>1550</v>
      </c>
      <c r="I6073" s="37">
        <f t="shared" si="94"/>
        <v>1.2789369805865617E-2</v>
      </c>
      <c r="J6073" s="33"/>
    </row>
    <row r="6074" spans="1:10">
      <c r="A6074" s="33" t="s">
        <v>116</v>
      </c>
      <c r="B6074" s="34">
        <v>361.10399999999998</v>
      </c>
      <c r="C6074" s="35">
        <v>121194.4</v>
      </c>
      <c r="D6074" s="33" t="s">
        <v>25</v>
      </c>
      <c r="E6074" s="34">
        <v>361.13400000000001</v>
      </c>
      <c r="F6074" s="36">
        <v>3.00000000000296E-2</v>
      </c>
      <c r="G6074" s="34">
        <v>3.00000000000296E-2</v>
      </c>
      <c r="H6074" s="35">
        <v>372.2</v>
      </c>
      <c r="I6074" s="37">
        <f t="shared" si="94"/>
        <v>3.0710989946730214E-3</v>
      </c>
      <c r="J6074" s="33" t="s">
        <v>116</v>
      </c>
    </row>
    <row r="6075" spans="1:10">
      <c r="A6075" s="33" t="s">
        <v>116</v>
      </c>
      <c r="B6075" s="34">
        <v>361.10399999999998</v>
      </c>
      <c r="C6075" s="35">
        <v>121194.4</v>
      </c>
      <c r="D6075" s="33" t="s">
        <v>277</v>
      </c>
      <c r="E6075" s="34">
        <v>361.14</v>
      </c>
      <c r="F6075" s="36">
        <v>3.6000000000001399E-2</v>
      </c>
      <c r="G6075" s="34">
        <v>3.6000000000001399E-2</v>
      </c>
      <c r="H6075" s="35">
        <v>122.9</v>
      </c>
      <c r="I6075" s="37">
        <f t="shared" si="94"/>
        <v>1.014073257510248E-3</v>
      </c>
      <c r="J6075" s="33"/>
    </row>
    <row r="6076" spans="1:10">
      <c r="A6076" s="33" t="s">
        <v>116</v>
      </c>
      <c r="B6076" s="34">
        <v>361.10399999999998</v>
      </c>
      <c r="C6076" s="35">
        <v>121194.4</v>
      </c>
      <c r="D6076" s="33" t="s">
        <v>165</v>
      </c>
      <c r="E6076" s="34">
        <v>361.142</v>
      </c>
      <c r="F6076" s="36">
        <v>3.80000000000109E-2</v>
      </c>
      <c r="G6076" s="34">
        <v>3.80000000000109E-2</v>
      </c>
      <c r="H6076" s="35">
        <v>5.7</v>
      </c>
      <c r="I6076" s="37">
        <f t="shared" si="94"/>
        <v>4.7031876060280015E-5</v>
      </c>
      <c r="J6076" s="33"/>
    </row>
    <row r="6077" spans="1:10">
      <c r="A6077" s="33" t="s">
        <v>116</v>
      </c>
      <c r="B6077" s="34">
        <v>361.10399999999998</v>
      </c>
      <c r="C6077" s="35">
        <v>121194.4</v>
      </c>
      <c r="D6077" s="33" t="s">
        <v>280</v>
      </c>
      <c r="E6077" s="34">
        <v>361.15800000000002</v>
      </c>
      <c r="F6077" s="36">
        <v>5.4000000000030503E-2</v>
      </c>
      <c r="G6077" s="34">
        <v>5.4000000000030503E-2</v>
      </c>
      <c r="H6077" s="35">
        <v>185.3</v>
      </c>
      <c r="I6077" s="37">
        <f t="shared" si="94"/>
        <v>1.5289485322754189E-3</v>
      </c>
      <c r="J6077" s="33"/>
    </row>
    <row r="6078" spans="1:10">
      <c r="A6078" s="33" t="s">
        <v>116</v>
      </c>
      <c r="B6078" s="34">
        <v>361.10399999999998</v>
      </c>
      <c r="C6078" s="35">
        <v>121194.4</v>
      </c>
      <c r="D6078" s="33" t="s">
        <v>109</v>
      </c>
      <c r="E6078" s="34">
        <v>361.161</v>
      </c>
      <c r="F6078" s="36">
        <v>5.7000000000016399E-2</v>
      </c>
      <c r="G6078" s="34">
        <v>5.7000000000016399E-2</v>
      </c>
      <c r="H6078" s="35">
        <v>209.4</v>
      </c>
      <c r="I6078" s="37">
        <f t="shared" si="94"/>
        <v>1.7278026047408133E-3</v>
      </c>
      <c r="J6078" s="33" t="s">
        <v>116</v>
      </c>
    </row>
    <row r="6079" spans="1:10">
      <c r="A6079" s="33" t="s">
        <v>116</v>
      </c>
      <c r="B6079" s="34">
        <v>361.10399999999998</v>
      </c>
      <c r="C6079" s="35">
        <v>121194.4</v>
      </c>
      <c r="D6079" s="33" t="s">
        <v>54</v>
      </c>
      <c r="E6079" s="34">
        <v>361.16899999999998</v>
      </c>
      <c r="F6079" s="36">
        <v>6.4999999999997699E-2</v>
      </c>
      <c r="G6079" s="34">
        <v>6.4999999999997699E-2</v>
      </c>
      <c r="H6079" s="35">
        <v>44.5</v>
      </c>
      <c r="I6079" s="37">
        <f t="shared" si="94"/>
        <v>3.6717868152323874E-4</v>
      </c>
      <c r="J6079" s="33"/>
    </row>
    <row r="6080" spans="1:10">
      <c r="A6080" s="33" t="s">
        <v>116</v>
      </c>
      <c r="B6080" s="34">
        <v>361.10399999999998</v>
      </c>
      <c r="C6080" s="35">
        <v>121194.4</v>
      </c>
      <c r="D6080" s="33" t="s">
        <v>236</v>
      </c>
      <c r="E6080" s="34">
        <v>361.18900000000002</v>
      </c>
      <c r="F6080" s="36">
        <v>8.5000000000036394E-2</v>
      </c>
      <c r="G6080" s="34">
        <v>8.5000000000036394E-2</v>
      </c>
      <c r="H6080" s="35">
        <v>5081.7</v>
      </c>
      <c r="I6080" s="37">
        <f t="shared" si="94"/>
        <v>4.1930155188688589E-2</v>
      </c>
      <c r="J6080" s="33"/>
    </row>
    <row r="6081" spans="1:10">
      <c r="A6081" s="33" t="s">
        <v>116</v>
      </c>
      <c r="B6081" s="34">
        <v>361.10399999999998</v>
      </c>
      <c r="C6081" s="35">
        <v>121194.4</v>
      </c>
      <c r="D6081" s="33" t="s">
        <v>173</v>
      </c>
      <c r="E6081" s="34">
        <v>361.19400000000002</v>
      </c>
      <c r="F6081" s="36">
        <v>9.0000000000031805E-2</v>
      </c>
      <c r="G6081" s="34">
        <v>9.0000000000031805E-2</v>
      </c>
      <c r="H6081" s="35">
        <v>534.20000000000005</v>
      </c>
      <c r="I6081" s="37">
        <f t="shared" si="94"/>
        <v>4.4077944195441377E-3</v>
      </c>
      <c r="J6081" s="33"/>
    </row>
    <row r="6082" spans="1:10">
      <c r="A6082" s="33" t="s">
        <v>116</v>
      </c>
      <c r="B6082" s="34">
        <v>361.10399999999998</v>
      </c>
      <c r="C6082" s="35">
        <v>121194.4</v>
      </c>
      <c r="D6082" s="33" t="s">
        <v>97</v>
      </c>
      <c r="E6082" s="34">
        <v>361.20699999999999</v>
      </c>
      <c r="F6082" s="36">
        <v>0.103000000000009</v>
      </c>
      <c r="G6082" s="34">
        <v>0.103000000000009</v>
      </c>
      <c r="H6082" s="35">
        <v>11.5</v>
      </c>
      <c r="I6082" s="37">
        <f t="shared" ref="I6082:I6145" si="95">H6082/C6082</f>
        <v>9.4888872753196525E-5</v>
      </c>
      <c r="J6082" s="33"/>
    </row>
    <row r="6083" spans="1:10">
      <c r="A6083" s="33" t="s">
        <v>116</v>
      </c>
      <c r="B6083" s="34">
        <v>361.10399999999998</v>
      </c>
      <c r="C6083" s="35">
        <v>121194.4</v>
      </c>
      <c r="D6083" s="33" t="s">
        <v>275</v>
      </c>
      <c r="E6083" s="34">
        <v>361.22</v>
      </c>
      <c r="F6083" s="36">
        <v>0.116000000000042</v>
      </c>
      <c r="G6083" s="34">
        <v>0.116000000000042</v>
      </c>
      <c r="H6083" s="35">
        <v>30.8</v>
      </c>
      <c r="I6083" s="37">
        <f t="shared" si="95"/>
        <v>2.5413715485203938E-4</v>
      </c>
      <c r="J6083" s="33"/>
    </row>
    <row r="6084" spans="1:10">
      <c r="A6084" s="33" t="s">
        <v>116</v>
      </c>
      <c r="B6084" s="34">
        <v>361.10399999999998</v>
      </c>
      <c r="C6084" s="35">
        <v>121194.4</v>
      </c>
      <c r="D6084" s="33" t="s">
        <v>236</v>
      </c>
      <c r="E6084" s="34">
        <v>361.233</v>
      </c>
      <c r="F6084" s="36">
        <v>0.12900000000001899</v>
      </c>
      <c r="G6084" s="34">
        <v>0.12900000000001899</v>
      </c>
      <c r="H6084" s="35">
        <v>165.3</v>
      </c>
      <c r="I6084" s="37">
        <f t="shared" si="95"/>
        <v>1.3639244057481205E-3</v>
      </c>
      <c r="J6084" s="33"/>
    </row>
    <row r="6085" spans="1:10">
      <c r="A6085" s="33" t="s">
        <v>116</v>
      </c>
      <c r="B6085" s="34">
        <v>361.10399999999998</v>
      </c>
      <c r="C6085" s="35">
        <v>121194.4</v>
      </c>
      <c r="D6085" s="33" t="s">
        <v>133</v>
      </c>
      <c r="E6085" s="34">
        <v>361.23399999999998</v>
      </c>
      <c r="F6085" s="36">
        <v>0.12999999999999601</v>
      </c>
      <c r="G6085" s="34">
        <v>0.12999999999999601</v>
      </c>
      <c r="H6085" s="35">
        <v>979.7</v>
      </c>
      <c r="I6085" s="37">
        <f t="shared" si="95"/>
        <v>8.0837068379397067E-3</v>
      </c>
      <c r="J6085" s="33"/>
    </row>
    <row r="6086" spans="1:10">
      <c r="A6086" s="33" t="s">
        <v>116</v>
      </c>
      <c r="B6086" s="34">
        <v>361.10399999999998</v>
      </c>
      <c r="C6086" s="35">
        <v>121194.4</v>
      </c>
      <c r="D6086" s="33" t="s">
        <v>25</v>
      </c>
      <c r="E6086" s="34">
        <v>361.23500000000001</v>
      </c>
      <c r="F6086" s="36">
        <v>0.13100000000002901</v>
      </c>
      <c r="G6086" s="34">
        <v>0.13100000000002901</v>
      </c>
      <c r="H6086" s="35">
        <v>199.7</v>
      </c>
      <c r="I6086" s="37">
        <f t="shared" si="95"/>
        <v>1.6477659033750734E-3</v>
      </c>
      <c r="J6086" s="33" t="s">
        <v>116</v>
      </c>
    </row>
    <row r="6087" spans="1:10">
      <c r="A6087" s="33" t="s">
        <v>116</v>
      </c>
      <c r="B6087" s="34">
        <v>361.10399999999998</v>
      </c>
      <c r="C6087" s="35">
        <v>121194.4</v>
      </c>
      <c r="D6087" s="33" t="s">
        <v>109</v>
      </c>
      <c r="E6087" s="34">
        <v>361.23899999999998</v>
      </c>
      <c r="F6087" s="36">
        <v>0.13499999999999099</v>
      </c>
      <c r="G6087" s="34">
        <v>0.13499999999999099</v>
      </c>
      <c r="H6087" s="35">
        <v>326.10000000000002</v>
      </c>
      <c r="I6087" s="37">
        <f t="shared" si="95"/>
        <v>2.6907183830275992E-3</v>
      </c>
      <c r="J6087" s="33" t="s">
        <v>116</v>
      </c>
    </row>
    <row r="6088" spans="1:10">
      <c r="A6088" s="33" t="s">
        <v>116</v>
      </c>
      <c r="B6088" s="34">
        <v>361.10399999999998</v>
      </c>
      <c r="C6088" s="35">
        <v>121194.4</v>
      </c>
      <c r="D6088" s="33" t="s">
        <v>275</v>
      </c>
      <c r="E6088" s="34">
        <v>361.245</v>
      </c>
      <c r="F6088" s="36">
        <v>0.14100000000002</v>
      </c>
      <c r="G6088" s="34">
        <v>0.14100000000002</v>
      </c>
      <c r="H6088" s="35">
        <v>6.4</v>
      </c>
      <c r="I6088" s="37">
        <f t="shared" si="95"/>
        <v>5.2807720488735457E-5</v>
      </c>
      <c r="J6088" s="33"/>
    </row>
    <row r="6089" spans="1:10">
      <c r="A6089" s="33" t="s">
        <v>116</v>
      </c>
      <c r="B6089" s="34">
        <v>361.10399999999998</v>
      </c>
      <c r="C6089" s="35">
        <v>121194.4</v>
      </c>
      <c r="D6089" s="33" t="s">
        <v>282</v>
      </c>
      <c r="E6089" s="34">
        <v>361.24700000000001</v>
      </c>
      <c r="F6089" s="36">
        <v>0.14300000000002899</v>
      </c>
      <c r="G6089" s="34">
        <v>0.14300000000002899</v>
      </c>
      <c r="H6089" s="35">
        <v>686.6</v>
      </c>
      <c r="I6089" s="37">
        <f t="shared" si="95"/>
        <v>5.6652782636821509E-3</v>
      </c>
      <c r="J6089" s="33"/>
    </row>
    <row r="6090" spans="1:10">
      <c r="A6090" s="33" t="s">
        <v>116</v>
      </c>
      <c r="B6090" s="34">
        <v>361.10399999999998</v>
      </c>
      <c r="C6090" s="35">
        <v>121194.4</v>
      </c>
      <c r="D6090" s="33" t="s">
        <v>270</v>
      </c>
      <c r="E6090" s="34">
        <v>361.24799999999999</v>
      </c>
      <c r="F6090" s="36">
        <v>0.14400000000000601</v>
      </c>
      <c r="G6090" s="34">
        <v>0.14400000000000601</v>
      </c>
      <c r="H6090" s="35">
        <v>204</v>
      </c>
      <c r="I6090" s="37">
        <f t="shared" si="95"/>
        <v>1.6832460905784428E-3</v>
      </c>
      <c r="J6090" s="33"/>
    </row>
    <row r="6091" spans="1:10">
      <c r="A6091" s="33" t="s">
        <v>116</v>
      </c>
      <c r="B6091" s="34">
        <v>371.029</v>
      </c>
      <c r="C6091" s="35">
        <v>277976.8</v>
      </c>
      <c r="D6091" s="33" t="s">
        <v>270</v>
      </c>
      <c r="E6091" s="34">
        <v>370.86599999999999</v>
      </c>
      <c r="F6091" s="36">
        <v>0.163000000000011</v>
      </c>
      <c r="G6091" s="34">
        <v>0.163000000000011</v>
      </c>
      <c r="H6091" s="35">
        <v>3848.4</v>
      </c>
      <c r="I6091" s="37">
        <f t="shared" si="95"/>
        <v>1.3844320821018158E-2</v>
      </c>
      <c r="J6091" s="33"/>
    </row>
    <row r="6092" spans="1:10">
      <c r="A6092" s="33" t="s">
        <v>116</v>
      </c>
      <c r="B6092" s="34">
        <v>371.029</v>
      </c>
      <c r="C6092" s="35">
        <v>277976.8</v>
      </c>
      <c r="D6092" s="33" t="s">
        <v>278</v>
      </c>
      <c r="E6092" s="34">
        <v>370.87099999999998</v>
      </c>
      <c r="F6092" s="36">
        <v>0.15800000000001599</v>
      </c>
      <c r="G6092" s="34">
        <v>0.15800000000001599</v>
      </c>
      <c r="H6092" s="35">
        <v>27.2</v>
      </c>
      <c r="I6092" s="37">
        <f t="shared" si="95"/>
        <v>9.7849892509015144E-5</v>
      </c>
      <c r="J6092" s="33"/>
    </row>
    <row r="6093" spans="1:10">
      <c r="A6093" s="33" t="s">
        <v>116</v>
      </c>
      <c r="B6093" s="34">
        <v>371.029</v>
      </c>
      <c r="C6093" s="35">
        <v>277976.8</v>
      </c>
      <c r="D6093" s="33" t="s">
        <v>271</v>
      </c>
      <c r="E6093" s="34">
        <v>370.875</v>
      </c>
      <c r="F6093" s="36">
        <v>0.153999999999996</v>
      </c>
      <c r="G6093" s="34">
        <v>0.153999999999996</v>
      </c>
      <c r="H6093" s="35">
        <v>139.69999999999999</v>
      </c>
      <c r="I6093" s="37">
        <f t="shared" si="95"/>
        <v>5.0255992586431672E-4</v>
      </c>
      <c r="J6093" s="33"/>
    </row>
    <row r="6094" spans="1:10">
      <c r="A6094" s="33" t="s">
        <v>116</v>
      </c>
      <c r="B6094" s="34">
        <v>371.029</v>
      </c>
      <c r="C6094" s="35">
        <v>277976.8</v>
      </c>
      <c r="D6094" s="33" t="s">
        <v>54</v>
      </c>
      <c r="E6094" s="34">
        <v>370.88200000000001</v>
      </c>
      <c r="F6094" s="36">
        <v>0.146999999999991</v>
      </c>
      <c r="G6094" s="34">
        <v>0.146999999999991</v>
      </c>
      <c r="H6094" s="35">
        <v>43.4</v>
      </c>
      <c r="I6094" s="37">
        <f t="shared" si="95"/>
        <v>1.5612813731217856E-4</v>
      </c>
      <c r="J6094" s="33"/>
    </row>
    <row r="6095" spans="1:10">
      <c r="A6095" s="33" t="s">
        <v>116</v>
      </c>
      <c r="B6095" s="34">
        <v>371.029</v>
      </c>
      <c r="C6095" s="35">
        <v>277976.8</v>
      </c>
      <c r="D6095" s="33" t="s">
        <v>36</v>
      </c>
      <c r="E6095" s="34">
        <v>370.91300000000001</v>
      </c>
      <c r="F6095" s="36">
        <v>0.115999999999985</v>
      </c>
      <c r="G6095" s="34">
        <v>0.115999999999985</v>
      </c>
      <c r="H6095" s="35">
        <v>288.8</v>
      </c>
      <c r="I6095" s="37">
        <f t="shared" si="95"/>
        <v>1.0389356234045432E-3</v>
      </c>
      <c r="J6095" s="33" t="s">
        <v>116</v>
      </c>
    </row>
    <row r="6096" spans="1:10">
      <c r="A6096" s="33" t="s">
        <v>116</v>
      </c>
      <c r="B6096" s="34">
        <v>371.029</v>
      </c>
      <c r="C6096" s="35">
        <v>277976.8</v>
      </c>
      <c r="D6096" s="33" t="s">
        <v>284</v>
      </c>
      <c r="E6096" s="34">
        <v>370.91399999999999</v>
      </c>
      <c r="F6096" s="36">
        <v>0.115000000000009</v>
      </c>
      <c r="G6096" s="34">
        <v>0.115000000000009</v>
      </c>
      <c r="H6096" s="35">
        <v>0.6</v>
      </c>
      <c r="I6096" s="37">
        <f t="shared" si="95"/>
        <v>2.1584535112282752E-6</v>
      </c>
      <c r="J6096" s="33"/>
    </row>
    <row r="6097" spans="1:10">
      <c r="A6097" s="33" t="s">
        <v>116</v>
      </c>
      <c r="B6097" s="34">
        <v>371.029</v>
      </c>
      <c r="C6097" s="35">
        <v>277976.8</v>
      </c>
      <c r="D6097" s="33" t="s">
        <v>295</v>
      </c>
      <c r="E6097" s="34">
        <v>370.92</v>
      </c>
      <c r="F6097" s="36">
        <v>0.10899999999998</v>
      </c>
      <c r="G6097" s="34">
        <v>0.10899999999998</v>
      </c>
      <c r="H6097" s="35">
        <v>1.2</v>
      </c>
      <c r="I6097" s="37">
        <f t="shared" si="95"/>
        <v>4.3169070224565503E-6</v>
      </c>
      <c r="J6097" s="33"/>
    </row>
    <row r="6098" spans="1:10">
      <c r="A6098" s="33" t="s">
        <v>116</v>
      </c>
      <c r="B6098" s="34">
        <v>371.029</v>
      </c>
      <c r="C6098" s="35">
        <v>277976.8</v>
      </c>
      <c r="D6098" s="33" t="s">
        <v>97</v>
      </c>
      <c r="E6098" s="34">
        <v>370.92500000000001</v>
      </c>
      <c r="F6098" s="36">
        <v>0.10399999999998499</v>
      </c>
      <c r="G6098" s="34">
        <v>0.10399999999998499</v>
      </c>
      <c r="H6098" s="35">
        <v>257.8</v>
      </c>
      <c r="I6098" s="37">
        <f t="shared" si="95"/>
        <v>9.274155253244156E-4</v>
      </c>
      <c r="J6098" s="33"/>
    </row>
    <row r="6099" spans="1:10">
      <c r="A6099" s="33" t="s">
        <v>116</v>
      </c>
      <c r="B6099" s="34">
        <v>371.029</v>
      </c>
      <c r="C6099" s="35">
        <v>277976.8</v>
      </c>
      <c r="D6099" s="33" t="s">
        <v>236</v>
      </c>
      <c r="E6099" s="34">
        <v>370.92700000000002</v>
      </c>
      <c r="F6099" s="36">
        <v>0.101999999999975</v>
      </c>
      <c r="G6099" s="34">
        <v>0.101999999999975</v>
      </c>
      <c r="H6099" s="35">
        <v>6807.7</v>
      </c>
      <c r="I6099" s="37">
        <f t="shared" si="95"/>
        <v>2.449017328064788E-2</v>
      </c>
      <c r="J6099" s="33"/>
    </row>
    <row r="6100" spans="1:10">
      <c r="A6100" s="33" t="s">
        <v>116</v>
      </c>
      <c r="B6100" s="34">
        <v>371.029</v>
      </c>
      <c r="C6100" s="35">
        <v>277976.8</v>
      </c>
      <c r="D6100" s="33" t="s">
        <v>25</v>
      </c>
      <c r="E6100" s="34">
        <v>370.92899999999997</v>
      </c>
      <c r="F6100" s="36">
        <v>0.100000000000023</v>
      </c>
      <c r="G6100" s="34">
        <v>0.100000000000023</v>
      </c>
      <c r="H6100" s="35">
        <v>2067.5</v>
      </c>
      <c r="I6100" s="37">
        <f t="shared" si="95"/>
        <v>7.4376710574407656E-3</v>
      </c>
      <c r="J6100" s="33" t="s">
        <v>116</v>
      </c>
    </row>
    <row r="6101" spans="1:10">
      <c r="A6101" s="33" t="s">
        <v>116</v>
      </c>
      <c r="B6101" s="34">
        <v>371.029</v>
      </c>
      <c r="C6101" s="35">
        <v>277976.8</v>
      </c>
      <c r="D6101" s="33" t="s">
        <v>273</v>
      </c>
      <c r="E6101" s="34">
        <v>370.92899999999997</v>
      </c>
      <c r="F6101" s="36">
        <v>0.100000000000023</v>
      </c>
      <c r="G6101" s="34">
        <v>0.100000000000023</v>
      </c>
      <c r="H6101" s="35">
        <v>299.39999999999998</v>
      </c>
      <c r="I6101" s="37">
        <f t="shared" si="95"/>
        <v>1.0770683021029093E-3</v>
      </c>
      <c r="J6101" s="33"/>
    </row>
    <row r="6102" spans="1:10">
      <c r="A6102" s="33" t="s">
        <v>116</v>
      </c>
      <c r="B6102" s="34">
        <v>371.029</v>
      </c>
      <c r="C6102" s="35">
        <v>277976.8</v>
      </c>
      <c r="D6102" s="33" t="s">
        <v>201</v>
      </c>
      <c r="E6102" s="34">
        <v>370.93</v>
      </c>
      <c r="F6102" s="36">
        <v>9.8999999999989499E-2</v>
      </c>
      <c r="G6102" s="34">
        <v>9.8999999999989499E-2</v>
      </c>
      <c r="H6102" s="35">
        <v>932.4</v>
      </c>
      <c r="I6102" s="37">
        <f t="shared" si="95"/>
        <v>3.3542367564487396E-3</v>
      </c>
      <c r="J6102" s="33"/>
    </row>
    <row r="6103" spans="1:10">
      <c r="A6103" s="33" t="s">
        <v>116</v>
      </c>
      <c r="B6103" s="34">
        <v>371.029</v>
      </c>
      <c r="C6103" s="35">
        <v>277976.8</v>
      </c>
      <c r="D6103" s="33" t="s">
        <v>278</v>
      </c>
      <c r="E6103" s="34">
        <v>370.93299999999999</v>
      </c>
      <c r="F6103" s="36">
        <v>9.6000000000003596E-2</v>
      </c>
      <c r="G6103" s="34">
        <v>9.6000000000003596E-2</v>
      </c>
      <c r="H6103" s="35">
        <v>53.6</v>
      </c>
      <c r="I6103" s="37">
        <f t="shared" si="95"/>
        <v>1.9282184700305927E-4</v>
      </c>
      <c r="J6103" s="33"/>
    </row>
    <row r="6104" spans="1:10">
      <c r="A6104" s="33" t="s">
        <v>116</v>
      </c>
      <c r="B6104" s="34">
        <v>371.029</v>
      </c>
      <c r="C6104" s="35">
        <v>277976.8</v>
      </c>
      <c r="D6104" s="33" t="s">
        <v>276</v>
      </c>
      <c r="E6104" s="34">
        <v>370.96199999999999</v>
      </c>
      <c r="F6104" s="36">
        <v>6.7000000000007304E-2</v>
      </c>
      <c r="G6104" s="34">
        <v>6.7000000000007304E-2</v>
      </c>
      <c r="H6104" s="35">
        <v>0.3</v>
      </c>
      <c r="I6104" s="37">
        <f t="shared" si="95"/>
        <v>1.0792267556141376E-6</v>
      </c>
      <c r="J6104" s="33"/>
    </row>
    <row r="6105" spans="1:10">
      <c r="A6105" s="33" t="s">
        <v>116</v>
      </c>
      <c r="B6105" s="34">
        <v>371.029</v>
      </c>
      <c r="C6105" s="35">
        <v>277976.8</v>
      </c>
      <c r="D6105" s="33" t="s">
        <v>25</v>
      </c>
      <c r="E6105" s="34">
        <v>370.99299999999999</v>
      </c>
      <c r="F6105" s="36">
        <v>3.6000000000001399E-2</v>
      </c>
      <c r="G6105" s="34">
        <v>3.6000000000001399E-2</v>
      </c>
      <c r="H6105" s="35">
        <v>2754</v>
      </c>
      <c r="I6105" s="37">
        <f t="shared" si="95"/>
        <v>9.9073016165377829E-3</v>
      </c>
      <c r="J6105" s="33" t="s">
        <v>116</v>
      </c>
    </row>
    <row r="6106" spans="1:10">
      <c r="A6106" s="33" t="s">
        <v>116</v>
      </c>
      <c r="B6106" s="34">
        <v>371.029</v>
      </c>
      <c r="C6106" s="35">
        <v>277976.8</v>
      </c>
      <c r="D6106" s="33" t="s">
        <v>279</v>
      </c>
      <c r="E6106" s="34">
        <v>370.99299999999999</v>
      </c>
      <c r="F6106" s="36">
        <v>3.6000000000001399E-2</v>
      </c>
      <c r="G6106" s="34">
        <v>3.6000000000001399E-2</v>
      </c>
      <c r="H6106" s="35">
        <v>6.9</v>
      </c>
      <c r="I6106" s="37">
        <f t="shared" si="95"/>
        <v>2.4822215379125166E-5</v>
      </c>
      <c r="J6106" s="33"/>
    </row>
    <row r="6107" spans="1:10">
      <c r="A6107" s="33" t="s">
        <v>116</v>
      </c>
      <c r="B6107" s="34">
        <v>371.029</v>
      </c>
      <c r="C6107" s="35">
        <v>277976.8</v>
      </c>
      <c r="D6107" s="33" t="s">
        <v>237</v>
      </c>
      <c r="E6107" s="34">
        <v>370.99599999999998</v>
      </c>
      <c r="F6107" s="36">
        <v>3.3000000000015503E-2</v>
      </c>
      <c r="G6107" s="34">
        <v>3.3000000000015503E-2</v>
      </c>
      <c r="H6107" s="35">
        <v>69.400000000000006</v>
      </c>
      <c r="I6107" s="37">
        <f t="shared" si="95"/>
        <v>2.496611227987372E-4</v>
      </c>
      <c r="J6107" s="33"/>
    </row>
    <row r="6108" spans="1:10">
      <c r="A6108" s="33" t="s">
        <v>116</v>
      </c>
      <c r="B6108" s="34">
        <v>371.029</v>
      </c>
      <c r="C6108" s="35">
        <v>277976.8</v>
      </c>
      <c r="D6108" s="33" t="s">
        <v>33</v>
      </c>
      <c r="E6108" s="34">
        <v>371.00700000000001</v>
      </c>
      <c r="F6108" s="36">
        <v>2.1999999999991401E-2</v>
      </c>
      <c r="G6108" s="34">
        <v>2.1999999999991401E-2</v>
      </c>
      <c r="H6108" s="35">
        <v>754.5</v>
      </c>
      <c r="I6108" s="37">
        <f t="shared" si="95"/>
        <v>2.7142552903695561E-3</v>
      </c>
      <c r="J6108" s="33" t="s">
        <v>116</v>
      </c>
    </row>
    <row r="6109" spans="1:10">
      <c r="A6109" s="33" t="s">
        <v>116</v>
      </c>
      <c r="B6109" s="34">
        <v>371.029</v>
      </c>
      <c r="C6109" s="35">
        <v>277976.8</v>
      </c>
      <c r="D6109" s="33" t="s">
        <v>239</v>
      </c>
      <c r="E6109" s="34">
        <v>371.00900000000001</v>
      </c>
      <c r="F6109" s="36">
        <v>1.99999999999818E-2</v>
      </c>
      <c r="G6109" s="34">
        <v>1.99999999999818E-2</v>
      </c>
      <c r="H6109" s="35">
        <v>2.4</v>
      </c>
      <c r="I6109" s="37">
        <f t="shared" si="95"/>
        <v>8.6338140449131006E-6</v>
      </c>
      <c r="J6109" s="33"/>
    </row>
    <row r="6110" spans="1:10">
      <c r="A6110" s="33" t="s">
        <v>116</v>
      </c>
      <c r="B6110" s="34">
        <v>371.029</v>
      </c>
      <c r="C6110" s="35">
        <v>277976.8</v>
      </c>
      <c r="D6110" s="33" t="s">
        <v>275</v>
      </c>
      <c r="E6110" s="34">
        <v>371.01299999999998</v>
      </c>
      <c r="F6110" s="36">
        <v>1.6000000000019599E-2</v>
      </c>
      <c r="G6110" s="34">
        <v>1.6000000000019599E-2</v>
      </c>
      <c r="H6110" s="35">
        <v>4.7</v>
      </c>
      <c r="I6110" s="37">
        <f t="shared" si="95"/>
        <v>1.6907885837954824E-5</v>
      </c>
      <c r="J6110" s="33"/>
    </row>
    <row r="6111" spans="1:10">
      <c r="A6111" s="33" t="s">
        <v>116</v>
      </c>
      <c r="B6111" s="34">
        <v>371.029</v>
      </c>
      <c r="C6111" s="35">
        <v>277976.8</v>
      </c>
      <c r="D6111" s="33" t="s">
        <v>63</v>
      </c>
      <c r="E6111" s="34">
        <v>371.03300000000002</v>
      </c>
      <c r="F6111" s="36">
        <v>4.0000000000191003E-3</v>
      </c>
      <c r="G6111" s="34">
        <v>4.0000000000191003E-3</v>
      </c>
      <c r="H6111" s="35">
        <v>178.7</v>
      </c>
      <c r="I6111" s="37">
        <f t="shared" si="95"/>
        <v>6.4285940409415459E-4</v>
      </c>
      <c r="J6111" s="33" t="s">
        <v>116</v>
      </c>
    </row>
    <row r="6112" spans="1:10">
      <c r="A6112" s="33" t="s">
        <v>116</v>
      </c>
      <c r="B6112" s="34">
        <v>371.029</v>
      </c>
      <c r="C6112" s="35">
        <v>277976.8</v>
      </c>
      <c r="D6112" s="33" t="s">
        <v>25</v>
      </c>
      <c r="E6112" s="34">
        <v>371.07</v>
      </c>
      <c r="F6112" s="36">
        <v>4.0999999999996803E-2</v>
      </c>
      <c r="G6112" s="34">
        <v>4.0999999999996803E-2</v>
      </c>
      <c r="H6112" s="35">
        <v>57.9</v>
      </c>
      <c r="I6112" s="37">
        <f t="shared" si="95"/>
        <v>2.0829076383352855E-4</v>
      </c>
      <c r="J6112" s="33" t="s">
        <v>116</v>
      </c>
    </row>
    <row r="6113" spans="1:10">
      <c r="A6113" s="33" t="s">
        <v>116</v>
      </c>
      <c r="B6113" s="34">
        <v>371.029</v>
      </c>
      <c r="C6113" s="35">
        <v>277976.8</v>
      </c>
      <c r="D6113" s="33" t="s">
        <v>33</v>
      </c>
      <c r="E6113" s="34">
        <v>371.07400000000001</v>
      </c>
      <c r="F6113" s="36">
        <v>4.5000000000015902E-2</v>
      </c>
      <c r="G6113" s="34">
        <v>4.5000000000015902E-2</v>
      </c>
      <c r="H6113" s="35">
        <v>192.3</v>
      </c>
      <c r="I6113" s="37">
        <f t="shared" si="95"/>
        <v>6.9178435034866227E-4</v>
      </c>
      <c r="J6113" s="33" t="s">
        <v>116</v>
      </c>
    </row>
    <row r="6114" spans="1:10">
      <c r="A6114" s="33" t="s">
        <v>116</v>
      </c>
      <c r="B6114" s="34">
        <v>371.029</v>
      </c>
      <c r="C6114" s="35">
        <v>277976.8</v>
      </c>
      <c r="D6114" s="33" t="s">
        <v>240</v>
      </c>
      <c r="E6114" s="34">
        <v>371.07400000000001</v>
      </c>
      <c r="F6114" s="36">
        <v>4.5000000000015902E-2</v>
      </c>
      <c r="G6114" s="34">
        <v>4.5000000000015902E-2</v>
      </c>
      <c r="H6114" s="35">
        <v>0.9</v>
      </c>
      <c r="I6114" s="37">
        <f t="shared" si="95"/>
        <v>3.2376802668424129E-6</v>
      </c>
      <c r="J6114" s="33"/>
    </row>
    <row r="6115" spans="1:10">
      <c r="A6115" s="33" t="s">
        <v>116</v>
      </c>
      <c r="B6115" s="34">
        <v>371.029</v>
      </c>
      <c r="C6115" s="35">
        <v>277976.8</v>
      </c>
      <c r="D6115" s="33" t="s">
        <v>84</v>
      </c>
      <c r="E6115" s="34">
        <v>371.07900000000001</v>
      </c>
      <c r="F6115" s="36">
        <v>5.0000000000011403E-2</v>
      </c>
      <c r="G6115" s="34">
        <v>5.0000000000011403E-2</v>
      </c>
      <c r="H6115" s="35">
        <v>147.69999999999999</v>
      </c>
      <c r="I6115" s="37">
        <f t="shared" si="95"/>
        <v>5.3133930601402708E-4</v>
      </c>
      <c r="J6115" s="33" t="s">
        <v>116</v>
      </c>
    </row>
    <row r="6116" spans="1:10">
      <c r="A6116" s="33" t="s">
        <v>116</v>
      </c>
      <c r="B6116" s="34">
        <v>371.029</v>
      </c>
      <c r="C6116" s="35">
        <v>277976.8</v>
      </c>
      <c r="D6116" s="33" t="s">
        <v>270</v>
      </c>
      <c r="E6116" s="34">
        <v>371.08699999999999</v>
      </c>
      <c r="F6116" s="36">
        <v>5.7999999999992703E-2</v>
      </c>
      <c r="G6116" s="34">
        <v>5.7999999999992703E-2</v>
      </c>
      <c r="H6116" s="35">
        <v>468.7</v>
      </c>
      <c r="I6116" s="37">
        <f t="shared" si="95"/>
        <v>1.6861119345211544E-3</v>
      </c>
      <c r="J6116" s="33"/>
    </row>
    <row r="6117" spans="1:10">
      <c r="A6117" s="33" t="s">
        <v>116</v>
      </c>
      <c r="B6117" s="34">
        <v>371.029</v>
      </c>
      <c r="C6117" s="35">
        <v>277976.8</v>
      </c>
      <c r="D6117" s="33" t="s">
        <v>280</v>
      </c>
      <c r="E6117" s="34">
        <v>371.08800000000002</v>
      </c>
      <c r="F6117" s="36">
        <v>5.90000000000259E-2</v>
      </c>
      <c r="G6117" s="34">
        <v>5.90000000000259E-2</v>
      </c>
      <c r="H6117" s="35">
        <v>142.4</v>
      </c>
      <c r="I6117" s="37">
        <f t="shared" si="95"/>
        <v>5.1227296666484401E-4</v>
      </c>
      <c r="J6117" s="33"/>
    </row>
    <row r="6118" spans="1:10">
      <c r="A6118" s="33" t="s">
        <v>116</v>
      </c>
      <c r="B6118" s="34">
        <v>371.029</v>
      </c>
      <c r="C6118" s="35">
        <v>277976.8</v>
      </c>
      <c r="D6118" s="33" t="s">
        <v>277</v>
      </c>
      <c r="E6118" s="34">
        <v>371.09100000000001</v>
      </c>
      <c r="F6118" s="36">
        <v>6.2000000000011803E-2</v>
      </c>
      <c r="G6118" s="34">
        <v>6.2000000000011803E-2</v>
      </c>
      <c r="H6118" s="35">
        <v>78.2</v>
      </c>
      <c r="I6118" s="37">
        <f t="shared" si="95"/>
        <v>2.8131844096341858E-4</v>
      </c>
      <c r="J6118" s="33"/>
    </row>
    <row r="6119" spans="1:10">
      <c r="A6119" s="33" t="s">
        <v>116</v>
      </c>
      <c r="B6119" s="34">
        <v>371.029</v>
      </c>
      <c r="C6119" s="35">
        <v>277976.8</v>
      </c>
      <c r="D6119" s="33" t="s">
        <v>173</v>
      </c>
      <c r="E6119" s="34">
        <v>371.11</v>
      </c>
      <c r="F6119" s="36">
        <v>8.1000000000017294E-2</v>
      </c>
      <c r="G6119" s="34">
        <v>8.1000000000017294E-2</v>
      </c>
      <c r="H6119" s="35">
        <v>521.79999999999995</v>
      </c>
      <c r="I6119" s="37">
        <f t="shared" si="95"/>
        <v>1.8771350702648565E-3</v>
      </c>
      <c r="J6119" s="33"/>
    </row>
    <row r="6120" spans="1:10">
      <c r="A6120" s="33" t="s">
        <v>116</v>
      </c>
      <c r="B6120" s="34">
        <v>371.029</v>
      </c>
      <c r="C6120" s="35">
        <v>277976.8</v>
      </c>
      <c r="D6120" s="33" t="s">
        <v>278</v>
      </c>
      <c r="E6120" s="34">
        <v>371.11200000000002</v>
      </c>
      <c r="F6120" s="36">
        <v>8.3000000000026802E-2</v>
      </c>
      <c r="G6120" s="34">
        <v>8.3000000000026802E-2</v>
      </c>
      <c r="H6120" s="35">
        <v>85.3</v>
      </c>
      <c r="I6120" s="37">
        <f t="shared" si="95"/>
        <v>3.0686014084628646E-4</v>
      </c>
      <c r="J6120" s="33"/>
    </row>
    <row r="6121" spans="1:10">
      <c r="A6121" s="33" t="s">
        <v>116</v>
      </c>
      <c r="B6121" s="34">
        <v>371.029</v>
      </c>
      <c r="C6121" s="35">
        <v>277976.8</v>
      </c>
      <c r="D6121" s="33" t="s">
        <v>271</v>
      </c>
      <c r="E6121" s="34">
        <v>371.13</v>
      </c>
      <c r="F6121" s="36">
        <v>0.10099999999999899</v>
      </c>
      <c r="G6121" s="34">
        <v>0.10099999999999899</v>
      </c>
      <c r="H6121" s="35">
        <v>860.1</v>
      </c>
      <c r="I6121" s="37">
        <f t="shared" si="95"/>
        <v>3.0941431083457327E-3</v>
      </c>
      <c r="J6121" s="33"/>
    </row>
    <row r="6122" spans="1:10">
      <c r="A6122" s="33" t="s">
        <v>116</v>
      </c>
      <c r="B6122" s="34">
        <v>371.029</v>
      </c>
      <c r="C6122" s="35">
        <v>277976.8</v>
      </c>
      <c r="D6122" s="33" t="s">
        <v>273</v>
      </c>
      <c r="E6122" s="34">
        <v>371.13299999999998</v>
      </c>
      <c r="F6122" s="36">
        <v>0.10399999999998499</v>
      </c>
      <c r="G6122" s="34">
        <v>0.10399999999998499</v>
      </c>
      <c r="H6122" s="35">
        <v>57.2</v>
      </c>
      <c r="I6122" s="37">
        <f t="shared" si="95"/>
        <v>2.0577256807042892E-4</v>
      </c>
      <c r="J6122" s="33"/>
    </row>
    <row r="6123" spans="1:10">
      <c r="A6123" s="33" t="s">
        <v>116</v>
      </c>
      <c r="B6123" s="34">
        <v>371.029</v>
      </c>
      <c r="C6123" s="35">
        <v>277976.8</v>
      </c>
      <c r="D6123" s="33" t="s">
        <v>270</v>
      </c>
      <c r="E6123" s="34">
        <v>371.154</v>
      </c>
      <c r="F6123" s="36">
        <v>0.125</v>
      </c>
      <c r="G6123" s="34">
        <v>0.125</v>
      </c>
      <c r="H6123" s="35">
        <v>1469.9</v>
      </c>
      <c r="I6123" s="37">
        <f t="shared" si="95"/>
        <v>5.2878513602574034E-3</v>
      </c>
      <c r="J6123" s="33"/>
    </row>
    <row r="6124" spans="1:10">
      <c r="A6124" s="33" t="s">
        <v>116</v>
      </c>
      <c r="B6124" s="34">
        <v>371.029</v>
      </c>
      <c r="C6124" s="35">
        <v>277976.8</v>
      </c>
      <c r="D6124" s="33" t="s">
        <v>54</v>
      </c>
      <c r="E6124" s="34">
        <v>371.16500000000002</v>
      </c>
      <c r="F6124" s="36">
        <v>0.13600000000002399</v>
      </c>
      <c r="G6124" s="34">
        <v>0.13600000000002399</v>
      </c>
      <c r="H6124" s="35">
        <v>1.9</v>
      </c>
      <c r="I6124" s="37">
        <f t="shared" si="95"/>
        <v>6.8351027855562044E-6</v>
      </c>
      <c r="J6124" s="33"/>
    </row>
    <row r="6125" spans="1:10">
      <c r="A6125" s="33" t="s">
        <v>116</v>
      </c>
      <c r="B6125" s="34">
        <v>371.029</v>
      </c>
      <c r="C6125" s="35">
        <v>277976.8</v>
      </c>
      <c r="D6125" s="33" t="s">
        <v>33</v>
      </c>
      <c r="E6125" s="34">
        <v>371.166</v>
      </c>
      <c r="F6125" s="36">
        <v>0.13700000000000101</v>
      </c>
      <c r="G6125" s="34">
        <v>0.13700000000000101</v>
      </c>
      <c r="H6125" s="35">
        <v>582.79999999999995</v>
      </c>
      <c r="I6125" s="37">
        <f t="shared" si="95"/>
        <v>2.096577843906398E-3</v>
      </c>
      <c r="J6125" s="33" t="s">
        <v>116</v>
      </c>
    </row>
    <row r="6126" spans="1:10">
      <c r="A6126" s="33" t="s">
        <v>116</v>
      </c>
      <c r="B6126" s="34">
        <v>371.029</v>
      </c>
      <c r="C6126" s="35">
        <v>277976.8</v>
      </c>
      <c r="D6126" s="33" t="s">
        <v>201</v>
      </c>
      <c r="E6126" s="34">
        <v>371.17599999999999</v>
      </c>
      <c r="F6126" s="36">
        <v>0.146999999999991</v>
      </c>
      <c r="G6126" s="34">
        <v>0.146999999999991</v>
      </c>
      <c r="H6126" s="35">
        <v>2533.6999999999998</v>
      </c>
      <c r="I6126" s="37">
        <f t="shared" si="95"/>
        <v>9.1147894356651341E-3</v>
      </c>
      <c r="J6126" s="33"/>
    </row>
    <row r="6127" spans="1:10">
      <c r="A6127" s="33" t="s">
        <v>116</v>
      </c>
      <c r="B6127" s="34">
        <v>371.029</v>
      </c>
      <c r="C6127" s="35">
        <v>277976.8</v>
      </c>
      <c r="D6127" s="33" t="s">
        <v>84</v>
      </c>
      <c r="E6127" s="34">
        <v>371.18200000000002</v>
      </c>
      <c r="F6127" s="36">
        <v>0.15300000000002001</v>
      </c>
      <c r="G6127" s="34">
        <v>0.15300000000002001</v>
      </c>
      <c r="H6127" s="35">
        <v>361.9</v>
      </c>
      <c r="I6127" s="37">
        <f t="shared" si="95"/>
        <v>1.3019072095225212E-3</v>
      </c>
      <c r="J6127" s="33" t="s">
        <v>116</v>
      </c>
    </row>
    <row r="6128" spans="1:10">
      <c r="A6128" s="33" t="s">
        <v>116</v>
      </c>
      <c r="B6128" s="34">
        <v>371.029</v>
      </c>
      <c r="C6128" s="35">
        <v>277976.8</v>
      </c>
      <c r="D6128" s="33" t="s">
        <v>277</v>
      </c>
      <c r="E6128" s="34">
        <v>371.185</v>
      </c>
      <c r="F6128" s="36">
        <v>0.15600000000000599</v>
      </c>
      <c r="G6128" s="34">
        <v>0.15600000000000599</v>
      </c>
      <c r="H6128" s="35">
        <v>83.9</v>
      </c>
      <c r="I6128" s="37">
        <f t="shared" si="95"/>
        <v>3.0182374932008715E-4</v>
      </c>
      <c r="J6128" s="33"/>
    </row>
    <row r="6129" spans="1:10">
      <c r="A6129" s="33" t="s">
        <v>116</v>
      </c>
      <c r="B6129" s="34">
        <v>371.029</v>
      </c>
      <c r="C6129" s="35">
        <v>277976.8</v>
      </c>
      <c r="D6129" s="33" t="s">
        <v>236</v>
      </c>
      <c r="E6129" s="34">
        <v>371.18900000000002</v>
      </c>
      <c r="F6129" s="36">
        <v>0.16000000000002501</v>
      </c>
      <c r="G6129" s="34">
        <v>0.16000000000002501</v>
      </c>
      <c r="H6129" s="35">
        <v>36.299999999999997</v>
      </c>
      <c r="I6129" s="37">
        <f t="shared" si="95"/>
        <v>1.3058643742931066E-4</v>
      </c>
      <c r="J6129" s="33"/>
    </row>
    <row r="6130" spans="1:10">
      <c r="A6130" s="33" t="s">
        <v>116</v>
      </c>
      <c r="B6130" s="34">
        <v>371.029</v>
      </c>
      <c r="C6130" s="35">
        <v>277976.8</v>
      </c>
      <c r="D6130" s="33" t="s">
        <v>54</v>
      </c>
      <c r="E6130" s="34">
        <v>371.21800000000002</v>
      </c>
      <c r="F6130" s="36">
        <v>0.18900000000002101</v>
      </c>
      <c r="G6130" s="34">
        <v>0.18900000000002101</v>
      </c>
      <c r="H6130" s="35">
        <v>5.2</v>
      </c>
      <c r="I6130" s="37">
        <f t="shared" si="95"/>
        <v>1.8706597097311719E-5</v>
      </c>
      <c r="J6130" s="33"/>
    </row>
    <row r="6131" spans="1:10">
      <c r="A6131" s="33" t="s">
        <v>116</v>
      </c>
      <c r="B6131" s="34">
        <v>377.43299999999999</v>
      </c>
      <c r="C6131" s="35">
        <v>294787</v>
      </c>
      <c r="D6131" s="33" t="s">
        <v>33</v>
      </c>
      <c r="E6131" s="34">
        <v>377.29899999999998</v>
      </c>
      <c r="F6131" s="36">
        <v>0.134000000000015</v>
      </c>
      <c r="G6131" s="34">
        <v>0.134000000000015</v>
      </c>
      <c r="H6131" s="35">
        <v>106.2</v>
      </c>
      <c r="I6131" s="37">
        <f t="shared" si="95"/>
        <v>3.6026012001886111E-4</v>
      </c>
      <c r="J6131" s="33" t="s">
        <v>116</v>
      </c>
    </row>
    <row r="6132" spans="1:10">
      <c r="A6132" s="33" t="s">
        <v>116</v>
      </c>
      <c r="B6132" s="34">
        <v>377.43299999999999</v>
      </c>
      <c r="C6132" s="35">
        <v>294787</v>
      </c>
      <c r="D6132" s="33" t="s">
        <v>269</v>
      </c>
      <c r="E6132" s="34">
        <v>377.31099999999998</v>
      </c>
      <c r="F6132" s="36">
        <v>0.122000000000014</v>
      </c>
      <c r="G6132" s="34">
        <v>0.122000000000014</v>
      </c>
      <c r="H6132" s="35">
        <v>6.9</v>
      </c>
      <c r="I6132" s="37">
        <f t="shared" si="95"/>
        <v>2.3406730961677416E-5</v>
      </c>
      <c r="J6132" s="33"/>
    </row>
    <row r="6133" spans="1:10">
      <c r="A6133" s="33" t="s">
        <v>116</v>
      </c>
      <c r="B6133" s="34">
        <v>377.43299999999999</v>
      </c>
      <c r="C6133" s="35">
        <v>294787</v>
      </c>
      <c r="D6133" s="33" t="s">
        <v>133</v>
      </c>
      <c r="E6133" s="34">
        <v>377.31200000000001</v>
      </c>
      <c r="F6133" s="36">
        <v>0.120999999999981</v>
      </c>
      <c r="G6133" s="34">
        <v>0.120999999999981</v>
      </c>
      <c r="H6133" s="35">
        <v>1709.9</v>
      </c>
      <c r="I6133" s="37">
        <f t="shared" si="95"/>
        <v>5.8004593146916252E-3</v>
      </c>
      <c r="J6133" s="33"/>
    </row>
    <row r="6134" spans="1:10">
      <c r="A6134" s="33" t="s">
        <v>116</v>
      </c>
      <c r="B6134" s="34">
        <v>377.43299999999999</v>
      </c>
      <c r="C6134" s="35">
        <v>294787</v>
      </c>
      <c r="D6134" s="33" t="s">
        <v>273</v>
      </c>
      <c r="E6134" s="34">
        <v>377.31400000000002</v>
      </c>
      <c r="F6134" s="36">
        <v>0.118999999999971</v>
      </c>
      <c r="G6134" s="34">
        <v>0.118999999999971</v>
      </c>
      <c r="H6134" s="35">
        <v>18.600000000000001</v>
      </c>
      <c r="I6134" s="37">
        <f t="shared" si="95"/>
        <v>6.3096405201043475E-5</v>
      </c>
      <c r="J6134" s="33"/>
    </row>
    <row r="6135" spans="1:10">
      <c r="A6135" s="33" t="s">
        <v>116</v>
      </c>
      <c r="B6135" s="34">
        <v>377.43299999999999</v>
      </c>
      <c r="C6135" s="35">
        <v>294787</v>
      </c>
      <c r="D6135" s="33" t="s">
        <v>27</v>
      </c>
      <c r="E6135" s="34">
        <v>377.31700000000001</v>
      </c>
      <c r="F6135" s="36">
        <v>0.115999999999985</v>
      </c>
      <c r="G6135" s="34">
        <v>0.115999999999985</v>
      </c>
      <c r="H6135" s="35">
        <v>921.9</v>
      </c>
      <c r="I6135" s="37">
        <f t="shared" si="95"/>
        <v>3.1273427932710738E-3</v>
      </c>
      <c r="J6135" s="33" t="s">
        <v>116</v>
      </c>
    </row>
    <row r="6136" spans="1:10">
      <c r="A6136" s="33" t="s">
        <v>116</v>
      </c>
      <c r="B6136" s="34">
        <v>377.43299999999999</v>
      </c>
      <c r="C6136" s="35">
        <v>294787</v>
      </c>
      <c r="D6136" s="33" t="s">
        <v>268</v>
      </c>
      <c r="E6136" s="34">
        <v>377.31700000000001</v>
      </c>
      <c r="F6136" s="36">
        <v>0.115999999999985</v>
      </c>
      <c r="G6136" s="34">
        <v>0.115999999999985</v>
      </c>
      <c r="H6136" s="35">
        <v>5.6</v>
      </c>
      <c r="I6136" s="37">
        <f t="shared" si="95"/>
        <v>1.8996767157303407E-5</v>
      </c>
      <c r="J6136" s="33"/>
    </row>
    <row r="6137" spans="1:10">
      <c r="A6137" s="33" t="s">
        <v>116</v>
      </c>
      <c r="B6137" s="34">
        <v>377.43299999999999</v>
      </c>
      <c r="C6137" s="35">
        <v>294787</v>
      </c>
      <c r="D6137" s="33" t="s">
        <v>33</v>
      </c>
      <c r="E6137" s="34">
        <v>377.33100000000002</v>
      </c>
      <c r="F6137" s="36">
        <v>0.101999999999975</v>
      </c>
      <c r="G6137" s="34">
        <v>0.101999999999975</v>
      </c>
      <c r="H6137" s="35">
        <v>830.8</v>
      </c>
      <c r="I6137" s="37">
        <f t="shared" si="95"/>
        <v>2.8183060989799415E-3</v>
      </c>
      <c r="J6137" s="33" t="s">
        <v>116</v>
      </c>
    </row>
    <row r="6138" spans="1:10">
      <c r="A6138" s="33" t="s">
        <v>116</v>
      </c>
      <c r="B6138" s="34">
        <v>377.43299999999999</v>
      </c>
      <c r="C6138" s="35">
        <v>294787</v>
      </c>
      <c r="D6138" s="33" t="s">
        <v>270</v>
      </c>
      <c r="E6138" s="34">
        <v>377.334</v>
      </c>
      <c r="F6138" s="36">
        <v>9.8999999999989499E-2</v>
      </c>
      <c r="G6138" s="34">
        <v>9.8999999999989499E-2</v>
      </c>
      <c r="H6138" s="35">
        <v>676.3</v>
      </c>
      <c r="I6138" s="37">
        <f t="shared" si="95"/>
        <v>2.2941988622293382E-3</v>
      </c>
      <c r="J6138" s="33"/>
    </row>
    <row r="6139" spans="1:10">
      <c r="A6139" s="33" t="s">
        <v>116</v>
      </c>
      <c r="B6139" s="34">
        <v>377.43299999999999</v>
      </c>
      <c r="C6139" s="35">
        <v>294787</v>
      </c>
      <c r="D6139" s="33" t="s">
        <v>277</v>
      </c>
      <c r="E6139" s="34">
        <v>377.34300000000002</v>
      </c>
      <c r="F6139" s="36">
        <v>8.9999999999975003E-2</v>
      </c>
      <c r="G6139" s="34">
        <v>8.9999999999975003E-2</v>
      </c>
      <c r="H6139" s="35">
        <v>142.19999999999999</v>
      </c>
      <c r="I6139" s="37">
        <f t="shared" si="95"/>
        <v>4.8238219460152582E-4</v>
      </c>
      <c r="J6139" s="33"/>
    </row>
    <row r="6140" spans="1:10">
      <c r="A6140" s="33" t="s">
        <v>116</v>
      </c>
      <c r="B6140" s="34">
        <v>377.43299999999999</v>
      </c>
      <c r="C6140" s="35">
        <v>294787</v>
      </c>
      <c r="D6140" s="33" t="s">
        <v>25</v>
      </c>
      <c r="E6140" s="34">
        <v>377.34399999999999</v>
      </c>
      <c r="F6140" s="36">
        <v>8.8999999999998594E-2</v>
      </c>
      <c r="G6140" s="34">
        <v>8.8999999999998594E-2</v>
      </c>
      <c r="H6140" s="35">
        <v>284.7</v>
      </c>
      <c r="I6140" s="37">
        <f t="shared" si="95"/>
        <v>9.6578207315790724E-4</v>
      </c>
      <c r="J6140" s="33" t="s">
        <v>116</v>
      </c>
    </row>
    <row r="6141" spans="1:10">
      <c r="A6141" s="33" t="s">
        <v>116</v>
      </c>
      <c r="B6141" s="34">
        <v>377.43299999999999</v>
      </c>
      <c r="C6141" s="35">
        <v>294787</v>
      </c>
      <c r="D6141" s="33" t="s">
        <v>97</v>
      </c>
      <c r="E6141" s="34">
        <v>377.36900000000003</v>
      </c>
      <c r="F6141" s="36">
        <v>6.3999999999964502E-2</v>
      </c>
      <c r="G6141" s="34">
        <v>6.3999999999964502E-2</v>
      </c>
      <c r="H6141" s="35">
        <v>2</v>
      </c>
      <c r="I6141" s="37">
        <f t="shared" si="95"/>
        <v>6.7845596990369322E-6</v>
      </c>
      <c r="J6141" s="33"/>
    </row>
    <row r="6142" spans="1:10">
      <c r="A6142" s="33" t="s">
        <v>116</v>
      </c>
      <c r="B6142" s="34">
        <v>377.43299999999999</v>
      </c>
      <c r="C6142" s="35">
        <v>294787</v>
      </c>
      <c r="D6142" s="33" t="s">
        <v>274</v>
      </c>
      <c r="E6142" s="34">
        <v>377.37</v>
      </c>
      <c r="F6142" s="36">
        <v>6.2999999999988204E-2</v>
      </c>
      <c r="G6142" s="34">
        <v>6.2999999999988204E-2</v>
      </c>
      <c r="H6142" s="35">
        <v>40.799999999999997</v>
      </c>
      <c r="I6142" s="37">
        <f t="shared" si="95"/>
        <v>1.3840501786035339E-4</v>
      </c>
      <c r="J6142" s="33"/>
    </row>
    <row r="6143" spans="1:10">
      <c r="A6143" s="33" t="s">
        <v>116</v>
      </c>
      <c r="B6143" s="34">
        <v>377.43299999999999</v>
      </c>
      <c r="C6143" s="35">
        <v>294787</v>
      </c>
      <c r="D6143" s="33" t="s">
        <v>271</v>
      </c>
      <c r="E6143" s="34">
        <v>377.37599999999998</v>
      </c>
      <c r="F6143" s="36">
        <v>5.7000000000016399E-2</v>
      </c>
      <c r="G6143" s="34">
        <v>5.7000000000016399E-2</v>
      </c>
      <c r="H6143" s="35">
        <v>974.5</v>
      </c>
      <c r="I6143" s="37">
        <f t="shared" si="95"/>
        <v>3.305776713355745E-3</v>
      </c>
      <c r="J6143" s="33"/>
    </row>
    <row r="6144" spans="1:10">
      <c r="A6144" s="33" t="s">
        <v>116</v>
      </c>
      <c r="B6144" s="34">
        <v>377.43299999999999</v>
      </c>
      <c r="C6144" s="35">
        <v>294787</v>
      </c>
      <c r="D6144" s="33" t="s">
        <v>240</v>
      </c>
      <c r="E6144" s="34">
        <v>377.38600000000002</v>
      </c>
      <c r="F6144" s="36">
        <v>4.6999999999968602E-2</v>
      </c>
      <c r="G6144" s="34">
        <v>4.6999999999968602E-2</v>
      </c>
      <c r="H6144" s="35">
        <v>2.9</v>
      </c>
      <c r="I6144" s="37">
        <f t="shared" si="95"/>
        <v>9.8376115636035501E-6</v>
      </c>
      <c r="J6144" s="33"/>
    </row>
    <row r="6145" spans="1:10">
      <c r="A6145" s="33" t="s">
        <v>116</v>
      </c>
      <c r="B6145" s="34">
        <v>377.43299999999999</v>
      </c>
      <c r="C6145" s="35">
        <v>294787</v>
      </c>
      <c r="D6145" s="33" t="s">
        <v>173</v>
      </c>
      <c r="E6145" s="34">
        <v>377.40600000000001</v>
      </c>
      <c r="F6145" s="36">
        <v>2.6999999999986798E-2</v>
      </c>
      <c r="G6145" s="34">
        <v>2.6999999999986798E-2</v>
      </c>
      <c r="H6145" s="35">
        <v>978.1</v>
      </c>
      <c r="I6145" s="37">
        <f t="shared" si="95"/>
        <v>3.3179889208140114E-3</v>
      </c>
      <c r="J6145" s="33"/>
    </row>
    <row r="6146" spans="1:10">
      <c r="A6146" s="33" t="s">
        <v>116</v>
      </c>
      <c r="B6146" s="34">
        <v>377.43299999999999</v>
      </c>
      <c r="C6146" s="35">
        <v>294787</v>
      </c>
      <c r="D6146" s="33" t="s">
        <v>280</v>
      </c>
      <c r="E6146" s="34">
        <v>377.41</v>
      </c>
      <c r="F6146" s="36">
        <v>2.2999999999967699E-2</v>
      </c>
      <c r="G6146" s="34">
        <v>2.2999999999967699E-2</v>
      </c>
      <c r="H6146" s="35">
        <v>18.899999999999999</v>
      </c>
      <c r="I6146" s="37">
        <f t="shared" ref="I6146:I6209" si="96">H6146/C6146</f>
        <v>6.4114089155899002E-5</v>
      </c>
      <c r="J6146" s="33"/>
    </row>
    <row r="6147" spans="1:10">
      <c r="A6147" s="33" t="s">
        <v>116</v>
      </c>
      <c r="B6147" s="34">
        <v>377.43299999999999</v>
      </c>
      <c r="C6147" s="35">
        <v>294787</v>
      </c>
      <c r="D6147" s="33" t="s">
        <v>271</v>
      </c>
      <c r="E6147" s="34">
        <v>377.42</v>
      </c>
      <c r="F6147" s="36">
        <v>1.2999999999976799E-2</v>
      </c>
      <c r="G6147" s="34">
        <v>1.2999999999976799E-2</v>
      </c>
      <c r="H6147" s="35">
        <v>412</v>
      </c>
      <c r="I6147" s="37">
        <f t="shared" si="96"/>
        <v>1.3976192980016079E-3</v>
      </c>
      <c r="J6147" s="33"/>
    </row>
    <row r="6148" spans="1:10">
      <c r="A6148" s="33" t="s">
        <v>116</v>
      </c>
      <c r="B6148" s="34">
        <v>377.43299999999999</v>
      </c>
      <c r="C6148" s="35">
        <v>294787</v>
      </c>
      <c r="D6148" s="33" t="s">
        <v>36</v>
      </c>
      <c r="E6148" s="34">
        <v>377.42899999999997</v>
      </c>
      <c r="F6148" s="36">
        <v>4.0000000000191003E-3</v>
      </c>
      <c r="G6148" s="34">
        <v>4.0000000000191003E-3</v>
      </c>
      <c r="H6148" s="35">
        <v>1038.9000000000001</v>
      </c>
      <c r="I6148" s="37">
        <f t="shared" si="96"/>
        <v>3.5242395356647345E-3</v>
      </c>
      <c r="J6148" s="33" t="s">
        <v>116</v>
      </c>
    </row>
    <row r="6149" spans="1:10">
      <c r="A6149" s="33" t="s">
        <v>116</v>
      </c>
      <c r="B6149" s="34">
        <v>377.43299999999999</v>
      </c>
      <c r="C6149" s="35">
        <v>294787</v>
      </c>
      <c r="D6149" s="33" t="s">
        <v>270</v>
      </c>
      <c r="E6149" s="34">
        <v>377.43</v>
      </c>
      <c r="F6149" s="36">
        <v>2.9999999999858998E-3</v>
      </c>
      <c r="G6149" s="34">
        <v>2.9999999999858998E-3</v>
      </c>
      <c r="H6149" s="35">
        <v>1382.1</v>
      </c>
      <c r="I6149" s="37">
        <f t="shared" si="96"/>
        <v>4.6884699800194716E-3</v>
      </c>
      <c r="J6149" s="33"/>
    </row>
    <row r="6150" spans="1:10">
      <c r="A6150" s="33" t="s">
        <v>116</v>
      </c>
      <c r="B6150" s="34">
        <v>377.43299999999999</v>
      </c>
      <c r="C6150" s="35">
        <v>294787</v>
      </c>
      <c r="D6150" s="33" t="s">
        <v>63</v>
      </c>
      <c r="E6150" s="34">
        <v>377.43200000000002</v>
      </c>
      <c r="F6150" s="36">
        <v>9.9999999997635292E-4</v>
      </c>
      <c r="G6150" s="34">
        <v>9.9999999997635292E-4</v>
      </c>
      <c r="H6150" s="35">
        <v>16.899999999999999</v>
      </c>
      <c r="I6150" s="37">
        <f t="shared" si="96"/>
        <v>5.7329529456862067E-5</v>
      </c>
      <c r="J6150" s="33" t="s">
        <v>116</v>
      </c>
    </row>
    <row r="6151" spans="1:10">
      <c r="A6151" s="33" t="s">
        <v>116</v>
      </c>
      <c r="B6151" s="34">
        <v>377.43299999999999</v>
      </c>
      <c r="C6151" s="35">
        <v>294787</v>
      </c>
      <c r="D6151" s="33" t="s">
        <v>284</v>
      </c>
      <c r="E6151" s="34">
        <v>377.44</v>
      </c>
      <c r="F6151" s="36">
        <v>7.0000000000049996E-3</v>
      </c>
      <c r="G6151" s="34">
        <v>7.0000000000049996E-3</v>
      </c>
      <c r="H6151" s="35">
        <v>1</v>
      </c>
      <c r="I6151" s="37">
        <f t="shared" si="96"/>
        <v>3.3922798495184661E-6</v>
      </c>
      <c r="J6151" s="33"/>
    </row>
    <row r="6152" spans="1:10">
      <c r="A6152" s="33" t="s">
        <v>116</v>
      </c>
      <c r="B6152" s="34">
        <v>377.43299999999999</v>
      </c>
      <c r="C6152" s="35">
        <v>294787</v>
      </c>
      <c r="D6152" s="33" t="s">
        <v>193</v>
      </c>
      <c r="E6152" s="34">
        <v>377.44099999999997</v>
      </c>
      <c r="F6152" s="36">
        <v>7.9999999999813606E-3</v>
      </c>
      <c r="G6152" s="34">
        <v>7.9999999999813606E-3</v>
      </c>
      <c r="H6152" s="35">
        <v>102.5</v>
      </c>
      <c r="I6152" s="37">
        <f t="shared" si="96"/>
        <v>3.4770868457564277E-4</v>
      </c>
      <c r="J6152" s="33"/>
    </row>
    <row r="6153" spans="1:10">
      <c r="A6153" s="33" t="s">
        <v>116</v>
      </c>
      <c r="B6153" s="34">
        <v>377.43299999999999</v>
      </c>
      <c r="C6153" s="35">
        <v>294787</v>
      </c>
      <c r="D6153" s="33" t="s">
        <v>54</v>
      </c>
      <c r="E6153" s="34">
        <v>377.459</v>
      </c>
      <c r="F6153" s="36">
        <v>2.6000000000010501E-2</v>
      </c>
      <c r="G6153" s="34">
        <v>2.6000000000010501E-2</v>
      </c>
      <c r="H6153" s="35">
        <v>10.3</v>
      </c>
      <c r="I6153" s="37">
        <f t="shared" si="96"/>
        <v>3.4940482450040198E-5</v>
      </c>
      <c r="J6153" s="33"/>
    </row>
    <row r="6154" spans="1:10">
      <c r="A6154" s="33" t="s">
        <v>116</v>
      </c>
      <c r="B6154" s="34">
        <v>377.43299999999999</v>
      </c>
      <c r="C6154" s="35">
        <v>294787</v>
      </c>
      <c r="D6154" s="33" t="s">
        <v>284</v>
      </c>
      <c r="E6154" s="34">
        <v>377.46300000000002</v>
      </c>
      <c r="F6154" s="36">
        <v>3.00000000000296E-2</v>
      </c>
      <c r="G6154" s="34">
        <v>3.00000000000296E-2</v>
      </c>
      <c r="H6154" s="35">
        <v>0.6</v>
      </c>
      <c r="I6154" s="37">
        <f t="shared" si="96"/>
        <v>2.0353679097110795E-6</v>
      </c>
      <c r="J6154" s="33"/>
    </row>
    <row r="6155" spans="1:10">
      <c r="A6155" s="33" t="s">
        <v>116</v>
      </c>
      <c r="B6155" s="34">
        <v>377.43299999999999</v>
      </c>
      <c r="C6155" s="35">
        <v>294787</v>
      </c>
      <c r="D6155" s="33" t="s">
        <v>237</v>
      </c>
      <c r="E6155" s="34">
        <v>377.464</v>
      </c>
      <c r="F6155" s="36">
        <v>3.1000000000005901E-2</v>
      </c>
      <c r="G6155" s="34">
        <v>3.1000000000005901E-2</v>
      </c>
      <c r="H6155" s="35">
        <v>82.2</v>
      </c>
      <c r="I6155" s="37">
        <f t="shared" si="96"/>
        <v>2.7884540363041788E-4</v>
      </c>
      <c r="J6155" s="33"/>
    </row>
    <row r="6156" spans="1:10">
      <c r="A6156" s="33" t="s">
        <v>116</v>
      </c>
      <c r="B6156" s="34">
        <v>377.43299999999999</v>
      </c>
      <c r="C6156" s="35">
        <v>294787</v>
      </c>
      <c r="D6156" s="33" t="s">
        <v>278</v>
      </c>
      <c r="E6156" s="34">
        <v>377.46699999999998</v>
      </c>
      <c r="F6156" s="36">
        <v>3.3999999999991801E-2</v>
      </c>
      <c r="G6156" s="34">
        <v>3.3999999999991801E-2</v>
      </c>
      <c r="H6156" s="35">
        <v>58.8</v>
      </c>
      <c r="I6156" s="37">
        <f t="shared" si="96"/>
        <v>1.9946605515168579E-4</v>
      </c>
      <c r="J6156" s="33"/>
    </row>
    <row r="6157" spans="1:10">
      <c r="A6157" s="33" t="s">
        <v>116</v>
      </c>
      <c r="B6157" s="34">
        <v>377.43299999999999</v>
      </c>
      <c r="C6157" s="35">
        <v>294787</v>
      </c>
      <c r="D6157" s="33" t="s">
        <v>240</v>
      </c>
      <c r="E6157" s="34">
        <v>377.46800000000002</v>
      </c>
      <c r="F6157" s="36">
        <v>3.5000000000024997E-2</v>
      </c>
      <c r="G6157" s="34">
        <v>3.5000000000024997E-2</v>
      </c>
      <c r="H6157" s="35">
        <v>3.3</v>
      </c>
      <c r="I6157" s="37">
        <f t="shared" si="96"/>
        <v>1.1194523503410938E-5</v>
      </c>
      <c r="J6157" s="33"/>
    </row>
    <row r="6158" spans="1:10">
      <c r="A6158" s="33" t="s">
        <v>116</v>
      </c>
      <c r="B6158" s="34">
        <v>377.43299999999999</v>
      </c>
      <c r="C6158" s="35">
        <v>294787</v>
      </c>
      <c r="D6158" s="33" t="s">
        <v>270</v>
      </c>
      <c r="E6158" s="34">
        <v>377.47</v>
      </c>
      <c r="F6158" s="36">
        <v>3.7000000000034602E-2</v>
      </c>
      <c r="G6158" s="34">
        <v>3.7000000000034602E-2</v>
      </c>
      <c r="H6158" s="35">
        <v>802.2</v>
      </c>
      <c r="I6158" s="37">
        <f t="shared" si="96"/>
        <v>2.7212868952837133E-3</v>
      </c>
      <c r="J6158" s="33"/>
    </row>
    <row r="6159" spans="1:10">
      <c r="A6159" s="33" t="s">
        <v>116</v>
      </c>
      <c r="B6159" s="34">
        <v>377.43299999999999</v>
      </c>
      <c r="C6159" s="35">
        <v>294787</v>
      </c>
      <c r="D6159" s="33" t="s">
        <v>97</v>
      </c>
      <c r="E6159" s="34">
        <v>377.48200000000003</v>
      </c>
      <c r="F6159" s="36">
        <v>4.9000000000035002E-2</v>
      </c>
      <c r="G6159" s="34">
        <v>4.9000000000035002E-2</v>
      </c>
      <c r="H6159" s="35">
        <v>4.2</v>
      </c>
      <c r="I6159" s="37">
        <f t="shared" si="96"/>
        <v>1.4247575367977557E-5</v>
      </c>
      <c r="J6159" s="33"/>
    </row>
    <row r="6160" spans="1:10">
      <c r="A6160" s="33" t="s">
        <v>116</v>
      </c>
      <c r="B6160" s="34">
        <v>377.43299999999999</v>
      </c>
      <c r="C6160" s="35">
        <v>294787</v>
      </c>
      <c r="D6160" s="33" t="s">
        <v>84</v>
      </c>
      <c r="E6160" s="34">
        <v>377.48399999999998</v>
      </c>
      <c r="F6160" s="36">
        <v>5.0999999999987701E-2</v>
      </c>
      <c r="G6160" s="34">
        <v>5.0999999999987701E-2</v>
      </c>
      <c r="H6160" s="35">
        <v>73.900000000000006</v>
      </c>
      <c r="I6160" s="37">
        <f t="shared" si="96"/>
        <v>2.5068948087941464E-4</v>
      </c>
      <c r="J6160" s="33" t="s">
        <v>116</v>
      </c>
    </row>
    <row r="6161" spans="1:10">
      <c r="A6161" s="33" t="s">
        <v>116</v>
      </c>
      <c r="B6161" s="34">
        <v>377.43299999999999</v>
      </c>
      <c r="C6161" s="35">
        <v>294787</v>
      </c>
      <c r="D6161" s="33" t="s">
        <v>27</v>
      </c>
      <c r="E6161" s="34">
        <v>377.49200000000002</v>
      </c>
      <c r="F6161" s="36">
        <v>5.90000000000259E-2</v>
      </c>
      <c r="G6161" s="34">
        <v>5.90000000000259E-2</v>
      </c>
      <c r="H6161" s="35">
        <v>457.5</v>
      </c>
      <c r="I6161" s="37">
        <f t="shared" si="96"/>
        <v>1.5519680311546981E-3</v>
      </c>
      <c r="J6161" s="33" t="s">
        <v>116</v>
      </c>
    </row>
    <row r="6162" spans="1:10">
      <c r="A6162" s="33" t="s">
        <v>116</v>
      </c>
      <c r="B6162" s="34">
        <v>377.43299999999999</v>
      </c>
      <c r="C6162" s="35">
        <v>294787</v>
      </c>
      <c r="D6162" s="33" t="s">
        <v>201</v>
      </c>
      <c r="E6162" s="34">
        <v>377.52699999999999</v>
      </c>
      <c r="F6162" s="36">
        <v>9.3999999999994102E-2</v>
      </c>
      <c r="G6162" s="34">
        <v>9.3999999999994102E-2</v>
      </c>
      <c r="H6162" s="35">
        <v>786</v>
      </c>
      <c r="I6162" s="37">
        <f t="shared" si="96"/>
        <v>2.6663319617215141E-3</v>
      </c>
      <c r="J6162" s="33"/>
    </row>
    <row r="6163" spans="1:10">
      <c r="A6163" s="33" t="s">
        <v>116</v>
      </c>
      <c r="B6163" s="34">
        <v>377.43299999999999</v>
      </c>
      <c r="C6163" s="35">
        <v>294787</v>
      </c>
      <c r="D6163" s="33" t="s">
        <v>271</v>
      </c>
      <c r="E6163" s="34">
        <v>377.53100000000001</v>
      </c>
      <c r="F6163" s="36">
        <v>9.8000000000013202E-2</v>
      </c>
      <c r="G6163" s="34">
        <v>9.8000000000013202E-2</v>
      </c>
      <c r="H6163" s="35">
        <v>93.3</v>
      </c>
      <c r="I6163" s="37">
        <f t="shared" si="96"/>
        <v>3.1649970996007286E-4</v>
      </c>
      <c r="J6163" s="33"/>
    </row>
    <row r="6164" spans="1:10">
      <c r="A6164" s="33" t="s">
        <v>116</v>
      </c>
      <c r="B6164" s="34">
        <v>377.43299999999999</v>
      </c>
      <c r="C6164" s="35">
        <v>294787</v>
      </c>
      <c r="D6164" s="33" t="s">
        <v>287</v>
      </c>
      <c r="E6164" s="34">
        <v>377.54399999999998</v>
      </c>
      <c r="F6164" s="36">
        <v>0.11099999999999</v>
      </c>
      <c r="G6164" s="34">
        <v>0.11099999999999</v>
      </c>
      <c r="H6164" s="35">
        <v>700</v>
      </c>
      <c r="I6164" s="37">
        <f t="shared" si="96"/>
        <v>2.374595894662926E-3</v>
      </c>
      <c r="J6164" s="33"/>
    </row>
    <row r="6165" spans="1:10">
      <c r="A6165" s="33" t="s">
        <v>116</v>
      </c>
      <c r="B6165" s="34">
        <v>377.43299999999999</v>
      </c>
      <c r="C6165" s="35">
        <v>294787</v>
      </c>
      <c r="D6165" s="33" t="s">
        <v>273</v>
      </c>
      <c r="E6165" s="34">
        <v>377.54399999999998</v>
      </c>
      <c r="F6165" s="36">
        <v>0.11099999999999</v>
      </c>
      <c r="G6165" s="34">
        <v>0.11099999999999</v>
      </c>
      <c r="H6165" s="35">
        <v>38.1</v>
      </c>
      <c r="I6165" s="37">
        <f t="shared" si="96"/>
        <v>1.2924586226665356E-4</v>
      </c>
      <c r="J6165" s="33"/>
    </row>
    <row r="6166" spans="1:10">
      <c r="A6166" s="33" t="s">
        <v>116</v>
      </c>
      <c r="B6166" s="34">
        <v>377.43299999999999</v>
      </c>
      <c r="C6166" s="35">
        <v>294787</v>
      </c>
      <c r="D6166" s="33" t="s">
        <v>27</v>
      </c>
      <c r="E6166" s="34">
        <v>377.55</v>
      </c>
      <c r="F6166" s="36">
        <v>0.11700000000001901</v>
      </c>
      <c r="G6166" s="34">
        <v>0.11700000000001901</v>
      </c>
      <c r="H6166" s="35">
        <v>5319.6</v>
      </c>
      <c r="I6166" s="37">
        <f t="shared" si="96"/>
        <v>1.8045571887498432E-2</v>
      </c>
      <c r="J6166" s="33" t="s">
        <v>116</v>
      </c>
    </row>
    <row r="6167" spans="1:10">
      <c r="A6167" s="33" t="s">
        <v>116</v>
      </c>
      <c r="B6167" s="34">
        <v>377.43299999999999</v>
      </c>
      <c r="C6167" s="35">
        <v>294787</v>
      </c>
      <c r="D6167" s="33" t="s">
        <v>25</v>
      </c>
      <c r="E6167" s="34">
        <v>377.55599999999998</v>
      </c>
      <c r="F6167" s="36">
        <v>0.12299999999999101</v>
      </c>
      <c r="G6167" s="34">
        <v>0.12299999999999101</v>
      </c>
      <c r="H6167" s="35">
        <v>59</v>
      </c>
      <c r="I6167" s="37">
        <f t="shared" si="96"/>
        <v>2.001445111215895E-4</v>
      </c>
      <c r="J6167" s="33" t="s">
        <v>116</v>
      </c>
    </row>
    <row r="6168" spans="1:10">
      <c r="A6168" s="33" t="s">
        <v>116</v>
      </c>
      <c r="B6168" s="34">
        <v>377.43299999999999</v>
      </c>
      <c r="C6168" s="35">
        <v>294787</v>
      </c>
      <c r="D6168" s="33" t="s">
        <v>165</v>
      </c>
      <c r="E6168" s="34">
        <v>377.55700000000002</v>
      </c>
      <c r="F6168" s="36">
        <v>0.12400000000002399</v>
      </c>
      <c r="G6168" s="34">
        <v>0.12400000000002399</v>
      </c>
      <c r="H6168" s="35">
        <v>273.89999999999998</v>
      </c>
      <c r="I6168" s="37">
        <f t="shared" si="96"/>
        <v>9.2914545078310771E-4</v>
      </c>
      <c r="J6168" s="33"/>
    </row>
    <row r="6169" spans="1:10">
      <c r="A6169" s="33" t="s">
        <v>116</v>
      </c>
      <c r="B6169" s="34">
        <v>377.43299999999999</v>
      </c>
      <c r="C6169" s="35">
        <v>294787</v>
      </c>
      <c r="D6169" s="33" t="s">
        <v>275</v>
      </c>
      <c r="E6169" s="34">
        <v>377.56400000000002</v>
      </c>
      <c r="F6169" s="36">
        <v>0.13100000000002901</v>
      </c>
      <c r="G6169" s="34">
        <v>0.13100000000002901</v>
      </c>
      <c r="H6169" s="35">
        <v>4.7</v>
      </c>
      <c r="I6169" s="37">
        <f t="shared" si="96"/>
        <v>1.5943715292736791E-5</v>
      </c>
      <c r="J6169" s="33"/>
    </row>
    <row r="6170" spans="1:10">
      <c r="A6170" s="33" t="s">
        <v>116</v>
      </c>
      <c r="B6170" s="34">
        <v>377.43299999999999</v>
      </c>
      <c r="C6170" s="35">
        <v>294787</v>
      </c>
      <c r="D6170" s="33" t="s">
        <v>84</v>
      </c>
      <c r="E6170" s="34">
        <v>377.56599999999997</v>
      </c>
      <c r="F6170" s="36">
        <v>0.13299999999998099</v>
      </c>
      <c r="G6170" s="34">
        <v>0.13299999999998099</v>
      </c>
      <c r="H6170" s="35">
        <v>2296.8000000000002</v>
      </c>
      <c r="I6170" s="37">
        <f t="shared" si="96"/>
        <v>7.7913883583740134E-3</v>
      </c>
      <c r="J6170" s="33" t="s">
        <v>116</v>
      </c>
    </row>
    <row r="6171" spans="1:10">
      <c r="A6171" s="33" t="s">
        <v>116</v>
      </c>
      <c r="B6171" s="34">
        <v>378.86900000000003</v>
      </c>
      <c r="C6171" s="35">
        <v>182838</v>
      </c>
      <c r="D6171" s="33" t="s">
        <v>201</v>
      </c>
      <c r="E6171" s="34">
        <v>378.72300000000001</v>
      </c>
      <c r="F6171" s="36">
        <v>0.14600000000001501</v>
      </c>
      <c r="G6171" s="34">
        <v>0.14600000000001501</v>
      </c>
      <c r="H6171" s="35">
        <v>1272.8</v>
      </c>
      <c r="I6171" s="37">
        <f t="shared" si="96"/>
        <v>6.9613537667224537E-3</v>
      </c>
      <c r="J6171" s="33"/>
    </row>
    <row r="6172" spans="1:10">
      <c r="A6172" s="33" t="s">
        <v>116</v>
      </c>
      <c r="B6172" s="34">
        <v>378.86900000000003</v>
      </c>
      <c r="C6172" s="35">
        <v>182838</v>
      </c>
      <c r="D6172" s="33" t="s">
        <v>277</v>
      </c>
      <c r="E6172" s="34">
        <v>378.72300000000001</v>
      </c>
      <c r="F6172" s="36">
        <v>0.14600000000001501</v>
      </c>
      <c r="G6172" s="34">
        <v>0.14600000000001501</v>
      </c>
      <c r="H6172" s="35">
        <v>80.7</v>
      </c>
      <c r="I6172" s="37">
        <f t="shared" si="96"/>
        <v>4.4137433137531588E-4</v>
      </c>
      <c r="J6172" s="33"/>
    </row>
    <row r="6173" spans="1:10">
      <c r="A6173" s="33" t="s">
        <v>116</v>
      </c>
      <c r="B6173" s="34">
        <v>378.86900000000003</v>
      </c>
      <c r="C6173" s="35">
        <v>182838</v>
      </c>
      <c r="D6173" s="33" t="s">
        <v>278</v>
      </c>
      <c r="E6173" s="34">
        <v>378.72399999999999</v>
      </c>
      <c r="F6173" s="36">
        <v>0.14500000000003899</v>
      </c>
      <c r="G6173" s="34">
        <v>0.14500000000003899</v>
      </c>
      <c r="H6173" s="35">
        <v>579.9</v>
      </c>
      <c r="I6173" s="37">
        <f t="shared" si="96"/>
        <v>3.1716601581728084E-3</v>
      </c>
      <c r="J6173" s="33"/>
    </row>
    <row r="6174" spans="1:10">
      <c r="A6174" s="33" t="s">
        <v>116</v>
      </c>
      <c r="B6174" s="34">
        <v>378.86900000000003</v>
      </c>
      <c r="C6174" s="35">
        <v>182838</v>
      </c>
      <c r="D6174" s="33" t="s">
        <v>33</v>
      </c>
      <c r="E6174" s="34">
        <v>378.726</v>
      </c>
      <c r="F6174" s="36">
        <v>0.14300000000002899</v>
      </c>
      <c r="G6174" s="34">
        <v>0.14300000000002899</v>
      </c>
      <c r="H6174" s="35">
        <v>615.6</v>
      </c>
      <c r="I6174" s="37">
        <f t="shared" si="96"/>
        <v>3.3669149739113313E-3</v>
      </c>
      <c r="J6174" s="33" t="s">
        <v>116</v>
      </c>
    </row>
    <row r="6175" spans="1:10">
      <c r="A6175" s="33" t="s">
        <v>116</v>
      </c>
      <c r="B6175" s="34">
        <v>378.86900000000003</v>
      </c>
      <c r="C6175" s="35">
        <v>182838</v>
      </c>
      <c r="D6175" s="33" t="s">
        <v>193</v>
      </c>
      <c r="E6175" s="34">
        <v>378.726</v>
      </c>
      <c r="F6175" s="36">
        <v>0.14300000000002899</v>
      </c>
      <c r="G6175" s="34">
        <v>0.14300000000002899</v>
      </c>
      <c r="H6175" s="35">
        <v>124.4</v>
      </c>
      <c r="I6175" s="37">
        <f t="shared" si="96"/>
        <v>6.8038372767149067E-4</v>
      </c>
      <c r="J6175" s="33"/>
    </row>
    <row r="6176" spans="1:10">
      <c r="A6176" s="33" t="s">
        <v>116</v>
      </c>
      <c r="B6176" s="34">
        <v>378.86900000000003</v>
      </c>
      <c r="C6176" s="35">
        <v>182838</v>
      </c>
      <c r="D6176" s="33" t="s">
        <v>54</v>
      </c>
      <c r="E6176" s="34">
        <v>378.73399999999998</v>
      </c>
      <c r="F6176" s="36">
        <v>0.135000000000048</v>
      </c>
      <c r="G6176" s="34">
        <v>0.135000000000048</v>
      </c>
      <c r="H6176" s="35">
        <v>0.8</v>
      </c>
      <c r="I6176" s="37">
        <f t="shared" si="96"/>
        <v>4.3754580557652128E-6</v>
      </c>
      <c r="J6176" s="33"/>
    </row>
    <row r="6177" spans="1:10">
      <c r="A6177" s="33" t="s">
        <v>116</v>
      </c>
      <c r="B6177" s="34">
        <v>378.86900000000003</v>
      </c>
      <c r="C6177" s="35">
        <v>182838</v>
      </c>
      <c r="D6177" s="33" t="s">
        <v>269</v>
      </c>
      <c r="E6177" s="34">
        <v>378.73700000000002</v>
      </c>
      <c r="F6177" s="36">
        <v>0.132000000000005</v>
      </c>
      <c r="G6177" s="34">
        <v>0.132000000000005</v>
      </c>
      <c r="H6177" s="35">
        <v>13.2</v>
      </c>
      <c r="I6177" s="37">
        <f t="shared" si="96"/>
        <v>7.2195057920126007E-5</v>
      </c>
      <c r="J6177" s="33"/>
    </row>
    <row r="6178" spans="1:10">
      <c r="A6178" s="33" t="s">
        <v>116</v>
      </c>
      <c r="B6178" s="34">
        <v>378.86900000000003</v>
      </c>
      <c r="C6178" s="35">
        <v>182838</v>
      </c>
      <c r="D6178" s="33" t="s">
        <v>25</v>
      </c>
      <c r="E6178" s="34">
        <v>378.74599999999998</v>
      </c>
      <c r="F6178" s="36">
        <v>0.123000000000047</v>
      </c>
      <c r="G6178" s="34">
        <v>0.123000000000047</v>
      </c>
      <c r="H6178" s="35">
        <v>863.5</v>
      </c>
      <c r="I6178" s="37">
        <f t="shared" si="96"/>
        <v>4.7227600389415769E-3</v>
      </c>
      <c r="J6178" s="33" t="s">
        <v>116</v>
      </c>
    </row>
    <row r="6179" spans="1:10">
      <c r="A6179" s="33" t="s">
        <v>116</v>
      </c>
      <c r="B6179" s="34">
        <v>378.86900000000003</v>
      </c>
      <c r="C6179" s="35">
        <v>182838</v>
      </c>
      <c r="D6179" s="33" t="s">
        <v>279</v>
      </c>
      <c r="E6179" s="34">
        <v>378.75200000000001</v>
      </c>
      <c r="F6179" s="36">
        <v>0.11700000000001901</v>
      </c>
      <c r="G6179" s="34">
        <v>0.11700000000001901</v>
      </c>
      <c r="H6179" s="35">
        <v>42.4</v>
      </c>
      <c r="I6179" s="37">
        <f t="shared" si="96"/>
        <v>2.3189927695555626E-4</v>
      </c>
      <c r="J6179" s="33"/>
    </row>
    <row r="6180" spans="1:10">
      <c r="A6180" s="33" t="s">
        <v>116</v>
      </c>
      <c r="B6180" s="34">
        <v>378.86900000000003</v>
      </c>
      <c r="C6180" s="35">
        <v>182838</v>
      </c>
      <c r="D6180" s="33" t="s">
        <v>36</v>
      </c>
      <c r="E6180" s="34">
        <v>378.75700000000001</v>
      </c>
      <c r="F6180" s="36">
        <v>0.112000000000023</v>
      </c>
      <c r="G6180" s="34">
        <v>0.112000000000023</v>
      </c>
      <c r="H6180" s="35">
        <v>5524.1</v>
      </c>
      <c r="I6180" s="37">
        <f t="shared" si="96"/>
        <v>3.0213084807315767E-2</v>
      </c>
      <c r="J6180" s="33" t="s">
        <v>116</v>
      </c>
    </row>
    <row r="6181" spans="1:10">
      <c r="A6181" s="33" t="s">
        <v>116</v>
      </c>
      <c r="B6181" s="34">
        <v>378.86900000000003</v>
      </c>
      <c r="C6181" s="35">
        <v>182838</v>
      </c>
      <c r="D6181" s="33" t="s">
        <v>84</v>
      </c>
      <c r="E6181" s="34">
        <v>378.786</v>
      </c>
      <c r="F6181" s="36">
        <v>8.3000000000026802E-2</v>
      </c>
      <c r="G6181" s="34">
        <v>8.3000000000026802E-2</v>
      </c>
      <c r="H6181" s="35">
        <v>4656.8999999999996</v>
      </c>
      <c r="I6181" s="37">
        <f t="shared" si="96"/>
        <v>2.5470088274866274E-2</v>
      </c>
      <c r="J6181" s="33" t="s">
        <v>116</v>
      </c>
    </row>
    <row r="6182" spans="1:10">
      <c r="A6182" s="33" t="s">
        <v>116</v>
      </c>
      <c r="B6182" s="34">
        <v>378.86900000000003</v>
      </c>
      <c r="C6182" s="35">
        <v>182838</v>
      </c>
      <c r="D6182" s="33" t="s">
        <v>97</v>
      </c>
      <c r="E6182" s="34">
        <v>378.78800000000001</v>
      </c>
      <c r="F6182" s="36">
        <v>8.1000000000017294E-2</v>
      </c>
      <c r="G6182" s="34">
        <v>8.1000000000017294E-2</v>
      </c>
      <c r="H6182" s="35">
        <v>241.3</v>
      </c>
      <c r="I6182" s="37">
        <f t="shared" si="96"/>
        <v>1.3197475360701824E-3</v>
      </c>
      <c r="J6182" s="33"/>
    </row>
    <row r="6183" spans="1:10">
      <c r="A6183" s="33" t="s">
        <v>116</v>
      </c>
      <c r="B6183" s="34">
        <v>378.86900000000003</v>
      </c>
      <c r="C6183" s="35">
        <v>182838</v>
      </c>
      <c r="D6183" s="33" t="s">
        <v>25</v>
      </c>
      <c r="E6183" s="34">
        <v>378.79</v>
      </c>
      <c r="F6183" s="36">
        <v>7.9000000000007703E-2</v>
      </c>
      <c r="G6183" s="34">
        <v>7.9000000000007703E-2</v>
      </c>
      <c r="H6183" s="35">
        <v>928.5</v>
      </c>
      <c r="I6183" s="37">
        <f t="shared" si="96"/>
        <v>5.0782660059725E-3</v>
      </c>
      <c r="J6183" s="33" t="s">
        <v>116</v>
      </c>
    </row>
    <row r="6184" spans="1:10">
      <c r="A6184" s="33" t="s">
        <v>116</v>
      </c>
      <c r="B6184" s="34">
        <v>378.86900000000003</v>
      </c>
      <c r="C6184" s="35">
        <v>182838</v>
      </c>
      <c r="D6184" s="33" t="s">
        <v>94</v>
      </c>
      <c r="E6184" s="34">
        <v>378.80799999999999</v>
      </c>
      <c r="F6184" s="36">
        <v>6.1000000000035498E-2</v>
      </c>
      <c r="G6184" s="34">
        <v>6.1000000000035498E-2</v>
      </c>
      <c r="H6184" s="35">
        <v>1860.5</v>
      </c>
      <c r="I6184" s="37">
        <f t="shared" si="96"/>
        <v>1.0175674640938973E-2</v>
      </c>
      <c r="J6184" s="33" t="s">
        <v>116</v>
      </c>
    </row>
    <row r="6185" spans="1:10">
      <c r="A6185" s="33" t="s">
        <v>116</v>
      </c>
      <c r="B6185" s="34">
        <v>378.86900000000003</v>
      </c>
      <c r="C6185" s="35">
        <v>182838</v>
      </c>
      <c r="D6185" s="33" t="s">
        <v>270</v>
      </c>
      <c r="E6185" s="34">
        <v>378.81200000000001</v>
      </c>
      <c r="F6185" s="36">
        <v>5.7000000000016399E-2</v>
      </c>
      <c r="G6185" s="34">
        <v>5.7000000000016399E-2</v>
      </c>
      <c r="H6185" s="35">
        <v>6685.8</v>
      </c>
      <c r="I6185" s="37">
        <f t="shared" si="96"/>
        <v>3.6566796836543826E-2</v>
      </c>
      <c r="J6185" s="33"/>
    </row>
    <row r="6186" spans="1:10">
      <c r="A6186" s="33" t="s">
        <v>116</v>
      </c>
      <c r="B6186" s="34">
        <v>378.86900000000003</v>
      </c>
      <c r="C6186" s="35">
        <v>182838</v>
      </c>
      <c r="D6186" s="33" t="s">
        <v>277</v>
      </c>
      <c r="E6186" s="34">
        <v>378.81599999999997</v>
      </c>
      <c r="F6186" s="36">
        <v>5.3000000000054101E-2</v>
      </c>
      <c r="G6186" s="34">
        <v>5.3000000000054101E-2</v>
      </c>
      <c r="H6186" s="35">
        <v>49.4</v>
      </c>
      <c r="I6186" s="37">
        <f t="shared" si="96"/>
        <v>2.701845349435019E-4</v>
      </c>
      <c r="J6186" s="33"/>
    </row>
    <row r="6187" spans="1:10">
      <c r="A6187" s="33" t="s">
        <v>116</v>
      </c>
      <c r="B6187" s="34">
        <v>378.86900000000003</v>
      </c>
      <c r="C6187" s="35">
        <v>182838</v>
      </c>
      <c r="D6187" s="33" t="s">
        <v>275</v>
      </c>
      <c r="E6187" s="34">
        <v>378.82499999999999</v>
      </c>
      <c r="F6187" s="36">
        <v>4.4000000000039598E-2</v>
      </c>
      <c r="G6187" s="34">
        <v>4.4000000000039598E-2</v>
      </c>
      <c r="H6187" s="35">
        <v>20.3</v>
      </c>
      <c r="I6187" s="37">
        <f t="shared" si="96"/>
        <v>1.1102724816504229E-4</v>
      </c>
      <c r="J6187" s="33"/>
    </row>
    <row r="6188" spans="1:10">
      <c r="A6188" s="33" t="s">
        <v>116</v>
      </c>
      <c r="B6188" s="34">
        <v>378.86900000000003</v>
      </c>
      <c r="C6188" s="35">
        <v>182838</v>
      </c>
      <c r="D6188" s="33" t="s">
        <v>271</v>
      </c>
      <c r="E6188" s="34">
        <v>378.83600000000001</v>
      </c>
      <c r="F6188" s="36">
        <v>3.3000000000015503E-2</v>
      </c>
      <c r="G6188" s="34">
        <v>3.3000000000015503E-2</v>
      </c>
      <c r="H6188" s="35">
        <v>336.5</v>
      </c>
      <c r="I6188" s="37">
        <f t="shared" si="96"/>
        <v>1.8404270447062428E-3</v>
      </c>
      <c r="J6188" s="33"/>
    </row>
    <row r="6189" spans="1:10">
      <c r="A6189" s="33" t="s">
        <v>116</v>
      </c>
      <c r="B6189" s="34">
        <v>378.86900000000003</v>
      </c>
      <c r="C6189" s="35">
        <v>182838</v>
      </c>
      <c r="D6189" s="33" t="s">
        <v>33</v>
      </c>
      <c r="E6189" s="34">
        <v>378.84399999999999</v>
      </c>
      <c r="F6189" s="36">
        <v>2.5000000000034099E-2</v>
      </c>
      <c r="G6189" s="34">
        <v>2.5000000000034099E-2</v>
      </c>
      <c r="H6189" s="35">
        <v>6743.5</v>
      </c>
      <c r="I6189" s="37">
        <f t="shared" si="96"/>
        <v>3.6882376748815893E-2</v>
      </c>
      <c r="J6189" s="33" t="s">
        <v>116</v>
      </c>
    </row>
    <row r="6190" spans="1:10">
      <c r="A6190" s="33" t="s">
        <v>116</v>
      </c>
      <c r="B6190" s="34">
        <v>378.86900000000003</v>
      </c>
      <c r="C6190" s="35">
        <v>182838</v>
      </c>
      <c r="D6190" s="33" t="s">
        <v>282</v>
      </c>
      <c r="E6190" s="34">
        <v>378.84699999999998</v>
      </c>
      <c r="F6190" s="36">
        <v>2.20000000000482E-2</v>
      </c>
      <c r="G6190" s="34">
        <v>2.20000000000482E-2</v>
      </c>
      <c r="H6190" s="35">
        <v>314.3</v>
      </c>
      <c r="I6190" s="37">
        <f t="shared" si="96"/>
        <v>1.719008083658758E-3</v>
      </c>
      <c r="J6190" s="33"/>
    </row>
    <row r="6191" spans="1:10">
      <c r="A6191" s="33" t="s">
        <v>116</v>
      </c>
      <c r="B6191" s="34">
        <v>378.86900000000003</v>
      </c>
      <c r="C6191" s="35">
        <v>182838</v>
      </c>
      <c r="D6191" s="33" t="s">
        <v>25</v>
      </c>
      <c r="E6191" s="34">
        <v>378.875</v>
      </c>
      <c r="F6191" s="36">
        <v>5.99999999997181E-3</v>
      </c>
      <c r="G6191" s="34">
        <v>5.99999999997181E-3</v>
      </c>
      <c r="H6191" s="35">
        <v>2613.5</v>
      </c>
      <c r="I6191" s="37">
        <f t="shared" si="96"/>
        <v>1.4294074535927979E-2</v>
      </c>
      <c r="J6191" s="33" t="s">
        <v>116</v>
      </c>
    </row>
    <row r="6192" spans="1:10">
      <c r="A6192" s="33" t="s">
        <v>116</v>
      </c>
      <c r="B6192" s="34">
        <v>378.86900000000003</v>
      </c>
      <c r="C6192" s="35">
        <v>182838</v>
      </c>
      <c r="D6192" s="33" t="s">
        <v>280</v>
      </c>
      <c r="E6192" s="34">
        <v>378.87599999999998</v>
      </c>
      <c r="F6192" s="36">
        <v>6.9999999999481597E-3</v>
      </c>
      <c r="G6192" s="34">
        <v>6.9999999999481597E-3</v>
      </c>
      <c r="H6192" s="35">
        <v>384.3</v>
      </c>
      <c r="I6192" s="37">
        <f t="shared" si="96"/>
        <v>2.1018606635382141E-3</v>
      </c>
      <c r="J6192" s="33"/>
    </row>
    <row r="6193" spans="1:10">
      <c r="A6193" s="33" t="s">
        <v>116</v>
      </c>
      <c r="B6193" s="34">
        <v>378.86900000000003</v>
      </c>
      <c r="C6193" s="35">
        <v>182838</v>
      </c>
      <c r="D6193" s="33" t="s">
        <v>239</v>
      </c>
      <c r="E6193" s="34">
        <v>378.88499999999999</v>
      </c>
      <c r="F6193" s="36">
        <v>1.59999999999627E-2</v>
      </c>
      <c r="G6193" s="34">
        <v>1.59999999999627E-2</v>
      </c>
      <c r="H6193" s="35">
        <v>23.5</v>
      </c>
      <c r="I6193" s="37">
        <f t="shared" si="96"/>
        <v>1.2852908038810313E-4</v>
      </c>
      <c r="J6193" s="33"/>
    </row>
    <row r="6194" spans="1:10">
      <c r="A6194" s="33" t="s">
        <v>116</v>
      </c>
      <c r="B6194" s="34">
        <v>378.86900000000003</v>
      </c>
      <c r="C6194" s="35">
        <v>182838</v>
      </c>
      <c r="D6194" s="33" t="s">
        <v>63</v>
      </c>
      <c r="E6194" s="34">
        <v>378.89499999999998</v>
      </c>
      <c r="F6194" s="36">
        <v>2.5999999999953598E-2</v>
      </c>
      <c r="G6194" s="34">
        <v>2.5999999999953598E-2</v>
      </c>
      <c r="H6194" s="35">
        <v>477.6</v>
      </c>
      <c r="I6194" s="37">
        <f t="shared" si="96"/>
        <v>2.6121484592918323E-3</v>
      </c>
      <c r="J6194" s="33" t="s">
        <v>116</v>
      </c>
    </row>
    <row r="6195" spans="1:10">
      <c r="A6195" s="33" t="s">
        <v>116</v>
      </c>
      <c r="B6195" s="34">
        <v>378.86900000000003</v>
      </c>
      <c r="C6195" s="35">
        <v>182838</v>
      </c>
      <c r="D6195" s="33" t="s">
        <v>284</v>
      </c>
      <c r="E6195" s="34">
        <v>378.911</v>
      </c>
      <c r="F6195" s="36">
        <v>4.1999999999973198E-2</v>
      </c>
      <c r="G6195" s="34">
        <v>4.1999999999973198E-2</v>
      </c>
      <c r="H6195" s="35">
        <v>0.6</v>
      </c>
      <c r="I6195" s="37">
        <f t="shared" si="96"/>
        <v>3.2815935418239096E-6</v>
      </c>
      <c r="J6195" s="33"/>
    </row>
    <row r="6196" spans="1:10">
      <c r="A6196" s="33" t="s">
        <v>116</v>
      </c>
      <c r="B6196" s="34">
        <v>378.86900000000003</v>
      </c>
      <c r="C6196" s="35">
        <v>182838</v>
      </c>
      <c r="D6196" s="33" t="s">
        <v>271</v>
      </c>
      <c r="E6196" s="34">
        <v>378.91199999999998</v>
      </c>
      <c r="F6196" s="36">
        <v>4.2999999999949502E-2</v>
      </c>
      <c r="G6196" s="34">
        <v>4.2999999999949502E-2</v>
      </c>
      <c r="H6196" s="35">
        <v>1474</v>
      </c>
      <c r="I6196" s="37">
        <f t="shared" si="96"/>
        <v>8.0617814677474055E-3</v>
      </c>
      <c r="J6196" s="33"/>
    </row>
    <row r="6197" spans="1:10">
      <c r="A6197" s="33" t="s">
        <v>116</v>
      </c>
      <c r="B6197" s="34">
        <v>378.86900000000003</v>
      </c>
      <c r="C6197" s="35">
        <v>182838</v>
      </c>
      <c r="D6197" s="33" t="s">
        <v>237</v>
      </c>
      <c r="E6197" s="34">
        <v>378.92599999999999</v>
      </c>
      <c r="F6197" s="36">
        <v>5.69999999999595E-2</v>
      </c>
      <c r="G6197" s="34">
        <v>5.69999999999595E-2</v>
      </c>
      <c r="H6197" s="35">
        <v>54.4</v>
      </c>
      <c r="I6197" s="37">
        <f t="shared" si="96"/>
        <v>2.9753114779203449E-4</v>
      </c>
      <c r="J6197" s="33"/>
    </row>
    <row r="6198" spans="1:10">
      <c r="A6198" s="33" t="s">
        <v>116</v>
      </c>
      <c r="B6198" s="34">
        <v>378.86900000000003</v>
      </c>
      <c r="C6198" s="35">
        <v>182838</v>
      </c>
      <c r="D6198" s="33" t="s">
        <v>54</v>
      </c>
      <c r="E6198" s="34">
        <v>378.93299999999999</v>
      </c>
      <c r="F6198" s="36">
        <v>6.3999999999964502E-2</v>
      </c>
      <c r="G6198" s="34">
        <v>6.3999999999964502E-2</v>
      </c>
      <c r="H6198" s="35">
        <v>2</v>
      </c>
      <c r="I6198" s="37">
        <f t="shared" si="96"/>
        <v>1.0938645139413033E-5</v>
      </c>
      <c r="J6198" s="33"/>
    </row>
    <row r="6199" spans="1:10">
      <c r="A6199" s="33" t="s">
        <v>116</v>
      </c>
      <c r="B6199" s="34">
        <v>378.86900000000003</v>
      </c>
      <c r="C6199" s="35">
        <v>182838</v>
      </c>
      <c r="D6199" s="33" t="s">
        <v>94</v>
      </c>
      <c r="E6199" s="34">
        <v>378.94200000000001</v>
      </c>
      <c r="F6199" s="36">
        <v>7.2999999999979095E-2</v>
      </c>
      <c r="G6199" s="34">
        <v>7.2999999999979095E-2</v>
      </c>
      <c r="H6199" s="35">
        <v>37.5</v>
      </c>
      <c r="I6199" s="37">
        <f t="shared" si="96"/>
        <v>2.0509959636399436E-4</v>
      </c>
      <c r="J6199" s="33" t="s">
        <v>116</v>
      </c>
    </row>
    <row r="6200" spans="1:10">
      <c r="A6200" s="33" t="s">
        <v>116</v>
      </c>
      <c r="B6200" s="34">
        <v>378.86900000000003</v>
      </c>
      <c r="C6200" s="35">
        <v>182838</v>
      </c>
      <c r="D6200" s="33" t="s">
        <v>97</v>
      </c>
      <c r="E6200" s="34">
        <v>378.95800000000003</v>
      </c>
      <c r="F6200" s="36">
        <v>8.8999999999998594E-2</v>
      </c>
      <c r="G6200" s="34">
        <v>8.8999999999998594E-2</v>
      </c>
      <c r="H6200" s="35">
        <v>0.7</v>
      </c>
      <c r="I6200" s="37">
        <f t="shared" si="96"/>
        <v>3.8285257987945614E-6</v>
      </c>
      <c r="J6200" s="33"/>
    </row>
    <row r="6201" spans="1:10">
      <c r="A6201" s="33" t="s">
        <v>116</v>
      </c>
      <c r="B6201" s="34">
        <v>378.86900000000003</v>
      </c>
      <c r="C6201" s="35">
        <v>182838</v>
      </c>
      <c r="D6201" s="33" t="s">
        <v>25</v>
      </c>
      <c r="E6201" s="34">
        <v>378.98399999999998</v>
      </c>
      <c r="F6201" s="36">
        <v>0.114999999999952</v>
      </c>
      <c r="G6201" s="34">
        <v>0.114999999999952</v>
      </c>
      <c r="H6201" s="35">
        <v>81.099999999999994</v>
      </c>
      <c r="I6201" s="37">
        <f t="shared" si="96"/>
        <v>4.4356206040319844E-4</v>
      </c>
      <c r="J6201" s="33" t="s">
        <v>116</v>
      </c>
    </row>
    <row r="6202" spans="1:10">
      <c r="A6202" s="33" t="s">
        <v>116</v>
      </c>
      <c r="B6202" s="34">
        <v>378.86900000000003</v>
      </c>
      <c r="C6202" s="35">
        <v>182838</v>
      </c>
      <c r="D6202" s="33" t="s">
        <v>277</v>
      </c>
      <c r="E6202" s="34">
        <v>378.98899999999998</v>
      </c>
      <c r="F6202" s="36">
        <v>0.119999999999948</v>
      </c>
      <c r="G6202" s="34">
        <v>0.119999999999948</v>
      </c>
      <c r="H6202" s="35">
        <v>138.6</v>
      </c>
      <c r="I6202" s="37">
        <f t="shared" si="96"/>
        <v>7.580481081613231E-4</v>
      </c>
      <c r="J6202" s="33"/>
    </row>
    <row r="6203" spans="1:10">
      <c r="A6203" s="33" t="s">
        <v>116</v>
      </c>
      <c r="B6203" s="34">
        <v>378.86900000000003</v>
      </c>
      <c r="C6203" s="35">
        <v>182838</v>
      </c>
      <c r="D6203" s="33" t="s">
        <v>271</v>
      </c>
      <c r="E6203" s="34">
        <v>378.995</v>
      </c>
      <c r="F6203" s="36">
        <v>0.12599999999997599</v>
      </c>
      <c r="G6203" s="34">
        <v>0.12599999999997599</v>
      </c>
      <c r="H6203" s="35">
        <v>336.6</v>
      </c>
      <c r="I6203" s="37">
        <f t="shared" si="96"/>
        <v>1.8409739769632135E-3</v>
      </c>
      <c r="J6203" s="33"/>
    </row>
    <row r="6204" spans="1:10">
      <c r="A6204" s="33" t="s">
        <v>116</v>
      </c>
      <c r="B6204" s="34">
        <v>378.86900000000003</v>
      </c>
      <c r="C6204" s="35">
        <v>182838</v>
      </c>
      <c r="D6204" s="33" t="s">
        <v>97</v>
      </c>
      <c r="E6204" s="34">
        <v>379.00900000000001</v>
      </c>
      <c r="F6204" s="36">
        <v>0.139999999999986</v>
      </c>
      <c r="G6204" s="34">
        <v>0.139999999999986</v>
      </c>
      <c r="H6204" s="35">
        <v>39.700000000000003</v>
      </c>
      <c r="I6204" s="37">
        <f t="shared" si="96"/>
        <v>2.1713210601734872E-4</v>
      </c>
      <c r="J6204" s="33"/>
    </row>
    <row r="6205" spans="1:10">
      <c r="A6205" s="33" t="s">
        <v>116</v>
      </c>
      <c r="B6205" s="34">
        <v>378.86900000000003</v>
      </c>
      <c r="C6205" s="35">
        <v>182838</v>
      </c>
      <c r="D6205" s="33" t="s">
        <v>284</v>
      </c>
      <c r="E6205" s="34">
        <v>379.01100000000002</v>
      </c>
      <c r="F6205" s="36">
        <v>0.14199999999999599</v>
      </c>
      <c r="G6205" s="34">
        <v>0.14199999999999599</v>
      </c>
      <c r="H6205" s="35">
        <v>7.2</v>
      </c>
      <c r="I6205" s="37">
        <f t="shared" si="96"/>
        <v>3.937912250188692E-5</v>
      </c>
      <c r="J6205" s="33"/>
    </row>
    <row r="6206" spans="1:10">
      <c r="A6206" s="33" t="s">
        <v>116</v>
      </c>
      <c r="B6206" s="34">
        <v>378.86900000000003</v>
      </c>
      <c r="C6206" s="35">
        <v>182838</v>
      </c>
      <c r="D6206" s="33" t="s">
        <v>273</v>
      </c>
      <c r="E6206" s="34">
        <v>379.01299999999998</v>
      </c>
      <c r="F6206" s="36">
        <v>0.143999999999949</v>
      </c>
      <c r="G6206" s="34">
        <v>0.143999999999949</v>
      </c>
      <c r="H6206" s="35">
        <v>476.7</v>
      </c>
      <c r="I6206" s="37">
        <f t="shared" si="96"/>
        <v>2.6072260689790961E-3</v>
      </c>
      <c r="J6206" s="33"/>
    </row>
    <row r="6207" spans="1:10">
      <c r="A6207" s="33" t="s">
        <v>116</v>
      </c>
      <c r="B6207" s="34">
        <v>378.86900000000003</v>
      </c>
      <c r="C6207" s="35">
        <v>182838</v>
      </c>
      <c r="D6207" s="33" t="s">
        <v>240</v>
      </c>
      <c r="E6207" s="34">
        <v>379.02100000000002</v>
      </c>
      <c r="F6207" s="36">
        <v>0.15199999999998701</v>
      </c>
      <c r="G6207" s="34">
        <v>0.15199999999998701</v>
      </c>
      <c r="H6207" s="35">
        <v>122</v>
      </c>
      <c r="I6207" s="37">
        <f t="shared" si="96"/>
        <v>6.6725735350419498E-4</v>
      </c>
      <c r="J6207" s="33"/>
    </row>
    <row r="6208" spans="1:10">
      <c r="A6208" s="33" t="s">
        <v>116</v>
      </c>
      <c r="B6208" s="34">
        <v>378.86900000000003</v>
      </c>
      <c r="C6208" s="35">
        <v>182838</v>
      </c>
      <c r="D6208" s="33" t="s">
        <v>277</v>
      </c>
      <c r="E6208" s="34">
        <v>379.02100000000002</v>
      </c>
      <c r="F6208" s="36">
        <v>0.15199999999998701</v>
      </c>
      <c r="G6208" s="34">
        <v>0.15199999999998701</v>
      </c>
      <c r="H6208" s="35">
        <v>275.89999999999998</v>
      </c>
      <c r="I6208" s="37">
        <f t="shared" si="96"/>
        <v>1.5089860969820276E-3</v>
      </c>
      <c r="J6208" s="33"/>
    </row>
    <row r="6209" spans="1:10">
      <c r="A6209" s="33" t="s">
        <v>116</v>
      </c>
      <c r="B6209" s="34">
        <v>378.86900000000003</v>
      </c>
      <c r="C6209" s="35">
        <v>182838</v>
      </c>
      <c r="D6209" s="33" t="s">
        <v>25</v>
      </c>
      <c r="E6209" s="34">
        <v>379.03399999999999</v>
      </c>
      <c r="F6209" s="36">
        <v>0.16499999999996401</v>
      </c>
      <c r="G6209" s="34">
        <v>0.16499999999996401</v>
      </c>
      <c r="H6209" s="35">
        <v>255.2</v>
      </c>
      <c r="I6209" s="37">
        <f t="shared" si="96"/>
        <v>1.3957711197891028E-3</v>
      </c>
      <c r="J6209" s="33" t="s">
        <v>116</v>
      </c>
    </row>
    <row r="6210" spans="1:10">
      <c r="A6210" s="33" t="s">
        <v>116</v>
      </c>
      <c r="B6210" s="34">
        <v>378.86900000000003</v>
      </c>
      <c r="C6210" s="35">
        <v>182838</v>
      </c>
      <c r="D6210" s="33" t="s">
        <v>282</v>
      </c>
      <c r="E6210" s="34">
        <v>379.04300000000001</v>
      </c>
      <c r="F6210" s="36">
        <v>0.17399999999997801</v>
      </c>
      <c r="G6210" s="34">
        <v>0.17399999999997801</v>
      </c>
      <c r="H6210" s="35">
        <v>2.9</v>
      </c>
      <c r="I6210" s="37">
        <f t="shared" ref="I6210:I6273" si="97">H6210/C6210</f>
        <v>1.5861035452148896E-5</v>
      </c>
      <c r="J6210" s="33"/>
    </row>
    <row r="6211" spans="1:10">
      <c r="A6211" s="33" t="s">
        <v>63</v>
      </c>
      <c r="B6211" s="34">
        <v>211.667</v>
      </c>
      <c r="C6211" s="35">
        <v>5445.6</v>
      </c>
      <c r="D6211" s="33" t="s">
        <v>193</v>
      </c>
      <c r="E6211" s="34">
        <v>211.369</v>
      </c>
      <c r="F6211" s="36">
        <v>0.29800000000000199</v>
      </c>
      <c r="G6211" s="34">
        <v>0.29800000000000199</v>
      </c>
      <c r="H6211" s="35">
        <v>386.4</v>
      </c>
      <c r="I6211" s="37">
        <f t="shared" si="97"/>
        <v>7.095636844424856E-2</v>
      </c>
      <c r="J6211" s="33"/>
    </row>
    <row r="6212" spans="1:10">
      <c r="A6212" s="33" t="s">
        <v>63</v>
      </c>
      <c r="B6212" s="34">
        <v>211.667</v>
      </c>
      <c r="C6212" s="35">
        <v>5445.6</v>
      </c>
      <c r="D6212" s="33" t="s">
        <v>295</v>
      </c>
      <c r="E6212" s="34">
        <v>211.38300000000001</v>
      </c>
      <c r="F6212" s="36">
        <v>0.28399999999999198</v>
      </c>
      <c r="G6212" s="34">
        <v>0.28399999999999198</v>
      </c>
      <c r="H6212" s="35">
        <v>117.1</v>
      </c>
      <c r="I6212" s="37">
        <f t="shared" si="97"/>
        <v>2.1503599236080504E-2</v>
      </c>
      <c r="J6212" s="33"/>
    </row>
    <row r="6213" spans="1:10">
      <c r="A6213" s="33" t="s">
        <v>63</v>
      </c>
      <c r="B6213" s="34">
        <v>211.667</v>
      </c>
      <c r="C6213" s="35">
        <v>5445.6</v>
      </c>
      <c r="D6213" s="33" t="s">
        <v>279</v>
      </c>
      <c r="E6213" s="34">
        <v>211.387</v>
      </c>
      <c r="F6213" s="36">
        <v>0.28000000000000103</v>
      </c>
      <c r="G6213" s="34">
        <v>0.28000000000000103</v>
      </c>
      <c r="H6213" s="35">
        <v>5.4</v>
      </c>
      <c r="I6213" s="37">
        <f t="shared" si="97"/>
        <v>9.9162626707800794E-4</v>
      </c>
      <c r="J6213" s="33"/>
    </row>
    <row r="6214" spans="1:10">
      <c r="A6214" s="33" t="s">
        <v>63</v>
      </c>
      <c r="B6214" s="34">
        <v>211.667</v>
      </c>
      <c r="C6214" s="35">
        <v>5445.6</v>
      </c>
      <c r="D6214" s="33" t="s">
        <v>268</v>
      </c>
      <c r="E6214" s="34">
        <v>211.38900000000001</v>
      </c>
      <c r="F6214" s="36">
        <v>0.27799999999999198</v>
      </c>
      <c r="G6214" s="34">
        <v>0.27799999999999198</v>
      </c>
      <c r="H6214" s="35">
        <v>113.2</v>
      </c>
      <c r="I6214" s="37">
        <f t="shared" si="97"/>
        <v>2.0787424709857498E-2</v>
      </c>
      <c r="J6214" s="33"/>
    </row>
    <row r="6215" spans="1:10">
      <c r="A6215" s="33" t="s">
        <v>63</v>
      </c>
      <c r="B6215" s="34">
        <v>211.667</v>
      </c>
      <c r="C6215" s="35">
        <v>5445.6</v>
      </c>
      <c r="D6215" s="33" t="s">
        <v>272</v>
      </c>
      <c r="E6215" s="34">
        <v>211.39400000000001</v>
      </c>
      <c r="F6215" s="36">
        <v>0.27299999999999602</v>
      </c>
      <c r="G6215" s="34">
        <v>0.27299999999999602</v>
      </c>
      <c r="H6215" s="35">
        <v>70.8</v>
      </c>
      <c r="I6215" s="37">
        <f t="shared" si="97"/>
        <v>1.3001322168356103E-2</v>
      </c>
      <c r="J6215" s="33"/>
    </row>
    <row r="6216" spans="1:10">
      <c r="A6216" s="33" t="s">
        <v>63</v>
      </c>
      <c r="B6216" s="34">
        <v>211.667</v>
      </c>
      <c r="C6216" s="35">
        <v>5445.6</v>
      </c>
      <c r="D6216" s="33" t="s">
        <v>240</v>
      </c>
      <c r="E6216" s="34">
        <v>211.398</v>
      </c>
      <c r="F6216" s="36">
        <v>0.26900000000000601</v>
      </c>
      <c r="G6216" s="34">
        <v>0.26900000000000601</v>
      </c>
      <c r="H6216" s="35">
        <v>20.5</v>
      </c>
      <c r="I6216" s="37">
        <f t="shared" si="97"/>
        <v>3.7645071250183631E-3</v>
      </c>
      <c r="J6216" s="33"/>
    </row>
    <row r="6217" spans="1:10">
      <c r="A6217" s="33" t="s">
        <v>63</v>
      </c>
      <c r="B6217" s="34">
        <v>211.667</v>
      </c>
      <c r="C6217" s="35">
        <v>5445.6</v>
      </c>
      <c r="D6217" s="33" t="s">
        <v>278</v>
      </c>
      <c r="E6217" s="34">
        <v>211.404</v>
      </c>
      <c r="F6217" s="36">
        <v>0.26300000000000501</v>
      </c>
      <c r="G6217" s="34">
        <v>0.26300000000000501</v>
      </c>
      <c r="H6217" s="35">
        <v>5.0999999999999996</v>
      </c>
      <c r="I6217" s="37">
        <f t="shared" si="97"/>
        <v>9.365359189070074E-4</v>
      </c>
      <c r="J6217" s="33"/>
    </row>
    <row r="6218" spans="1:10">
      <c r="A6218" s="33" t="s">
        <v>63</v>
      </c>
      <c r="B6218" s="34">
        <v>211.667</v>
      </c>
      <c r="C6218" s="35">
        <v>5445.6</v>
      </c>
      <c r="D6218" s="33" t="s">
        <v>290</v>
      </c>
      <c r="E6218" s="34">
        <v>211.40899999999999</v>
      </c>
      <c r="F6218" s="36">
        <v>0.25800000000001</v>
      </c>
      <c r="G6218" s="34">
        <v>0.25800000000001</v>
      </c>
      <c r="H6218" s="35">
        <v>12.9</v>
      </c>
      <c r="I6218" s="37">
        <f t="shared" si="97"/>
        <v>2.3688849713530188E-3</v>
      </c>
      <c r="J6218" s="33"/>
    </row>
    <row r="6219" spans="1:10">
      <c r="A6219" s="33" t="s">
        <v>63</v>
      </c>
      <c r="B6219" s="34">
        <v>211.667</v>
      </c>
      <c r="C6219" s="35">
        <v>5445.6</v>
      </c>
      <c r="D6219" s="33" t="s">
        <v>279</v>
      </c>
      <c r="E6219" s="34">
        <v>211.42500000000001</v>
      </c>
      <c r="F6219" s="36">
        <v>0.24199999999999</v>
      </c>
      <c r="G6219" s="34">
        <v>0.24199999999999</v>
      </c>
      <c r="H6219" s="35">
        <v>50.3</v>
      </c>
      <c r="I6219" s="37">
        <f t="shared" si="97"/>
        <v>9.2368150433377386E-3</v>
      </c>
      <c r="J6219" s="33"/>
    </row>
    <row r="6220" spans="1:10">
      <c r="A6220" s="33" t="s">
        <v>63</v>
      </c>
      <c r="B6220" s="34">
        <v>211.667</v>
      </c>
      <c r="C6220" s="35">
        <v>5445.6</v>
      </c>
      <c r="D6220" s="33" t="s">
        <v>275</v>
      </c>
      <c r="E6220" s="34">
        <v>211.43</v>
      </c>
      <c r="F6220" s="36">
        <v>0.23699999999999499</v>
      </c>
      <c r="G6220" s="34">
        <v>0.23699999999999499</v>
      </c>
      <c r="H6220" s="35">
        <v>90</v>
      </c>
      <c r="I6220" s="37">
        <f t="shared" si="97"/>
        <v>1.652710445130013E-2</v>
      </c>
      <c r="J6220" s="33"/>
    </row>
    <row r="6221" spans="1:10">
      <c r="A6221" s="33" t="s">
        <v>63</v>
      </c>
      <c r="B6221" s="34">
        <v>211.667</v>
      </c>
      <c r="C6221" s="35">
        <v>5445.6</v>
      </c>
      <c r="D6221" s="33" t="s">
        <v>165</v>
      </c>
      <c r="E6221" s="34">
        <v>211.441</v>
      </c>
      <c r="F6221" s="36">
        <v>0.22599999999999901</v>
      </c>
      <c r="G6221" s="34">
        <v>0.22599999999999901</v>
      </c>
      <c r="H6221" s="35">
        <v>5</v>
      </c>
      <c r="I6221" s="37">
        <f t="shared" si="97"/>
        <v>9.18172469516674E-4</v>
      </c>
      <c r="J6221" s="33"/>
    </row>
    <row r="6222" spans="1:10">
      <c r="A6222" s="33" t="s">
        <v>63</v>
      </c>
      <c r="B6222" s="34">
        <v>211.667</v>
      </c>
      <c r="C6222" s="35">
        <v>5445.6</v>
      </c>
      <c r="D6222" s="33" t="s">
        <v>97</v>
      </c>
      <c r="E6222" s="34">
        <v>211.46</v>
      </c>
      <c r="F6222" s="36">
        <v>0.20699999999999399</v>
      </c>
      <c r="G6222" s="34">
        <v>0.20699999999999399</v>
      </c>
      <c r="H6222" s="35">
        <v>3.9</v>
      </c>
      <c r="I6222" s="37">
        <f t="shared" si="97"/>
        <v>7.1617452622300569E-4</v>
      </c>
      <c r="J6222" s="33"/>
    </row>
    <row r="6223" spans="1:10">
      <c r="A6223" s="33" t="s">
        <v>63</v>
      </c>
      <c r="B6223" s="34">
        <v>211.667</v>
      </c>
      <c r="C6223" s="35">
        <v>5445.6</v>
      </c>
      <c r="D6223" s="33" t="s">
        <v>300</v>
      </c>
      <c r="E6223" s="34">
        <v>211.501</v>
      </c>
      <c r="F6223" s="36">
        <v>0.16599999999999701</v>
      </c>
      <c r="G6223" s="34">
        <v>0.16599999999999701</v>
      </c>
      <c r="H6223" s="35">
        <v>12.9</v>
      </c>
      <c r="I6223" s="37">
        <f t="shared" si="97"/>
        <v>2.3688849713530188E-3</v>
      </c>
      <c r="J6223" s="33"/>
    </row>
    <row r="6224" spans="1:10">
      <c r="A6224" s="33" t="s">
        <v>63</v>
      </c>
      <c r="B6224" s="34">
        <v>211.667</v>
      </c>
      <c r="C6224" s="35">
        <v>5445.6</v>
      </c>
      <c r="D6224" s="33" t="s">
        <v>269</v>
      </c>
      <c r="E6224" s="34">
        <v>211.50200000000001</v>
      </c>
      <c r="F6224" s="36">
        <v>0.16499999999999199</v>
      </c>
      <c r="G6224" s="34">
        <v>0.16499999999999199</v>
      </c>
      <c r="H6224" s="35">
        <v>60.6</v>
      </c>
      <c r="I6224" s="37">
        <f t="shared" si="97"/>
        <v>1.1128250330542088E-2</v>
      </c>
      <c r="J6224" s="33"/>
    </row>
    <row r="6225" spans="1:10">
      <c r="A6225" s="33" t="s">
        <v>63</v>
      </c>
      <c r="B6225" s="34">
        <v>211.667</v>
      </c>
      <c r="C6225" s="35">
        <v>5445.6</v>
      </c>
      <c r="D6225" s="33" t="s">
        <v>275</v>
      </c>
      <c r="E6225" s="34">
        <v>211.511</v>
      </c>
      <c r="F6225" s="36">
        <v>0.15600000000000599</v>
      </c>
      <c r="G6225" s="34">
        <v>0.15600000000000599</v>
      </c>
      <c r="H6225" s="35">
        <v>128.6</v>
      </c>
      <c r="I6225" s="37">
        <f t="shared" si="97"/>
        <v>2.3615395915968854E-2</v>
      </c>
      <c r="J6225" s="33"/>
    </row>
    <row r="6226" spans="1:10">
      <c r="A6226" s="33" t="s">
        <v>63</v>
      </c>
      <c r="B6226" s="34">
        <v>211.667</v>
      </c>
      <c r="C6226" s="35">
        <v>5445.6</v>
      </c>
      <c r="D6226" s="33" t="s">
        <v>97</v>
      </c>
      <c r="E6226" s="34">
        <v>211.517</v>
      </c>
      <c r="F6226" s="36">
        <v>0.15000000000000599</v>
      </c>
      <c r="G6226" s="34">
        <v>0.15000000000000599</v>
      </c>
      <c r="H6226" s="35">
        <v>1.5</v>
      </c>
      <c r="I6226" s="37">
        <f t="shared" si="97"/>
        <v>2.754517408550022E-4</v>
      </c>
      <c r="J6226" s="33"/>
    </row>
    <row r="6227" spans="1:10">
      <c r="A6227" s="33" t="s">
        <v>63</v>
      </c>
      <c r="B6227" s="34">
        <v>211.667</v>
      </c>
      <c r="C6227" s="35">
        <v>5445.6</v>
      </c>
      <c r="D6227" s="33" t="s">
        <v>54</v>
      </c>
      <c r="E6227" s="34">
        <v>211.53399999999999</v>
      </c>
      <c r="F6227" s="36">
        <v>0.13300000000001</v>
      </c>
      <c r="G6227" s="34">
        <v>0.13300000000001</v>
      </c>
      <c r="H6227" s="35">
        <v>6</v>
      </c>
      <c r="I6227" s="37">
        <f t="shared" si="97"/>
        <v>1.1018069634200088E-3</v>
      </c>
      <c r="J6227" s="33"/>
    </row>
    <row r="6228" spans="1:10">
      <c r="A6228" s="33" t="s">
        <v>63</v>
      </c>
      <c r="B6228" s="34">
        <v>211.667</v>
      </c>
      <c r="C6228" s="35">
        <v>5445.6</v>
      </c>
      <c r="D6228" s="33" t="s">
        <v>275</v>
      </c>
      <c r="E6228" s="34">
        <v>211.54300000000001</v>
      </c>
      <c r="F6228" s="36">
        <v>0.123999999999995</v>
      </c>
      <c r="G6228" s="34">
        <v>0.123999999999995</v>
      </c>
      <c r="H6228" s="35">
        <v>36.9</v>
      </c>
      <c r="I6228" s="37">
        <f t="shared" si="97"/>
        <v>6.7761128250330531E-3</v>
      </c>
      <c r="J6228" s="33"/>
    </row>
    <row r="6229" spans="1:10">
      <c r="A6229" s="33" t="s">
        <v>63</v>
      </c>
      <c r="B6229" s="34">
        <v>211.667</v>
      </c>
      <c r="C6229" s="35">
        <v>5445.6</v>
      </c>
      <c r="D6229" s="33" t="s">
        <v>294</v>
      </c>
      <c r="E6229" s="34">
        <v>211.55799999999999</v>
      </c>
      <c r="F6229" s="36">
        <v>0.10900000000000901</v>
      </c>
      <c r="G6229" s="34">
        <v>0.10900000000000901</v>
      </c>
      <c r="H6229" s="35">
        <v>64.2</v>
      </c>
      <c r="I6229" s="37">
        <f t="shared" si="97"/>
        <v>1.1789334508594094E-2</v>
      </c>
      <c r="J6229" s="33"/>
    </row>
    <row r="6230" spans="1:10">
      <c r="A6230" s="33" t="s">
        <v>63</v>
      </c>
      <c r="B6230" s="34">
        <v>211.667</v>
      </c>
      <c r="C6230" s="35">
        <v>5445.6</v>
      </c>
      <c r="D6230" s="33" t="s">
        <v>184</v>
      </c>
      <c r="E6230" s="34">
        <v>211.66499999999999</v>
      </c>
      <c r="F6230" s="36">
        <v>2.0000000000095501E-3</v>
      </c>
      <c r="G6230" s="34">
        <v>2.0000000000095501E-3</v>
      </c>
      <c r="H6230" s="35">
        <v>3.1</v>
      </c>
      <c r="I6230" s="37">
        <f t="shared" si="97"/>
        <v>5.6926693110033791E-4</v>
      </c>
      <c r="J6230" s="33"/>
    </row>
    <row r="6231" spans="1:10">
      <c r="A6231" s="33" t="s">
        <v>63</v>
      </c>
      <c r="B6231" s="34">
        <v>211.667</v>
      </c>
      <c r="C6231" s="35">
        <v>5445.6</v>
      </c>
      <c r="D6231" s="33" t="s">
        <v>275</v>
      </c>
      <c r="E6231" s="34">
        <v>211.678</v>
      </c>
      <c r="F6231" s="36">
        <v>1.0999999999995701E-2</v>
      </c>
      <c r="G6231" s="34">
        <v>1.0999999999995701E-2</v>
      </c>
      <c r="H6231" s="35">
        <v>69.400000000000006</v>
      </c>
      <c r="I6231" s="37">
        <f t="shared" si="97"/>
        <v>1.2744233876891435E-2</v>
      </c>
      <c r="J6231" s="33"/>
    </row>
    <row r="6232" spans="1:10">
      <c r="A6232" s="33" t="s">
        <v>63</v>
      </c>
      <c r="B6232" s="34">
        <v>211.667</v>
      </c>
      <c r="C6232" s="35">
        <v>5445.6</v>
      </c>
      <c r="D6232" s="33" t="s">
        <v>54</v>
      </c>
      <c r="E6232" s="34">
        <v>211.68100000000001</v>
      </c>
      <c r="F6232" s="36">
        <v>1.4000000000009999E-2</v>
      </c>
      <c r="G6232" s="34">
        <v>1.4000000000009999E-2</v>
      </c>
      <c r="H6232" s="35">
        <v>2.8</v>
      </c>
      <c r="I6232" s="37">
        <f t="shared" si="97"/>
        <v>5.1417658292933737E-4</v>
      </c>
      <c r="J6232" s="33"/>
    </row>
    <row r="6233" spans="1:10">
      <c r="A6233" s="33" t="s">
        <v>63</v>
      </c>
      <c r="B6233" s="34">
        <v>211.667</v>
      </c>
      <c r="C6233" s="35">
        <v>5445.6</v>
      </c>
      <c r="D6233" s="33" t="s">
        <v>274</v>
      </c>
      <c r="E6233" s="34">
        <v>211.69399999999999</v>
      </c>
      <c r="F6233" s="36">
        <v>2.6999999999986798E-2</v>
      </c>
      <c r="G6233" s="34">
        <v>2.6999999999986798E-2</v>
      </c>
      <c r="H6233" s="35">
        <v>79.2</v>
      </c>
      <c r="I6233" s="37">
        <f t="shared" si="97"/>
        <v>1.4543851917144116E-2</v>
      </c>
      <c r="J6233" s="33"/>
    </row>
    <row r="6234" spans="1:10">
      <c r="A6234" s="33" t="s">
        <v>63</v>
      </c>
      <c r="B6234" s="34">
        <v>211.667</v>
      </c>
      <c r="C6234" s="35">
        <v>5445.6</v>
      </c>
      <c r="D6234" s="33" t="s">
        <v>268</v>
      </c>
      <c r="E6234" s="34">
        <v>211.71899999999999</v>
      </c>
      <c r="F6234" s="36">
        <v>5.1999999999992497E-2</v>
      </c>
      <c r="G6234" s="34">
        <v>5.1999999999992497E-2</v>
      </c>
      <c r="H6234" s="35">
        <v>63.1</v>
      </c>
      <c r="I6234" s="37">
        <f t="shared" si="97"/>
        <v>1.1587336565300425E-2</v>
      </c>
      <c r="J6234" s="33"/>
    </row>
    <row r="6235" spans="1:10">
      <c r="A6235" s="33" t="s">
        <v>63</v>
      </c>
      <c r="B6235" s="34">
        <v>211.667</v>
      </c>
      <c r="C6235" s="35">
        <v>5445.6</v>
      </c>
      <c r="D6235" s="33" t="s">
        <v>278</v>
      </c>
      <c r="E6235" s="34">
        <v>211.74600000000001</v>
      </c>
      <c r="F6235" s="36">
        <v>7.9000000000007703E-2</v>
      </c>
      <c r="G6235" s="34">
        <v>7.9000000000007703E-2</v>
      </c>
      <c r="H6235" s="35">
        <v>37.799999999999997</v>
      </c>
      <c r="I6235" s="37">
        <f t="shared" si="97"/>
        <v>6.9413838695460547E-3</v>
      </c>
      <c r="J6235" s="33"/>
    </row>
    <row r="6236" spans="1:10">
      <c r="A6236" s="33" t="s">
        <v>63</v>
      </c>
      <c r="B6236" s="34">
        <v>211.667</v>
      </c>
      <c r="C6236" s="35">
        <v>5445.6</v>
      </c>
      <c r="D6236" s="33" t="s">
        <v>284</v>
      </c>
      <c r="E6236" s="34">
        <v>211.768</v>
      </c>
      <c r="F6236" s="36">
        <v>0.10099999999999899</v>
      </c>
      <c r="G6236" s="34">
        <v>0.10099999999999899</v>
      </c>
      <c r="H6236" s="35">
        <v>1.9</v>
      </c>
      <c r="I6236" s="37">
        <f t="shared" si="97"/>
        <v>3.4890553841633609E-4</v>
      </c>
      <c r="J6236" s="33"/>
    </row>
    <row r="6237" spans="1:10">
      <c r="A6237" s="33" t="s">
        <v>63</v>
      </c>
      <c r="B6237" s="34">
        <v>211.667</v>
      </c>
      <c r="C6237" s="35">
        <v>5445.6</v>
      </c>
      <c r="D6237" s="33" t="s">
        <v>290</v>
      </c>
      <c r="E6237" s="34">
        <v>211.77199999999999</v>
      </c>
      <c r="F6237" s="36">
        <v>0.10499999999999</v>
      </c>
      <c r="G6237" s="34">
        <v>0.10499999999999</v>
      </c>
      <c r="H6237" s="35">
        <v>24.5</v>
      </c>
      <c r="I6237" s="37">
        <f t="shared" si="97"/>
        <v>4.4990451006317028E-3</v>
      </c>
      <c r="J6237" s="33"/>
    </row>
    <row r="6238" spans="1:10">
      <c r="A6238" s="33" t="s">
        <v>63</v>
      </c>
      <c r="B6238" s="34">
        <v>211.667</v>
      </c>
      <c r="C6238" s="35">
        <v>5445.6</v>
      </c>
      <c r="D6238" s="33" t="s">
        <v>54</v>
      </c>
      <c r="E6238" s="34">
        <v>211.79499999999999</v>
      </c>
      <c r="F6238" s="36">
        <v>0.12799999999998601</v>
      </c>
      <c r="G6238" s="34">
        <v>0.12799999999998601</v>
      </c>
      <c r="H6238" s="35">
        <v>6</v>
      </c>
      <c r="I6238" s="37">
        <f t="shared" si="97"/>
        <v>1.1018069634200088E-3</v>
      </c>
      <c r="J6238" s="33"/>
    </row>
    <row r="6239" spans="1:10">
      <c r="A6239" s="33" t="s">
        <v>63</v>
      </c>
      <c r="B6239" s="34">
        <v>211.667</v>
      </c>
      <c r="C6239" s="35">
        <v>5445.6</v>
      </c>
      <c r="D6239" s="33" t="s">
        <v>284</v>
      </c>
      <c r="E6239" s="34">
        <v>211.79599999999999</v>
      </c>
      <c r="F6239" s="36">
        <v>0.12899999999999101</v>
      </c>
      <c r="G6239" s="34">
        <v>0.12899999999999101</v>
      </c>
      <c r="H6239" s="35">
        <v>5.9</v>
      </c>
      <c r="I6239" s="37">
        <f t="shared" si="97"/>
        <v>1.0834435140296753E-3</v>
      </c>
      <c r="J6239" s="33"/>
    </row>
    <row r="6240" spans="1:10">
      <c r="A6240" s="33" t="s">
        <v>63</v>
      </c>
      <c r="B6240" s="34">
        <v>211.667</v>
      </c>
      <c r="C6240" s="35">
        <v>5445.6</v>
      </c>
      <c r="D6240" s="33" t="s">
        <v>274</v>
      </c>
      <c r="E6240" s="34">
        <v>211.803</v>
      </c>
      <c r="F6240" s="36">
        <v>0.13599999999999601</v>
      </c>
      <c r="G6240" s="34">
        <v>0.13599999999999601</v>
      </c>
      <c r="H6240" s="35">
        <v>32.5</v>
      </c>
      <c r="I6240" s="37">
        <f t="shared" si="97"/>
        <v>5.9681210518583803E-3</v>
      </c>
      <c r="J6240" s="33"/>
    </row>
    <row r="6241" spans="1:10">
      <c r="A6241" s="33" t="s">
        <v>63</v>
      </c>
      <c r="B6241" s="34">
        <v>211.667</v>
      </c>
      <c r="C6241" s="35">
        <v>5445.6</v>
      </c>
      <c r="D6241" s="33" t="s">
        <v>193</v>
      </c>
      <c r="E6241" s="34">
        <v>211.834</v>
      </c>
      <c r="F6241" s="36">
        <v>0.16700000000000201</v>
      </c>
      <c r="G6241" s="34">
        <v>0.16700000000000201</v>
      </c>
      <c r="H6241" s="35">
        <v>105.6</v>
      </c>
      <c r="I6241" s="37">
        <f t="shared" si="97"/>
        <v>1.9391802556192154E-2</v>
      </c>
      <c r="J6241" s="33"/>
    </row>
    <row r="6242" spans="1:10">
      <c r="A6242" s="33" t="s">
        <v>63</v>
      </c>
      <c r="B6242" s="34">
        <v>211.667</v>
      </c>
      <c r="C6242" s="35">
        <v>5445.6</v>
      </c>
      <c r="D6242" s="33" t="s">
        <v>291</v>
      </c>
      <c r="E6242" s="34">
        <v>211.84800000000001</v>
      </c>
      <c r="F6242" s="36">
        <v>0.18100000000001201</v>
      </c>
      <c r="G6242" s="34">
        <v>0.18100000000001201</v>
      </c>
      <c r="H6242" s="35">
        <v>23.4</v>
      </c>
      <c r="I6242" s="37">
        <f t="shared" si="97"/>
        <v>4.2970471573380341E-3</v>
      </c>
      <c r="J6242" s="33"/>
    </row>
    <row r="6243" spans="1:10">
      <c r="A6243" s="33" t="s">
        <v>63</v>
      </c>
      <c r="B6243" s="34">
        <v>211.667</v>
      </c>
      <c r="C6243" s="35">
        <v>5445.6</v>
      </c>
      <c r="D6243" s="33" t="s">
        <v>165</v>
      </c>
      <c r="E6243" s="34">
        <v>211.85599999999999</v>
      </c>
      <c r="F6243" s="36">
        <v>0.18899999999999301</v>
      </c>
      <c r="G6243" s="34">
        <v>0.18899999999999301</v>
      </c>
      <c r="H6243" s="35">
        <v>0.6</v>
      </c>
      <c r="I6243" s="37">
        <f t="shared" si="97"/>
        <v>1.1018069634200087E-4</v>
      </c>
      <c r="J6243" s="33"/>
    </row>
    <row r="6244" spans="1:10">
      <c r="A6244" s="33" t="s">
        <v>63</v>
      </c>
      <c r="B6244" s="34">
        <v>211.667</v>
      </c>
      <c r="C6244" s="35">
        <v>5445.6</v>
      </c>
      <c r="D6244" s="33" t="s">
        <v>273</v>
      </c>
      <c r="E6244" s="34">
        <v>211.887</v>
      </c>
      <c r="F6244" s="36">
        <v>0.219999999999999</v>
      </c>
      <c r="G6244" s="34">
        <v>0.219999999999999</v>
      </c>
      <c r="H6244" s="35">
        <v>193.9</v>
      </c>
      <c r="I6244" s="37">
        <f t="shared" si="97"/>
        <v>3.5606728367856617E-2</v>
      </c>
      <c r="J6244" s="33"/>
    </row>
    <row r="6245" spans="1:10">
      <c r="A6245" s="33" t="s">
        <v>63</v>
      </c>
      <c r="B6245" s="34">
        <v>211.667</v>
      </c>
      <c r="C6245" s="35">
        <v>5445.6</v>
      </c>
      <c r="D6245" s="33" t="s">
        <v>274</v>
      </c>
      <c r="E6245" s="34">
        <v>211.88800000000001</v>
      </c>
      <c r="F6245" s="36">
        <v>0.221000000000004</v>
      </c>
      <c r="G6245" s="34">
        <v>0.221000000000004</v>
      </c>
      <c r="H6245" s="35">
        <v>498.9</v>
      </c>
      <c r="I6245" s="37">
        <f t="shared" si="97"/>
        <v>9.1615249008373728E-2</v>
      </c>
      <c r="J6245" s="33"/>
    </row>
    <row r="6246" spans="1:10">
      <c r="A6246" s="33" t="s">
        <v>63</v>
      </c>
      <c r="B6246" s="34">
        <v>211.667</v>
      </c>
      <c r="C6246" s="35">
        <v>5445.6</v>
      </c>
      <c r="D6246" s="33" t="s">
        <v>290</v>
      </c>
      <c r="E6246" s="34">
        <v>211.95400000000001</v>
      </c>
      <c r="F6246" s="36">
        <v>0.28700000000000597</v>
      </c>
      <c r="G6246" s="34">
        <v>0.28700000000000597</v>
      </c>
      <c r="H6246" s="35">
        <v>16.2</v>
      </c>
      <c r="I6246" s="37">
        <f t="shared" si="97"/>
        <v>2.9748788012340234E-3</v>
      </c>
      <c r="J6246" s="33"/>
    </row>
    <row r="6247" spans="1:10">
      <c r="A6247" s="33" t="s">
        <v>63</v>
      </c>
      <c r="B6247" s="34">
        <v>211.667</v>
      </c>
      <c r="C6247" s="35">
        <v>5445.6</v>
      </c>
      <c r="D6247" s="33" t="s">
        <v>275</v>
      </c>
      <c r="E6247" s="34">
        <v>211.96899999999999</v>
      </c>
      <c r="F6247" s="36">
        <v>0.301999999999993</v>
      </c>
      <c r="G6247" s="34">
        <v>0.301999999999993</v>
      </c>
      <c r="H6247" s="35">
        <v>35.299999999999997</v>
      </c>
      <c r="I6247" s="37">
        <f t="shared" si="97"/>
        <v>6.4822976347877178E-3</v>
      </c>
      <c r="J6247" s="33"/>
    </row>
    <row r="6248" spans="1:10">
      <c r="A6248" s="33" t="s">
        <v>63</v>
      </c>
      <c r="B6248" s="34">
        <v>211.667</v>
      </c>
      <c r="C6248" s="35">
        <v>5445.6</v>
      </c>
      <c r="D6248" s="33" t="s">
        <v>284</v>
      </c>
      <c r="E6248" s="34">
        <v>211.97900000000001</v>
      </c>
      <c r="F6248" s="36">
        <v>0.31200000000001199</v>
      </c>
      <c r="G6248" s="34">
        <v>0.31200000000001199</v>
      </c>
      <c r="H6248" s="35">
        <v>7.4</v>
      </c>
      <c r="I6248" s="37">
        <f t="shared" si="97"/>
        <v>1.3588952548846775E-3</v>
      </c>
      <c r="J6248" s="33"/>
    </row>
    <row r="6249" spans="1:10">
      <c r="A6249" s="33" t="s">
        <v>63</v>
      </c>
      <c r="B6249" s="34">
        <v>211.667</v>
      </c>
      <c r="C6249" s="35">
        <v>5445.6</v>
      </c>
      <c r="D6249" s="33" t="s">
        <v>193</v>
      </c>
      <c r="E6249" s="34">
        <v>211.99100000000001</v>
      </c>
      <c r="F6249" s="36">
        <v>0.324000000000012</v>
      </c>
      <c r="G6249" s="34">
        <v>0.324000000000012</v>
      </c>
      <c r="H6249" s="35">
        <v>85.3</v>
      </c>
      <c r="I6249" s="37">
        <f t="shared" si="97"/>
        <v>1.5664022329954456E-2</v>
      </c>
      <c r="J6249" s="33"/>
    </row>
    <row r="6250" spans="1:10">
      <c r="A6250" s="33" t="s">
        <v>63</v>
      </c>
      <c r="B6250" s="34">
        <v>211.667</v>
      </c>
      <c r="C6250" s="35">
        <v>5445.6</v>
      </c>
      <c r="D6250" s="33" t="s">
        <v>184</v>
      </c>
      <c r="E6250" s="34">
        <v>212.03899999999999</v>
      </c>
      <c r="F6250" s="36">
        <v>0.37199999999998601</v>
      </c>
      <c r="G6250" s="34">
        <v>0.37199999999998601</v>
      </c>
      <c r="H6250" s="35">
        <v>3.8</v>
      </c>
      <c r="I6250" s="37">
        <f t="shared" si="97"/>
        <v>6.9781107683267217E-4</v>
      </c>
      <c r="J6250" s="33"/>
    </row>
    <row r="6251" spans="1:10">
      <c r="A6251" s="33" t="s">
        <v>63</v>
      </c>
      <c r="B6251" s="34">
        <v>212.67400000000001</v>
      </c>
      <c r="C6251" s="35">
        <v>5342.6</v>
      </c>
      <c r="D6251" s="33" t="s">
        <v>165</v>
      </c>
      <c r="E6251" s="34">
        <v>212.48099999999999</v>
      </c>
      <c r="F6251" s="36">
        <v>0.193000000000012</v>
      </c>
      <c r="G6251" s="34">
        <v>0.193000000000012</v>
      </c>
      <c r="H6251" s="35">
        <v>10.199999999999999</v>
      </c>
      <c r="I6251" s="37">
        <f t="shared" si="97"/>
        <v>1.9091827948938716E-3</v>
      </c>
      <c r="J6251" s="33"/>
    </row>
    <row r="6252" spans="1:10">
      <c r="A6252" s="33" t="s">
        <v>63</v>
      </c>
      <c r="B6252" s="34">
        <v>212.67400000000001</v>
      </c>
      <c r="C6252" s="35">
        <v>5342.6</v>
      </c>
      <c r="D6252" s="33" t="s">
        <v>193</v>
      </c>
      <c r="E6252" s="34">
        <v>212.482</v>
      </c>
      <c r="F6252" s="36">
        <v>0.192000000000007</v>
      </c>
      <c r="G6252" s="34">
        <v>0.192000000000007</v>
      </c>
      <c r="H6252" s="35">
        <v>249.2</v>
      </c>
      <c r="I6252" s="37">
        <f t="shared" si="97"/>
        <v>4.6643956126230672E-2</v>
      </c>
      <c r="J6252" s="33"/>
    </row>
    <row r="6253" spans="1:10">
      <c r="A6253" s="33" t="s">
        <v>63</v>
      </c>
      <c r="B6253" s="34">
        <v>212.67400000000001</v>
      </c>
      <c r="C6253" s="35">
        <v>5342.6</v>
      </c>
      <c r="D6253" s="33" t="s">
        <v>54</v>
      </c>
      <c r="E6253" s="34">
        <v>212.50200000000001</v>
      </c>
      <c r="F6253" s="36">
        <v>0.17199999999999699</v>
      </c>
      <c r="G6253" s="34">
        <v>0.17199999999999699</v>
      </c>
      <c r="H6253" s="35">
        <v>14.8</v>
      </c>
      <c r="I6253" s="37">
        <f t="shared" si="97"/>
        <v>2.7701868004342454E-3</v>
      </c>
      <c r="J6253" s="33"/>
    </row>
    <row r="6254" spans="1:10">
      <c r="A6254" s="33" t="s">
        <v>63</v>
      </c>
      <c r="B6254" s="34">
        <v>212.67400000000001</v>
      </c>
      <c r="C6254" s="35">
        <v>5342.6</v>
      </c>
      <c r="D6254" s="33" t="s">
        <v>25</v>
      </c>
      <c r="E6254" s="34">
        <v>212.50399999999999</v>
      </c>
      <c r="F6254" s="36">
        <v>0.170000000000016</v>
      </c>
      <c r="G6254" s="34">
        <v>0.170000000000016</v>
      </c>
      <c r="H6254" s="35">
        <v>23.8</v>
      </c>
      <c r="I6254" s="37">
        <f t="shared" si="97"/>
        <v>4.4547598547523678E-3</v>
      </c>
      <c r="J6254" s="33" t="s">
        <v>116</v>
      </c>
    </row>
    <row r="6255" spans="1:10">
      <c r="A6255" s="33" t="s">
        <v>63</v>
      </c>
      <c r="B6255" s="34">
        <v>212.67400000000001</v>
      </c>
      <c r="C6255" s="35">
        <v>5342.6</v>
      </c>
      <c r="D6255" s="33" t="s">
        <v>165</v>
      </c>
      <c r="E6255" s="34">
        <v>212.512</v>
      </c>
      <c r="F6255" s="36">
        <v>0.162000000000006</v>
      </c>
      <c r="G6255" s="34">
        <v>0.162000000000006</v>
      </c>
      <c r="H6255" s="35">
        <v>49.4</v>
      </c>
      <c r="I6255" s="37">
        <f t="shared" si="97"/>
        <v>9.2464343203683599E-3</v>
      </c>
      <c r="J6255" s="33"/>
    </row>
    <row r="6256" spans="1:10">
      <c r="A6256" s="33" t="s">
        <v>63</v>
      </c>
      <c r="B6256" s="34">
        <v>212.67400000000001</v>
      </c>
      <c r="C6256" s="35">
        <v>5342.6</v>
      </c>
      <c r="D6256" s="33" t="s">
        <v>184</v>
      </c>
      <c r="E6256" s="34">
        <v>212.517</v>
      </c>
      <c r="F6256" s="36">
        <v>0.15700000000001099</v>
      </c>
      <c r="G6256" s="34">
        <v>0.15700000000001099</v>
      </c>
      <c r="H6256" s="35">
        <v>4.5999999999999996</v>
      </c>
      <c r="I6256" s="37">
        <f t="shared" si="97"/>
        <v>8.6100400554037346E-4</v>
      </c>
      <c r="J6256" s="33"/>
    </row>
    <row r="6257" spans="1:10">
      <c r="A6257" s="33" t="s">
        <v>63</v>
      </c>
      <c r="B6257" s="34">
        <v>212.67400000000001</v>
      </c>
      <c r="C6257" s="35">
        <v>5342.6</v>
      </c>
      <c r="D6257" s="33" t="s">
        <v>273</v>
      </c>
      <c r="E6257" s="34">
        <v>212.52199999999999</v>
      </c>
      <c r="F6257" s="36">
        <v>0.15200000000001501</v>
      </c>
      <c r="G6257" s="34">
        <v>0.15200000000001501</v>
      </c>
      <c r="H6257" s="35">
        <v>745.8</v>
      </c>
      <c r="I6257" s="37">
        <f t="shared" si="97"/>
        <v>0.13959495376782838</v>
      </c>
      <c r="J6257" s="33"/>
    </row>
    <row r="6258" spans="1:10">
      <c r="A6258" s="33" t="s">
        <v>63</v>
      </c>
      <c r="B6258" s="34">
        <v>212.67400000000001</v>
      </c>
      <c r="C6258" s="35">
        <v>5342.6</v>
      </c>
      <c r="D6258" s="33" t="s">
        <v>276</v>
      </c>
      <c r="E6258" s="34">
        <v>212.529</v>
      </c>
      <c r="F6258" s="36">
        <v>0.14500000000001001</v>
      </c>
      <c r="G6258" s="34">
        <v>0.14500000000001001</v>
      </c>
      <c r="H6258" s="35">
        <v>25.6</v>
      </c>
      <c r="I6258" s="37">
        <f t="shared" si="97"/>
        <v>4.791674465615992E-3</v>
      </c>
      <c r="J6258" s="33"/>
    </row>
    <row r="6259" spans="1:10">
      <c r="A6259" s="33" t="s">
        <v>63</v>
      </c>
      <c r="B6259" s="34">
        <v>212.67400000000001</v>
      </c>
      <c r="C6259" s="35">
        <v>5342.6</v>
      </c>
      <c r="D6259" s="33" t="s">
        <v>284</v>
      </c>
      <c r="E6259" s="34">
        <v>212.53399999999999</v>
      </c>
      <c r="F6259" s="36">
        <v>0.140000000000015</v>
      </c>
      <c r="G6259" s="34">
        <v>0.140000000000015</v>
      </c>
      <c r="H6259" s="35">
        <v>1.4</v>
      </c>
      <c r="I6259" s="37">
        <f t="shared" si="97"/>
        <v>2.6204469733837456E-4</v>
      </c>
      <c r="J6259" s="33"/>
    </row>
    <row r="6260" spans="1:10">
      <c r="A6260" s="33" t="s">
        <v>63</v>
      </c>
      <c r="B6260" s="34">
        <v>212.67400000000001</v>
      </c>
      <c r="C6260" s="35">
        <v>5342.6</v>
      </c>
      <c r="D6260" s="33" t="s">
        <v>290</v>
      </c>
      <c r="E6260" s="34">
        <v>212.54400000000001</v>
      </c>
      <c r="F6260" s="36">
        <v>0.12999999999999601</v>
      </c>
      <c r="G6260" s="34">
        <v>0.12999999999999601</v>
      </c>
      <c r="H6260" s="35">
        <v>19.8</v>
      </c>
      <c r="I6260" s="37">
        <f t="shared" si="97"/>
        <v>3.7060607194998687E-3</v>
      </c>
      <c r="J6260" s="33"/>
    </row>
    <row r="6261" spans="1:10">
      <c r="A6261" s="33" t="s">
        <v>63</v>
      </c>
      <c r="B6261" s="34">
        <v>212.67400000000001</v>
      </c>
      <c r="C6261" s="35">
        <v>5342.6</v>
      </c>
      <c r="D6261" s="33" t="s">
        <v>308</v>
      </c>
      <c r="E6261" s="34">
        <v>212.55699999999999</v>
      </c>
      <c r="F6261" s="36">
        <v>0.11700000000001901</v>
      </c>
      <c r="G6261" s="34">
        <v>0.11700000000001901</v>
      </c>
      <c r="H6261" s="35">
        <v>6</v>
      </c>
      <c r="I6261" s="37">
        <f t="shared" si="97"/>
        <v>1.123048702878748E-3</v>
      </c>
      <c r="J6261" s="33"/>
    </row>
    <row r="6262" spans="1:10">
      <c r="A6262" s="33" t="s">
        <v>63</v>
      </c>
      <c r="B6262" s="34">
        <v>212.67400000000001</v>
      </c>
      <c r="C6262" s="35">
        <v>5342.6</v>
      </c>
      <c r="D6262" s="33" t="s">
        <v>165</v>
      </c>
      <c r="E6262" s="34">
        <v>212.56200000000001</v>
      </c>
      <c r="F6262" s="36">
        <v>0.11199999999999501</v>
      </c>
      <c r="G6262" s="34">
        <v>0.11199999999999501</v>
      </c>
      <c r="H6262" s="35">
        <v>7.5</v>
      </c>
      <c r="I6262" s="37">
        <f t="shared" si="97"/>
        <v>1.403810878598435E-3</v>
      </c>
      <c r="J6262" s="33"/>
    </row>
    <row r="6263" spans="1:10">
      <c r="A6263" s="33" t="s">
        <v>63</v>
      </c>
      <c r="B6263" s="34">
        <v>212.67400000000001</v>
      </c>
      <c r="C6263" s="35">
        <v>5342.6</v>
      </c>
      <c r="D6263" s="33" t="s">
        <v>308</v>
      </c>
      <c r="E6263" s="34">
        <v>212.56800000000001</v>
      </c>
      <c r="F6263" s="36">
        <v>0.105999999999995</v>
      </c>
      <c r="G6263" s="34">
        <v>0.105999999999995</v>
      </c>
      <c r="H6263" s="35">
        <v>31.9</v>
      </c>
      <c r="I6263" s="37">
        <f t="shared" si="97"/>
        <v>5.9708756036386769E-3</v>
      </c>
      <c r="J6263" s="33"/>
    </row>
    <row r="6264" spans="1:10">
      <c r="A6264" s="33" t="s">
        <v>63</v>
      </c>
      <c r="B6264" s="34">
        <v>212.67400000000001</v>
      </c>
      <c r="C6264" s="35">
        <v>5342.6</v>
      </c>
      <c r="D6264" s="33" t="s">
        <v>165</v>
      </c>
      <c r="E6264" s="34">
        <v>212.59</v>
      </c>
      <c r="F6264" s="36">
        <v>8.4000000000003197E-2</v>
      </c>
      <c r="G6264" s="34">
        <v>8.4000000000003197E-2</v>
      </c>
      <c r="H6264" s="35">
        <v>47.1</v>
      </c>
      <c r="I6264" s="37">
        <f t="shared" si="97"/>
        <v>8.815932317598172E-3</v>
      </c>
      <c r="J6264" s="33"/>
    </row>
    <row r="6265" spans="1:10">
      <c r="A6265" s="33" t="s">
        <v>63</v>
      </c>
      <c r="B6265" s="34">
        <v>212.67400000000001</v>
      </c>
      <c r="C6265" s="35">
        <v>5342.6</v>
      </c>
      <c r="D6265" s="33" t="s">
        <v>275</v>
      </c>
      <c r="E6265" s="34">
        <v>212.59100000000001</v>
      </c>
      <c r="F6265" s="36">
        <v>8.2999999999998395E-2</v>
      </c>
      <c r="G6265" s="34">
        <v>8.2999999999998395E-2</v>
      </c>
      <c r="H6265" s="35">
        <v>135</v>
      </c>
      <c r="I6265" s="37">
        <f t="shared" si="97"/>
        <v>2.5268595814771831E-2</v>
      </c>
      <c r="J6265" s="33"/>
    </row>
    <row r="6266" spans="1:10">
      <c r="A6266" s="33" t="s">
        <v>63</v>
      </c>
      <c r="B6266" s="34">
        <v>212.67400000000001</v>
      </c>
      <c r="C6266" s="35">
        <v>5342.6</v>
      </c>
      <c r="D6266" s="33" t="s">
        <v>286</v>
      </c>
      <c r="E6266" s="34">
        <v>212.60400000000001</v>
      </c>
      <c r="F6266" s="36">
        <v>6.9999999999993207E-2</v>
      </c>
      <c r="G6266" s="34">
        <v>6.9999999999993207E-2</v>
      </c>
      <c r="H6266" s="35">
        <v>706.1</v>
      </c>
      <c r="I6266" s="37">
        <f t="shared" si="97"/>
        <v>0.13216411485044735</v>
      </c>
      <c r="J6266" s="33"/>
    </row>
    <row r="6267" spans="1:10">
      <c r="A6267" s="33" t="s">
        <v>63</v>
      </c>
      <c r="B6267" s="34">
        <v>212.67400000000001</v>
      </c>
      <c r="C6267" s="35">
        <v>5342.6</v>
      </c>
      <c r="D6267" s="33" t="s">
        <v>237</v>
      </c>
      <c r="E6267" s="34">
        <v>212.61099999999999</v>
      </c>
      <c r="F6267" s="36">
        <v>6.3000000000016598E-2</v>
      </c>
      <c r="G6267" s="34">
        <v>6.3000000000016598E-2</v>
      </c>
      <c r="H6267" s="35">
        <v>3.6</v>
      </c>
      <c r="I6267" s="37">
        <f t="shared" si="97"/>
        <v>6.738292217272489E-4</v>
      </c>
      <c r="J6267" s="33"/>
    </row>
    <row r="6268" spans="1:10">
      <c r="A6268" s="33" t="s">
        <v>63</v>
      </c>
      <c r="B6268" s="34">
        <v>212.67400000000001</v>
      </c>
      <c r="C6268" s="35">
        <v>5342.6</v>
      </c>
      <c r="D6268" s="33" t="s">
        <v>273</v>
      </c>
      <c r="E6268" s="34">
        <v>212.655</v>
      </c>
      <c r="F6268" s="36">
        <v>1.9000000000005499E-2</v>
      </c>
      <c r="G6268" s="34">
        <v>1.9000000000005499E-2</v>
      </c>
      <c r="H6268" s="35">
        <v>958.6</v>
      </c>
      <c r="I6268" s="37">
        <f t="shared" si="97"/>
        <v>0.17942574776326131</v>
      </c>
      <c r="J6268" s="33"/>
    </row>
    <row r="6269" spans="1:10">
      <c r="A6269" s="33" t="s">
        <v>63</v>
      </c>
      <c r="B6269" s="34">
        <v>212.67400000000001</v>
      </c>
      <c r="C6269" s="35">
        <v>5342.6</v>
      </c>
      <c r="D6269" s="33" t="s">
        <v>276</v>
      </c>
      <c r="E6269" s="34">
        <v>212.66399999999999</v>
      </c>
      <c r="F6269" s="36">
        <v>1.0000000000019301E-2</v>
      </c>
      <c r="G6269" s="34">
        <v>1.0000000000019301E-2</v>
      </c>
      <c r="H6269" s="35">
        <v>88.1</v>
      </c>
      <c r="I6269" s="37">
        <f t="shared" si="97"/>
        <v>1.6490098453936283E-2</v>
      </c>
      <c r="J6269" s="33"/>
    </row>
    <row r="6270" spans="1:10">
      <c r="A6270" s="33" t="s">
        <v>63</v>
      </c>
      <c r="B6270" s="34">
        <v>212.67400000000001</v>
      </c>
      <c r="C6270" s="35">
        <v>5342.6</v>
      </c>
      <c r="D6270" s="33" t="s">
        <v>193</v>
      </c>
      <c r="E6270" s="34">
        <v>212.66800000000001</v>
      </c>
      <c r="F6270" s="36">
        <v>6.00000000000023E-3</v>
      </c>
      <c r="G6270" s="34">
        <v>6.00000000000023E-3</v>
      </c>
      <c r="H6270" s="35">
        <v>62.8</v>
      </c>
      <c r="I6270" s="37">
        <f t="shared" si="97"/>
        <v>1.175457642346423E-2</v>
      </c>
      <c r="J6270" s="33"/>
    </row>
    <row r="6271" spans="1:10">
      <c r="A6271" s="33" t="s">
        <v>63</v>
      </c>
      <c r="B6271" s="34">
        <v>212.67400000000001</v>
      </c>
      <c r="C6271" s="35">
        <v>5342.6</v>
      </c>
      <c r="D6271" s="33" t="s">
        <v>290</v>
      </c>
      <c r="E6271" s="34">
        <v>212.68100000000001</v>
      </c>
      <c r="F6271" s="36">
        <v>7.0000000000049996E-3</v>
      </c>
      <c r="G6271" s="34">
        <v>7.0000000000049996E-3</v>
      </c>
      <c r="H6271" s="35">
        <v>2436.9</v>
      </c>
      <c r="I6271" s="37">
        <f t="shared" si="97"/>
        <v>0.45612623067420355</v>
      </c>
      <c r="J6271" s="33"/>
    </row>
    <row r="6272" spans="1:10">
      <c r="A6272" s="33" t="s">
        <v>63</v>
      </c>
      <c r="B6272" s="34">
        <v>212.67400000000001</v>
      </c>
      <c r="C6272" s="35">
        <v>5342.6</v>
      </c>
      <c r="D6272" s="33" t="s">
        <v>278</v>
      </c>
      <c r="E6272" s="34">
        <v>212.69300000000001</v>
      </c>
      <c r="F6272" s="36">
        <v>1.9000000000005499E-2</v>
      </c>
      <c r="G6272" s="34">
        <v>1.9000000000005499E-2</v>
      </c>
      <c r="H6272" s="35">
        <v>70.099999999999994</v>
      </c>
      <c r="I6272" s="37">
        <f t="shared" si="97"/>
        <v>1.3120952345300039E-2</v>
      </c>
      <c r="J6272" s="33"/>
    </row>
    <row r="6273" spans="1:10">
      <c r="A6273" s="33" t="s">
        <v>63</v>
      </c>
      <c r="B6273" s="34">
        <v>212.67400000000001</v>
      </c>
      <c r="C6273" s="35">
        <v>5342.6</v>
      </c>
      <c r="D6273" s="33" t="s">
        <v>239</v>
      </c>
      <c r="E6273" s="34">
        <v>212.726</v>
      </c>
      <c r="F6273" s="36">
        <v>5.1999999999992497E-2</v>
      </c>
      <c r="G6273" s="34">
        <v>5.1999999999992497E-2</v>
      </c>
      <c r="H6273" s="35">
        <v>6.1</v>
      </c>
      <c r="I6273" s="37">
        <f t="shared" si="97"/>
        <v>1.1417661812600606E-3</v>
      </c>
      <c r="J6273" s="33"/>
    </row>
    <row r="6274" spans="1:10">
      <c r="A6274" s="33" t="s">
        <v>63</v>
      </c>
      <c r="B6274" s="34">
        <v>212.67400000000001</v>
      </c>
      <c r="C6274" s="35">
        <v>5342.6</v>
      </c>
      <c r="D6274" s="33" t="s">
        <v>275</v>
      </c>
      <c r="E6274" s="34">
        <v>212.726</v>
      </c>
      <c r="F6274" s="36">
        <v>5.1999999999992497E-2</v>
      </c>
      <c r="G6274" s="34">
        <v>5.1999999999992497E-2</v>
      </c>
      <c r="H6274" s="35">
        <v>63.1</v>
      </c>
      <c r="I6274" s="37">
        <f t="shared" ref="I6274:I6337" si="98">H6274/C6274</f>
        <v>1.1810728858608168E-2</v>
      </c>
      <c r="J6274" s="33"/>
    </row>
    <row r="6275" spans="1:10">
      <c r="A6275" s="33" t="s">
        <v>63</v>
      </c>
      <c r="B6275" s="34">
        <v>212.67400000000001</v>
      </c>
      <c r="C6275" s="35">
        <v>5342.6</v>
      </c>
      <c r="D6275" s="33" t="s">
        <v>278</v>
      </c>
      <c r="E6275" s="34">
        <v>212.73500000000001</v>
      </c>
      <c r="F6275" s="36">
        <v>6.1000000000007097E-2</v>
      </c>
      <c r="G6275" s="34">
        <v>6.1000000000007097E-2</v>
      </c>
      <c r="H6275" s="35">
        <v>18.7</v>
      </c>
      <c r="I6275" s="37">
        <f t="shared" si="98"/>
        <v>3.5001684573054315E-3</v>
      </c>
      <c r="J6275" s="33"/>
    </row>
    <row r="6276" spans="1:10">
      <c r="A6276" s="33" t="s">
        <v>63</v>
      </c>
      <c r="B6276" s="34">
        <v>212.67400000000001</v>
      </c>
      <c r="C6276" s="35">
        <v>5342.6</v>
      </c>
      <c r="D6276" s="33" t="s">
        <v>291</v>
      </c>
      <c r="E6276" s="34">
        <v>212.739</v>
      </c>
      <c r="F6276" s="36">
        <v>6.4999999999997699E-2</v>
      </c>
      <c r="G6276" s="34">
        <v>6.4999999999997699E-2</v>
      </c>
      <c r="H6276" s="35">
        <v>35.1</v>
      </c>
      <c r="I6276" s="37">
        <f t="shared" si="98"/>
        <v>6.5698349118406768E-3</v>
      </c>
      <c r="J6276" s="33"/>
    </row>
    <row r="6277" spans="1:10">
      <c r="A6277" s="33" t="s">
        <v>63</v>
      </c>
      <c r="B6277" s="34">
        <v>212.67400000000001</v>
      </c>
      <c r="C6277" s="35">
        <v>5342.6</v>
      </c>
      <c r="D6277" s="33" t="s">
        <v>290</v>
      </c>
      <c r="E6277" s="34">
        <v>212.75</v>
      </c>
      <c r="F6277" s="36">
        <v>7.5999999999993406E-2</v>
      </c>
      <c r="G6277" s="34">
        <v>7.5999999999993406E-2</v>
      </c>
      <c r="H6277" s="35">
        <v>14.7</v>
      </c>
      <c r="I6277" s="37">
        <f t="shared" si="98"/>
        <v>2.7514693220529328E-3</v>
      </c>
      <c r="J6277" s="33"/>
    </row>
    <row r="6278" spans="1:10">
      <c r="A6278" s="33" t="s">
        <v>63</v>
      </c>
      <c r="B6278" s="34">
        <v>212.67400000000001</v>
      </c>
      <c r="C6278" s="35">
        <v>5342.6</v>
      </c>
      <c r="D6278" s="33" t="s">
        <v>239</v>
      </c>
      <c r="E6278" s="34">
        <v>212.75299999999999</v>
      </c>
      <c r="F6278" s="36">
        <v>7.8999999999979295E-2</v>
      </c>
      <c r="G6278" s="34">
        <v>7.8999999999979295E-2</v>
      </c>
      <c r="H6278" s="35">
        <v>11.9</v>
      </c>
      <c r="I6278" s="37">
        <f t="shared" si="98"/>
        <v>2.2273799273761839E-3</v>
      </c>
      <c r="J6278" s="33"/>
    </row>
    <row r="6279" spans="1:10">
      <c r="A6279" s="33" t="s">
        <v>63</v>
      </c>
      <c r="B6279" s="34">
        <v>212.67400000000001</v>
      </c>
      <c r="C6279" s="35">
        <v>5342.6</v>
      </c>
      <c r="D6279" s="33" t="s">
        <v>165</v>
      </c>
      <c r="E6279" s="34">
        <v>212.77699999999999</v>
      </c>
      <c r="F6279" s="36">
        <v>0.10299999999998</v>
      </c>
      <c r="G6279" s="34">
        <v>0.10299999999998</v>
      </c>
      <c r="H6279" s="35">
        <v>16.5</v>
      </c>
      <c r="I6279" s="37">
        <f t="shared" si="98"/>
        <v>3.0883839329165575E-3</v>
      </c>
      <c r="J6279" s="33"/>
    </row>
    <row r="6280" spans="1:10">
      <c r="A6280" s="33" t="s">
        <v>63</v>
      </c>
      <c r="B6280" s="34">
        <v>212.67400000000001</v>
      </c>
      <c r="C6280" s="35">
        <v>5342.6</v>
      </c>
      <c r="D6280" s="33" t="s">
        <v>290</v>
      </c>
      <c r="E6280" s="34">
        <v>212.79400000000001</v>
      </c>
      <c r="F6280" s="36">
        <v>0.12000000000000501</v>
      </c>
      <c r="G6280" s="34">
        <v>0.12000000000000501</v>
      </c>
      <c r="H6280" s="35">
        <v>54.3</v>
      </c>
      <c r="I6280" s="37">
        <f t="shared" si="98"/>
        <v>1.0163590761052669E-2</v>
      </c>
      <c r="J6280" s="33"/>
    </row>
    <row r="6281" spans="1:10">
      <c r="A6281" s="33" t="s">
        <v>63</v>
      </c>
      <c r="B6281" s="34">
        <v>212.67400000000001</v>
      </c>
      <c r="C6281" s="35">
        <v>5342.6</v>
      </c>
      <c r="D6281" s="33" t="s">
        <v>284</v>
      </c>
      <c r="E6281" s="34">
        <v>212.797</v>
      </c>
      <c r="F6281" s="36">
        <v>0.12299999999999101</v>
      </c>
      <c r="G6281" s="34">
        <v>0.12299999999999101</v>
      </c>
      <c r="H6281" s="35">
        <v>5.5</v>
      </c>
      <c r="I6281" s="37">
        <f t="shared" si="98"/>
        <v>1.0294613109721857E-3</v>
      </c>
      <c r="J6281" s="33"/>
    </row>
    <row r="6282" spans="1:10">
      <c r="A6282" s="33" t="s">
        <v>63</v>
      </c>
      <c r="B6282" s="34">
        <v>212.67400000000001</v>
      </c>
      <c r="C6282" s="35">
        <v>5342.6</v>
      </c>
      <c r="D6282" s="33" t="s">
        <v>278</v>
      </c>
      <c r="E6282" s="34">
        <v>212.82400000000001</v>
      </c>
      <c r="F6282" s="36">
        <v>0.15000000000000599</v>
      </c>
      <c r="G6282" s="34">
        <v>0.15000000000000599</v>
      </c>
      <c r="H6282" s="35">
        <v>24.5</v>
      </c>
      <c r="I6282" s="37">
        <f t="shared" si="98"/>
        <v>4.5857822034215548E-3</v>
      </c>
      <c r="J6282" s="33"/>
    </row>
    <row r="6283" spans="1:10">
      <c r="A6283" s="33" t="s">
        <v>63</v>
      </c>
      <c r="B6283" s="34">
        <v>212.67400000000001</v>
      </c>
      <c r="C6283" s="35">
        <v>5342.6</v>
      </c>
      <c r="D6283" s="33" t="s">
        <v>165</v>
      </c>
      <c r="E6283" s="34">
        <v>212.858</v>
      </c>
      <c r="F6283" s="36">
        <v>0.183999999999998</v>
      </c>
      <c r="G6283" s="34">
        <v>0.183999999999998</v>
      </c>
      <c r="H6283" s="35">
        <v>258.60000000000002</v>
      </c>
      <c r="I6283" s="37">
        <f t="shared" si="98"/>
        <v>4.8403399094074047E-2</v>
      </c>
      <c r="J6283" s="33"/>
    </row>
    <row r="6284" spans="1:10">
      <c r="A6284" s="33" t="s">
        <v>63</v>
      </c>
      <c r="B6284" s="34">
        <v>212.67400000000001</v>
      </c>
      <c r="C6284" s="35">
        <v>5342.6</v>
      </c>
      <c r="D6284" s="33" t="s">
        <v>294</v>
      </c>
      <c r="E6284" s="34">
        <v>212.863</v>
      </c>
      <c r="F6284" s="36">
        <v>0.18899999999999301</v>
      </c>
      <c r="G6284" s="34">
        <v>0.18899999999999301</v>
      </c>
      <c r="H6284" s="35">
        <v>461.8</v>
      </c>
      <c r="I6284" s="37">
        <f t="shared" si="98"/>
        <v>8.6437315164900982E-2</v>
      </c>
      <c r="J6284" s="33"/>
    </row>
    <row r="6285" spans="1:10">
      <c r="A6285" s="33" t="s">
        <v>63</v>
      </c>
      <c r="B6285" s="34">
        <v>212.67400000000001</v>
      </c>
      <c r="C6285" s="35">
        <v>5342.6</v>
      </c>
      <c r="D6285" s="33" t="s">
        <v>238</v>
      </c>
      <c r="E6285" s="34">
        <v>212.875</v>
      </c>
      <c r="F6285" s="36">
        <v>0.20099999999999299</v>
      </c>
      <c r="G6285" s="34">
        <v>0.20099999999999299</v>
      </c>
      <c r="H6285" s="35">
        <v>4.4000000000000004</v>
      </c>
      <c r="I6285" s="37">
        <f t="shared" si="98"/>
        <v>8.2356904877774867E-4</v>
      </c>
      <c r="J6285" s="33"/>
    </row>
    <row r="6286" spans="1:10">
      <c r="A6286" s="33" t="s">
        <v>63</v>
      </c>
      <c r="B6286" s="34">
        <v>212.67400000000001</v>
      </c>
      <c r="C6286" s="35">
        <v>5342.6</v>
      </c>
      <c r="D6286" s="33" t="s">
        <v>54</v>
      </c>
      <c r="E6286" s="34">
        <v>212.87899999999999</v>
      </c>
      <c r="F6286" s="36">
        <v>0.204999999999984</v>
      </c>
      <c r="G6286" s="34">
        <v>0.204999999999984</v>
      </c>
      <c r="H6286" s="35">
        <v>13.9</v>
      </c>
      <c r="I6286" s="37">
        <f t="shared" si="98"/>
        <v>2.6017294950024332E-3</v>
      </c>
      <c r="J6286" s="33"/>
    </row>
    <row r="6287" spans="1:10">
      <c r="A6287" s="33" t="s">
        <v>63</v>
      </c>
      <c r="B6287" s="34">
        <v>212.67400000000001</v>
      </c>
      <c r="C6287" s="35">
        <v>5342.6</v>
      </c>
      <c r="D6287" s="33" t="s">
        <v>184</v>
      </c>
      <c r="E6287" s="34">
        <v>212.88200000000001</v>
      </c>
      <c r="F6287" s="36">
        <v>0.20799999999999799</v>
      </c>
      <c r="G6287" s="34">
        <v>0.20799999999999799</v>
      </c>
      <c r="H6287" s="35">
        <v>11.4</v>
      </c>
      <c r="I6287" s="37">
        <f t="shared" si="98"/>
        <v>2.1337925354696216E-3</v>
      </c>
      <c r="J6287" s="33"/>
    </row>
    <row r="6288" spans="1:10">
      <c r="A6288" s="33" t="s">
        <v>63</v>
      </c>
      <c r="B6288" s="34">
        <v>212.67400000000001</v>
      </c>
      <c r="C6288" s="35">
        <v>5342.6</v>
      </c>
      <c r="D6288" s="33" t="s">
        <v>269</v>
      </c>
      <c r="E6288" s="34">
        <v>212.90899999999999</v>
      </c>
      <c r="F6288" s="36">
        <v>0.234999999999985</v>
      </c>
      <c r="G6288" s="34">
        <v>0.234999999999985</v>
      </c>
      <c r="H6288" s="35">
        <v>244</v>
      </c>
      <c r="I6288" s="37">
        <f t="shared" si="98"/>
        <v>4.5670647250402423E-2</v>
      </c>
      <c r="J6288" s="33"/>
    </row>
    <row r="6289" spans="1:10">
      <c r="A6289" s="33" t="s">
        <v>63</v>
      </c>
      <c r="B6289" s="34">
        <v>212.67400000000001</v>
      </c>
      <c r="C6289" s="35">
        <v>5342.6</v>
      </c>
      <c r="D6289" s="33" t="s">
        <v>193</v>
      </c>
      <c r="E6289" s="34">
        <v>212.922</v>
      </c>
      <c r="F6289" s="36">
        <v>0.24799999999999101</v>
      </c>
      <c r="G6289" s="34">
        <v>0.24799999999999101</v>
      </c>
      <c r="H6289" s="35">
        <v>175.3</v>
      </c>
      <c r="I6289" s="37">
        <f t="shared" si="98"/>
        <v>3.2811739602440756E-2</v>
      </c>
      <c r="J6289" s="33"/>
    </row>
    <row r="6290" spans="1:10">
      <c r="A6290" s="33" t="s">
        <v>63</v>
      </c>
      <c r="B6290" s="34">
        <v>212.67400000000001</v>
      </c>
      <c r="C6290" s="35">
        <v>5342.6</v>
      </c>
      <c r="D6290" s="33" t="s">
        <v>278</v>
      </c>
      <c r="E6290" s="34">
        <v>212.947</v>
      </c>
      <c r="F6290" s="36">
        <v>0.27299999999999602</v>
      </c>
      <c r="G6290" s="34">
        <v>0.27299999999999602</v>
      </c>
      <c r="H6290" s="35">
        <v>158.1</v>
      </c>
      <c r="I6290" s="37">
        <f t="shared" si="98"/>
        <v>2.9592333320855011E-2</v>
      </c>
      <c r="J6290" s="33"/>
    </row>
    <row r="6291" spans="1:10">
      <c r="A6291" s="33" t="s">
        <v>63</v>
      </c>
      <c r="B6291" s="34">
        <v>222.447</v>
      </c>
      <c r="C6291" s="35">
        <v>11361.1</v>
      </c>
      <c r="D6291" s="33" t="s">
        <v>291</v>
      </c>
      <c r="E6291" s="34">
        <v>222.07300000000001</v>
      </c>
      <c r="F6291" s="36">
        <v>0.373999999999995</v>
      </c>
      <c r="G6291" s="34">
        <v>0.373999999999995</v>
      </c>
      <c r="H6291" s="35">
        <v>27.3</v>
      </c>
      <c r="I6291" s="37">
        <f t="shared" si="98"/>
        <v>2.4029363353900591E-3</v>
      </c>
      <c r="J6291" s="33"/>
    </row>
    <row r="6292" spans="1:10">
      <c r="A6292" s="33" t="s">
        <v>63</v>
      </c>
      <c r="B6292" s="34">
        <v>222.447</v>
      </c>
      <c r="C6292" s="35">
        <v>11361.1</v>
      </c>
      <c r="D6292" s="33" t="s">
        <v>274</v>
      </c>
      <c r="E6292" s="34">
        <v>222.09399999999999</v>
      </c>
      <c r="F6292" s="36">
        <v>0.35300000000000897</v>
      </c>
      <c r="G6292" s="34">
        <v>0.35300000000000897</v>
      </c>
      <c r="H6292" s="35">
        <v>69.400000000000006</v>
      </c>
      <c r="I6292" s="37">
        <f t="shared" si="98"/>
        <v>6.1085634313578791E-3</v>
      </c>
      <c r="J6292" s="33"/>
    </row>
    <row r="6293" spans="1:10">
      <c r="A6293" s="33" t="s">
        <v>63</v>
      </c>
      <c r="B6293" s="34">
        <v>222.447</v>
      </c>
      <c r="C6293" s="35">
        <v>11361.1</v>
      </c>
      <c r="D6293" s="33" t="s">
        <v>275</v>
      </c>
      <c r="E6293" s="34">
        <v>222.09700000000001</v>
      </c>
      <c r="F6293" s="36">
        <v>0.34999999999999398</v>
      </c>
      <c r="G6293" s="34">
        <v>0.34999999999999398</v>
      </c>
      <c r="H6293" s="35">
        <v>308.10000000000002</v>
      </c>
      <c r="I6293" s="37">
        <f t="shared" si="98"/>
        <v>2.7118852927973523E-2</v>
      </c>
      <c r="J6293" s="33"/>
    </row>
    <row r="6294" spans="1:10">
      <c r="A6294" s="33" t="s">
        <v>63</v>
      </c>
      <c r="B6294" s="34">
        <v>222.447</v>
      </c>
      <c r="C6294" s="35">
        <v>11361.1</v>
      </c>
      <c r="D6294" s="33" t="s">
        <v>165</v>
      </c>
      <c r="E6294" s="34">
        <v>222.10599999999999</v>
      </c>
      <c r="F6294" s="36">
        <v>0.34100000000000802</v>
      </c>
      <c r="G6294" s="34">
        <v>0.34100000000000802</v>
      </c>
      <c r="H6294" s="35">
        <v>1.9</v>
      </c>
      <c r="I6294" s="37">
        <f t="shared" si="98"/>
        <v>1.672373273714693E-4</v>
      </c>
      <c r="J6294" s="33"/>
    </row>
    <row r="6295" spans="1:10">
      <c r="A6295" s="33" t="s">
        <v>63</v>
      </c>
      <c r="B6295" s="34">
        <v>222.447</v>
      </c>
      <c r="C6295" s="35">
        <v>11361.1</v>
      </c>
      <c r="D6295" s="33" t="s">
        <v>290</v>
      </c>
      <c r="E6295" s="34">
        <v>222.107</v>
      </c>
      <c r="F6295" s="36">
        <v>0.34000000000000302</v>
      </c>
      <c r="G6295" s="34">
        <v>0.34000000000000302</v>
      </c>
      <c r="H6295" s="35">
        <v>124.4</v>
      </c>
      <c r="I6295" s="37">
        <f t="shared" si="98"/>
        <v>1.0949643960531991E-2</v>
      </c>
      <c r="J6295" s="33"/>
    </row>
    <row r="6296" spans="1:10">
      <c r="A6296" s="33" t="s">
        <v>63</v>
      </c>
      <c r="B6296" s="34">
        <v>222.447</v>
      </c>
      <c r="C6296" s="35">
        <v>11361.1</v>
      </c>
      <c r="D6296" s="33" t="s">
        <v>97</v>
      </c>
      <c r="E6296" s="34">
        <v>222.11699999999999</v>
      </c>
      <c r="F6296" s="36">
        <v>0.33000000000001301</v>
      </c>
      <c r="G6296" s="34">
        <v>0.33000000000001301</v>
      </c>
      <c r="H6296" s="35">
        <v>11.1</v>
      </c>
      <c r="I6296" s="37">
        <f t="shared" si="98"/>
        <v>9.770180704333207E-4</v>
      </c>
      <c r="J6296" s="33"/>
    </row>
    <row r="6297" spans="1:10">
      <c r="A6297" s="33" t="s">
        <v>63</v>
      </c>
      <c r="B6297" s="34">
        <v>222.447</v>
      </c>
      <c r="C6297" s="35">
        <v>11361.1</v>
      </c>
      <c r="D6297" s="33" t="s">
        <v>237</v>
      </c>
      <c r="E6297" s="34">
        <v>222.14500000000001</v>
      </c>
      <c r="F6297" s="36">
        <v>0.301999999999993</v>
      </c>
      <c r="G6297" s="34">
        <v>0.301999999999993</v>
      </c>
      <c r="H6297" s="35">
        <v>7.2</v>
      </c>
      <c r="I6297" s="37">
        <f t="shared" si="98"/>
        <v>6.3374145109188374E-4</v>
      </c>
      <c r="J6297" s="33"/>
    </row>
    <row r="6298" spans="1:10">
      <c r="A6298" s="33" t="s">
        <v>63</v>
      </c>
      <c r="B6298" s="34">
        <v>222.447</v>
      </c>
      <c r="C6298" s="35">
        <v>11361.1</v>
      </c>
      <c r="D6298" s="33" t="s">
        <v>240</v>
      </c>
      <c r="E6298" s="34">
        <v>222.18299999999999</v>
      </c>
      <c r="F6298" s="36">
        <v>0.26400000000001</v>
      </c>
      <c r="G6298" s="34">
        <v>0.26400000000001</v>
      </c>
      <c r="H6298" s="35">
        <v>206.1</v>
      </c>
      <c r="I6298" s="37">
        <f t="shared" si="98"/>
        <v>1.814084903750517E-2</v>
      </c>
      <c r="J6298" s="33"/>
    </row>
    <row r="6299" spans="1:10">
      <c r="A6299" s="33" t="s">
        <v>63</v>
      </c>
      <c r="B6299" s="34">
        <v>222.447</v>
      </c>
      <c r="C6299" s="35">
        <v>11361.1</v>
      </c>
      <c r="D6299" s="33" t="s">
        <v>165</v>
      </c>
      <c r="E6299" s="34">
        <v>222.19399999999999</v>
      </c>
      <c r="F6299" s="36">
        <v>0.25300000000001399</v>
      </c>
      <c r="G6299" s="34">
        <v>0.25300000000001399</v>
      </c>
      <c r="H6299" s="35">
        <v>16.2</v>
      </c>
      <c r="I6299" s="37">
        <f t="shared" si="98"/>
        <v>1.4259182649567382E-3</v>
      </c>
      <c r="J6299" s="33"/>
    </row>
    <row r="6300" spans="1:10">
      <c r="A6300" s="33" t="s">
        <v>63</v>
      </c>
      <c r="B6300" s="34">
        <v>222.447</v>
      </c>
      <c r="C6300" s="35">
        <v>11361.1</v>
      </c>
      <c r="D6300" s="33" t="s">
        <v>291</v>
      </c>
      <c r="E6300" s="34">
        <v>222.19800000000001</v>
      </c>
      <c r="F6300" s="36">
        <v>0.248999999999995</v>
      </c>
      <c r="G6300" s="34">
        <v>0.248999999999995</v>
      </c>
      <c r="H6300" s="35">
        <v>8.5</v>
      </c>
      <c r="I6300" s="37">
        <f t="shared" si="98"/>
        <v>7.4816699087236265E-4</v>
      </c>
      <c r="J6300" s="33"/>
    </row>
    <row r="6301" spans="1:10">
      <c r="A6301" s="33" t="s">
        <v>63</v>
      </c>
      <c r="B6301" s="34">
        <v>222.447</v>
      </c>
      <c r="C6301" s="35">
        <v>11361.1</v>
      </c>
      <c r="D6301" s="33" t="s">
        <v>294</v>
      </c>
      <c r="E6301" s="34">
        <v>222.261</v>
      </c>
      <c r="F6301" s="36">
        <v>0.18600000000000699</v>
      </c>
      <c r="G6301" s="34">
        <v>0.18600000000000699</v>
      </c>
      <c r="H6301" s="35">
        <v>54.1</v>
      </c>
      <c r="I6301" s="37">
        <f t="shared" si="98"/>
        <v>4.7618628477876261E-3</v>
      </c>
      <c r="J6301" s="33"/>
    </row>
    <row r="6302" spans="1:10">
      <c r="A6302" s="33" t="s">
        <v>63</v>
      </c>
      <c r="B6302" s="34">
        <v>222.447</v>
      </c>
      <c r="C6302" s="35">
        <v>11361.1</v>
      </c>
      <c r="D6302" s="33" t="s">
        <v>297</v>
      </c>
      <c r="E6302" s="34">
        <v>222.274</v>
      </c>
      <c r="F6302" s="36">
        <v>0.17300000000000201</v>
      </c>
      <c r="G6302" s="34">
        <v>0.17300000000000201</v>
      </c>
      <c r="H6302" s="35">
        <v>1.7</v>
      </c>
      <c r="I6302" s="37">
        <f t="shared" si="98"/>
        <v>1.4963339817447254E-4</v>
      </c>
      <c r="J6302" s="33"/>
    </row>
    <row r="6303" spans="1:10">
      <c r="A6303" s="33" t="s">
        <v>63</v>
      </c>
      <c r="B6303" s="34">
        <v>222.447</v>
      </c>
      <c r="C6303" s="35">
        <v>11361.1</v>
      </c>
      <c r="D6303" s="33" t="s">
        <v>278</v>
      </c>
      <c r="E6303" s="34">
        <v>222.28399999999999</v>
      </c>
      <c r="F6303" s="36">
        <v>0.163000000000011</v>
      </c>
      <c r="G6303" s="34">
        <v>0.163000000000011</v>
      </c>
      <c r="H6303" s="35">
        <v>1.7</v>
      </c>
      <c r="I6303" s="37">
        <f t="shared" si="98"/>
        <v>1.4963339817447254E-4</v>
      </c>
      <c r="J6303" s="33"/>
    </row>
    <row r="6304" spans="1:10">
      <c r="A6304" s="33" t="s">
        <v>63</v>
      </c>
      <c r="B6304" s="34">
        <v>222.447</v>
      </c>
      <c r="C6304" s="35">
        <v>11361.1</v>
      </c>
      <c r="D6304" s="33" t="s">
        <v>165</v>
      </c>
      <c r="E6304" s="34">
        <v>222.29499999999999</v>
      </c>
      <c r="F6304" s="36">
        <v>0.15200000000001501</v>
      </c>
      <c r="G6304" s="34">
        <v>0.15200000000001501</v>
      </c>
      <c r="H6304" s="35">
        <v>2731.9</v>
      </c>
      <c r="I6304" s="37">
        <f t="shared" si="98"/>
        <v>0.24046087086637738</v>
      </c>
      <c r="J6304" s="33"/>
    </row>
    <row r="6305" spans="1:10">
      <c r="A6305" s="33" t="s">
        <v>63</v>
      </c>
      <c r="B6305" s="34">
        <v>222.447</v>
      </c>
      <c r="C6305" s="35">
        <v>11361.1</v>
      </c>
      <c r="D6305" s="33" t="s">
        <v>278</v>
      </c>
      <c r="E6305" s="34">
        <v>222.30199999999999</v>
      </c>
      <c r="F6305" s="36">
        <v>0.14500000000001001</v>
      </c>
      <c r="G6305" s="34">
        <v>0.14500000000001001</v>
      </c>
      <c r="H6305" s="35">
        <v>4</v>
      </c>
      <c r="I6305" s="37">
        <f t="shared" si="98"/>
        <v>3.5207858393993539E-4</v>
      </c>
      <c r="J6305" s="33"/>
    </row>
    <row r="6306" spans="1:10">
      <c r="A6306" s="33" t="s">
        <v>63</v>
      </c>
      <c r="B6306" s="34">
        <v>222.447</v>
      </c>
      <c r="C6306" s="35">
        <v>11361.1</v>
      </c>
      <c r="D6306" s="33" t="s">
        <v>237</v>
      </c>
      <c r="E6306" s="34">
        <v>222.31899999999999</v>
      </c>
      <c r="F6306" s="36">
        <v>0.12800000000001399</v>
      </c>
      <c r="G6306" s="34">
        <v>0.12800000000001399</v>
      </c>
      <c r="H6306" s="35">
        <v>4.7</v>
      </c>
      <c r="I6306" s="37">
        <f t="shared" si="98"/>
        <v>4.1369233612942411E-4</v>
      </c>
      <c r="J6306" s="33"/>
    </row>
    <row r="6307" spans="1:10">
      <c r="A6307" s="33" t="s">
        <v>63</v>
      </c>
      <c r="B6307" s="34">
        <v>222.447</v>
      </c>
      <c r="C6307" s="35">
        <v>11361.1</v>
      </c>
      <c r="D6307" s="33" t="s">
        <v>97</v>
      </c>
      <c r="E6307" s="34">
        <v>222.34899999999999</v>
      </c>
      <c r="F6307" s="36">
        <v>9.8000000000013202E-2</v>
      </c>
      <c r="G6307" s="34">
        <v>9.8000000000013202E-2</v>
      </c>
      <c r="H6307" s="35">
        <v>14.4</v>
      </c>
      <c r="I6307" s="37">
        <f t="shared" si="98"/>
        <v>1.2674829021837675E-3</v>
      </c>
      <c r="J6307" s="33"/>
    </row>
    <row r="6308" spans="1:10">
      <c r="A6308" s="33" t="s">
        <v>63</v>
      </c>
      <c r="B6308" s="34">
        <v>222.447</v>
      </c>
      <c r="C6308" s="35">
        <v>11361.1</v>
      </c>
      <c r="D6308" s="33" t="s">
        <v>54</v>
      </c>
      <c r="E6308" s="34">
        <v>222.40700000000001</v>
      </c>
      <c r="F6308" s="36">
        <v>3.9999999999992E-2</v>
      </c>
      <c r="G6308" s="34">
        <v>3.9999999999992E-2</v>
      </c>
      <c r="H6308" s="35">
        <v>14.2</v>
      </c>
      <c r="I6308" s="37">
        <f t="shared" si="98"/>
        <v>1.2498789729867706E-3</v>
      </c>
      <c r="J6308" s="33"/>
    </row>
    <row r="6309" spans="1:10">
      <c r="A6309" s="33" t="s">
        <v>63</v>
      </c>
      <c r="B6309" s="34">
        <v>222.447</v>
      </c>
      <c r="C6309" s="35">
        <v>11361.1</v>
      </c>
      <c r="D6309" s="33" t="s">
        <v>269</v>
      </c>
      <c r="E6309" s="34">
        <v>222.42599999999999</v>
      </c>
      <c r="F6309" s="36">
        <v>2.1000000000015E-2</v>
      </c>
      <c r="G6309" s="34">
        <v>2.1000000000015E-2</v>
      </c>
      <c r="H6309" s="35">
        <v>20.100000000000001</v>
      </c>
      <c r="I6309" s="37">
        <f t="shared" si="98"/>
        <v>1.7691948842981755E-3</v>
      </c>
      <c r="J6309" s="33"/>
    </row>
    <row r="6310" spans="1:10">
      <c r="A6310" s="33" t="s">
        <v>63</v>
      </c>
      <c r="B6310" s="34">
        <v>222.447</v>
      </c>
      <c r="C6310" s="35">
        <v>11361.1</v>
      </c>
      <c r="D6310" s="33" t="s">
        <v>165</v>
      </c>
      <c r="E6310" s="34">
        <v>222.43600000000001</v>
      </c>
      <c r="F6310" s="36">
        <v>1.0999999999995701E-2</v>
      </c>
      <c r="G6310" s="34">
        <v>1.0999999999995701E-2</v>
      </c>
      <c r="H6310" s="35">
        <v>195.8</v>
      </c>
      <c r="I6310" s="37">
        <f t="shared" si="98"/>
        <v>1.7234246683859838E-2</v>
      </c>
      <c r="J6310" s="33"/>
    </row>
    <row r="6311" spans="1:10">
      <c r="A6311" s="33" t="s">
        <v>63</v>
      </c>
      <c r="B6311" s="34">
        <v>222.447</v>
      </c>
      <c r="C6311" s="35">
        <v>11361.1</v>
      </c>
      <c r="D6311" s="33" t="s">
        <v>165</v>
      </c>
      <c r="E6311" s="34">
        <v>222.45099999999999</v>
      </c>
      <c r="F6311" s="36">
        <v>3.9999999999906803E-3</v>
      </c>
      <c r="G6311" s="34">
        <v>3.9999999999906803E-3</v>
      </c>
      <c r="H6311" s="35">
        <v>45.6</v>
      </c>
      <c r="I6311" s="37">
        <f t="shared" si="98"/>
        <v>4.0136958569152639E-3</v>
      </c>
      <c r="J6311" s="33"/>
    </row>
    <row r="6312" spans="1:10">
      <c r="A6312" s="33" t="s">
        <v>63</v>
      </c>
      <c r="B6312" s="34">
        <v>222.447</v>
      </c>
      <c r="C6312" s="35">
        <v>11361.1</v>
      </c>
      <c r="D6312" s="33" t="s">
        <v>273</v>
      </c>
      <c r="E6312" s="34">
        <v>222.46700000000001</v>
      </c>
      <c r="F6312" s="36">
        <v>2.0000000000010201E-2</v>
      </c>
      <c r="G6312" s="34">
        <v>2.0000000000010201E-2</v>
      </c>
      <c r="H6312" s="35">
        <v>115.3</v>
      </c>
      <c r="I6312" s="37">
        <f t="shared" si="98"/>
        <v>1.0148665182068637E-2</v>
      </c>
      <c r="J6312" s="33"/>
    </row>
    <row r="6313" spans="1:10">
      <c r="A6313" s="33" t="s">
        <v>63</v>
      </c>
      <c r="B6313" s="34">
        <v>222.447</v>
      </c>
      <c r="C6313" s="35">
        <v>11361.1</v>
      </c>
      <c r="D6313" s="33" t="s">
        <v>290</v>
      </c>
      <c r="E6313" s="34">
        <v>222.48</v>
      </c>
      <c r="F6313" s="36">
        <v>3.2999999999986998E-2</v>
      </c>
      <c r="G6313" s="34">
        <v>3.2999999999986998E-2</v>
      </c>
      <c r="H6313" s="35">
        <v>20.7</v>
      </c>
      <c r="I6313" s="37">
        <f t="shared" si="98"/>
        <v>1.8220066718891655E-3</v>
      </c>
      <c r="J6313" s="33"/>
    </row>
    <row r="6314" spans="1:10">
      <c r="A6314" s="33" t="s">
        <v>63</v>
      </c>
      <c r="B6314" s="34">
        <v>222.447</v>
      </c>
      <c r="C6314" s="35">
        <v>11361.1</v>
      </c>
      <c r="D6314" s="33" t="s">
        <v>165</v>
      </c>
      <c r="E6314" s="34">
        <v>222.48599999999999</v>
      </c>
      <c r="F6314" s="36">
        <v>3.8999999999987302E-2</v>
      </c>
      <c r="G6314" s="34">
        <v>3.8999999999987302E-2</v>
      </c>
      <c r="H6314" s="35">
        <v>3688.9</v>
      </c>
      <c r="I6314" s="37">
        <f t="shared" si="98"/>
        <v>0.3246956720740069</v>
      </c>
      <c r="J6314" s="33"/>
    </row>
    <row r="6315" spans="1:10">
      <c r="A6315" s="33" t="s">
        <v>63</v>
      </c>
      <c r="B6315" s="34">
        <v>222.447</v>
      </c>
      <c r="C6315" s="35">
        <v>11361.1</v>
      </c>
      <c r="D6315" s="33" t="s">
        <v>291</v>
      </c>
      <c r="E6315" s="34">
        <v>222.49299999999999</v>
      </c>
      <c r="F6315" s="36">
        <v>4.5999999999992297E-2</v>
      </c>
      <c r="G6315" s="34">
        <v>4.5999999999992297E-2</v>
      </c>
      <c r="H6315" s="35">
        <v>34.799999999999997</v>
      </c>
      <c r="I6315" s="37">
        <f t="shared" si="98"/>
        <v>3.0630836802774375E-3</v>
      </c>
      <c r="J6315" s="33"/>
    </row>
    <row r="6316" spans="1:10">
      <c r="A6316" s="33" t="s">
        <v>63</v>
      </c>
      <c r="B6316" s="34">
        <v>222.447</v>
      </c>
      <c r="C6316" s="35">
        <v>11361.1</v>
      </c>
      <c r="D6316" s="33" t="s">
        <v>237</v>
      </c>
      <c r="E6316" s="34">
        <v>222.511</v>
      </c>
      <c r="F6316" s="36">
        <v>6.3999999999993007E-2</v>
      </c>
      <c r="G6316" s="34">
        <v>6.3999999999993007E-2</v>
      </c>
      <c r="H6316" s="35">
        <v>13.9</v>
      </c>
      <c r="I6316" s="37">
        <f t="shared" si="98"/>
        <v>1.2234730791912754E-3</v>
      </c>
      <c r="J6316" s="33"/>
    </row>
    <row r="6317" spans="1:10">
      <c r="A6317" s="33" t="s">
        <v>63</v>
      </c>
      <c r="B6317" s="34">
        <v>222.447</v>
      </c>
      <c r="C6317" s="35">
        <v>11361.1</v>
      </c>
      <c r="D6317" s="33" t="s">
        <v>293</v>
      </c>
      <c r="E6317" s="34">
        <v>222.52600000000001</v>
      </c>
      <c r="F6317" s="36">
        <v>7.9000000000007703E-2</v>
      </c>
      <c r="G6317" s="34">
        <v>7.9000000000007703E-2</v>
      </c>
      <c r="H6317" s="35">
        <v>0.2</v>
      </c>
      <c r="I6317" s="37">
        <f t="shared" si="98"/>
        <v>1.7603929196996769E-5</v>
      </c>
      <c r="J6317" s="33"/>
    </row>
    <row r="6318" spans="1:10">
      <c r="A6318" s="33" t="s">
        <v>63</v>
      </c>
      <c r="B6318" s="34">
        <v>222.447</v>
      </c>
      <c r="C6318" s="35">
        <v>11361.1</v>
      </c>
      <c r="D6318" s="33" t="s">
        <v>271</v>
      </c>
      <c r="E6318" s="34">
        <v>222.52699999999999</v>
      </c>
      <c r="F6318" s="36">
        <v>7.9999999999984098E-2</v>
      </c>
      <c r="G6318" s="34">
        <v>7.9999999999984098E-2</v>
      </c>
      <c r="H6318" s="35">
        <v>22.2</v>
      </c>
      <c r="I6318" s="37">
        <f t="shared" si="98"/>
        <v>1.9540361408666414E-3</v>
      </c>
      <c r="J6318" s="33"/>
    </row>
    <row r="6319" spans="1:10">
      <c r="A6319" s="33" t="s">
        <v>63</v>
      </c>
      <c r="B6319" s="34">
        <v>222.447</v>
      </c>
      <c r="C6319" s="35">
        <v>11361.1</v>
      </c>
      <c r="D6319" s="33" t="s">
        <v>284</v>
      </c>
      <c r="E6319" s="34">
        <v>222.52699999999999</v>
      </c>
      <c r="F6319" s="36">
        <v>7.9999999999984098E-2</v>
      </c>
      <c r="G6319" s="34">
        <v>7.9999999999984098E-2</v>
      </c>
      <c r="H6319" s="35">
        <v>19.7</v>
      </c>
      <c r="I6319" s="37">
        <f t="shared" si="98"/>
        <v>1.7339870259041818E-3</v>
      </c>
      <c r="J6319" s="33"/>
    </row>
    <row r="6320" spans="1:10">
      <c r="A6320" s="33" t="s">
        <v>63</v>
      </c>
      <c r="B6320" s="34">
        <v>222.447</v>
      </c>
      <c r="C6320" s="35">
        <v>11361.1</v>
      </c>
      <c r="D6320" s="33" t="s">
        <v>54</v>
      </c>
      <c r="E6320" s="34">
        <v>222.535</v>
      </c>
      <c r="F6320" s="36">
        <v>8.7999999999993903E-2</v>
      </c>
      <c r="G6320" s="34">
        <v>8.7999999999993903E-2</v>
      </c>
      <c r="H6320" s="35">
        <v>19.3</v>
      </c>
      <c r="I6320" s="37">
        <f t="shared" si="98"/>
        <v>1.6987791675101883E-3</v>
      </c>
      <c r="J6320" s="33"/>
    </row>
    <row r="6321" spans="1:10">
      <c r="A6321" s="33" t="s">
        <v>63</v>
      </c>
      <c r="B6321" s="34">
        <v>222.447</v>
      </c>
      <c r="C6321" s="35">
        <v>11361.1</v>
      </c>
      <c r="D6321" s="33" t="s">
        <v>269</v>
      </c>
      <c r="E6321" s="34">
        <v>222.535</v>
      </c>
      <c r="F6321" s="36">
        <v>8.7999999999993903E-2</v>
      </c>
      <c r="G6321" s="34">
        <v>8.7999999999993903E-2</v>
      </c>
      <c r="H6321" s="35">
        <v>35.6</v>
      </c>
      <c r="I6321" s="37">
        <f t="shared" si="98"/>
        <v>3.1334993970654249E-3</v>
      </c>
      <c r="J6321" s="33"/>
    </row>
    <row r="6322" spans="1:10">
      <c r="A6322" s="33" t="s">
        <v>63</v>
      </c>
      <c r="B6322" s="34">
        <v>222.447</v>
      </c>
      <c r="C6322" s="35">
        <v>11361.1</v>
      </c>
      <c r="D6322" s="33" t="s">
        <v>278</v>
      </c>
      <c r="E6322" s="34">
        <v>222.54300000000001</v>
      </c>
      <c r="F6322" s="36">
        <v>9.6000000000003596E-2</v>
      </c>
      <c r="G6322" s="34">
        <v>9.6000000000003596E-2</v>
      </c>
      <c r="H6322" s="35">
        <v>3</v>
      </c>
      <c r="I6322" s="37">
        <f t="shared" si="98"/>
        <v>2.6405893795495151E-4</v>
      </c>
      <c r="J6322" s="33"/>
    </row>
    <row r="6323" spans="1:10">
      <c r="A6323" s="33" t="s">
        <v>63</v>
      </c>
      <c r="B6323" s="34">
        <v>222.447</v>
      </c>
      <c r="C6323" s="35">
        <v>11361.1</v>
      </c>
      <c r="D6323" s="33" t="s">
        <v>286</v>
      </c>
      <c r="E6323" s="34">
        <v>222.571</v>
      </c>
      <c r="F6323" s="36">
        <v>0.123999999999995</v>
      </c>
      <c r="G6323" s="34">
        <v>0.123999999999995</v>
      </c>
      <c r="H6323" s="35">
        <v>1129.5</v>
      </c>
      <c r="I6323" s="37">
        <f t="shared" si="98"/>
        <v>9.9418190140039248E-2</v>
      </c>
      <c r="J6323" s="33"/>
    </row>
    <row r="6324" spans="1:10">
      <c r="A6324" s="33" t="s">
        <v>63</v>
      </c>
      <c r="B6324" s="34">
        <v>222.447</v>
      </c>
      <c r="C6324" s="35">
        <v>11361.1</v>
      </c>
      <c r="D6324" s="33" t="s">
        <v>274</v>
      </c>
      <c r="E6324" s="34">
        <v>222.59</v>
      </c>
      <c r="F6324" s="36">
        <v>0.14300000000000099</v>
      </c>
      <c r="G6324" s="34">
        <v>0.14300000000000099</v>
      </c>
      <c r="H6324" s="35">
        <v>1783.3</v>
      </c>
      <c r="I6324" s="37">
        <f t="shared" si="98"/>
        <v>0.15696543468502169</v>
      </c>
      <c r="J6324" s="33"/>
    </row>
    <row r="6325" spans="1:10">
      <c r="A6325" s="33" t="s">
        <v>63</v>
      </c>
      <c r="B6325" s="34">
        <v>222.447</v>
      </c>
      <c r="C6325" s="35">
        <v>11361.1</v>
      </c>
      <c r="D6325" s="33" t="s">
        <v>239</v>
      </c>
      <c r="E6325" s="34">
        <v>222.62700000000001</v>
      </c>
      <c r="F6325" s="36">
        <v>0.18000000000000699</v>
      </c>
      <c r="G6325" s="34">
        <v>0.18000000000000699</v>
      </c>
      <c r="H6325" s="35">
        <v>58.1</v>
      </c>
      <c r="I6325" s="37">
        <f t="shared" si="98"/>
        <v>5.1139414317275611E-3</v>
      </c>
      <c r="J6325" s="33"/>
    </row>
    <row r="6326" spans="1:10">
      <c r="A6326" s="33" t="s">
        <v>63</v>
      </c>
      <c r="B6326" s="34">
        <v>222.447</v>
      </c>
      <c r="C6326" s="35">
        <v>11361.1</v>
      </c>
      <c r="D6326" s="33" t="s">
        <v>165</v>
      </c>
      <c r="E6326" s="34">
        <v>222.63300000000001</v>
      </c>
      <c r="F6326" s="36">
        <v>0.18600000000000699</v>
      </c>
      <c r="G6326" s="34">
        <v>0.18600000000000699</v>
      </c>
      <c r="H6326" s="35">
        <v>2281.9</v>
      </c>
      <c r="I6326" s="37">
        <f t="shared" si="98"/>
        <v>0.20085203017313463</v>
      </c>
      <c r="J6326" s="33"/>
    </row>
    <row r="6327" spans="1:10">
      <c r="A6327" s="33" t="s">
        <v>63</v>
      </c>
      <c r="B6327" s="34">
        <v>222.447</v>
      </c>
      <c r="C6327" s="35">
        <v>11361.1</v>
      </c>
      <c r="D6327" s="33" t="s">
        <v>279</v>
      </c>
      <c r="E6327" s="34">
        <v>222.642</v>
      </c>
      <c r="F6327" s="36">
        <v>0.19499999999999301</v>
      </c>
      <c r="G6327" s="34">
        <v>0.19499999999999301</v>
      </c>
      <c r="H6327" s="35">
        <v>223.8</v>
      </c>
      <c r="I6327" s="37">
        <f t="shared" si="98"/>
        <v>1.9698796771439386E-2</v>
      </c>
      <c r="J6327" s="33"/>
    </row>
    <row r="6328" spans="1:10">
      <c r="A6328" s="33" t="s">
        <v>63</v>
      </c>
      <c r="B6328" s="34">
        <v>222.447</v>
      </c>
      <c r="C6328" s="35">
        <v>11361.1</v>
      </c>
      <c r="D6328" s="33" t="s">
        <v>239</v>
      </c>
      <c r="E6328" s="34">
        <v>222.64699999999999</v>
      </c>
      <c r="F6328" s="36">
        <v>0.19999999999998899</v>
      </c>
      <c r="G6328" s="34">
        <v>0.19999999999998899</v>
      </c>
      <c r="H6328" s="35">
        <v>5.3</v>
      </c>
      <c r="I6328" s="37">
        <f t="shared" si="98"/>
        <v>4.6650412372041436E-4</v>
      </c>
      <c r="J6328" s="33"/>
    </row>
    <row r="6329" spans="1:10">
      <c r="A6329" s="33" t="s">
        <v>63</v>
      </c>
      <c r="B6329" s="34">
        <v>222.447</v>
      </c>
      <c r="C6329" s="35">
        <v>11361.1</v>
      </c>
      <c r="D6329" s="33" t="s">
        <v>274</v>
      </c>
      <c r="E6329" s="34">
        <v>222.65600000000001</v>
      </c>
      <c r="F6329" s="36">
        <v>0.20900000000000299</v>
      </c>
      <c r="G6329" s="34">
        <v>0.20900000000000299</v>
      </c>
      <c r="H6329" s="35">
        <v>255</v>
      </c>
      <c r="I6329" s="37">
        <f t="shared" si="98"/>
        <v>2.2445009726170882E-2</v>
      </c>
      <c r="J6329" s="33"/>
    </row>
    <row r="6330" spans="1:10">
      <c r="A6330" s="33" t="s">
        <v>63</v>
      </c>
      <c r="B6330" s="34">
        <v>222.447</v>
      </c>
      <c r="C6330" s="35">
        <v>11361.1</v>
      </c>
      <c r="D6330" s="33" t="s">
        <v>274</v>
      </c>
      <c r="E6330" s="34">
        <v>222.67699999999999</v>
      </c>
      <c r="F6330" s="36">
        <v>0.22999999999998999</v>
      </c>
      <c r="G6330" s="34">
        <v>0.22999999999998999</v>
      </c>
      <c r="H6330" s="35">
        <v>150.80000000000001</v>
      </c>
      <c r="I6330" s="37">
        <f t="shared" si="98"/>
        <v>1.3273362614535565E-2</v>
      </c>
      <c r="J6330" s="33"/>
    </row>
    <row r="6331" spans="1:10">
      <c r="A6331" s="33" t="s">
        <v>63</v>
      </c>
      <c r="B6331" s="34">
        <v>289.13799999999998</v>
      </c>
      <c r="C6331" s="35">
        <v>90425.9</v>
      </c>
      <c r="D6331" s="33" t="s">
        <v>193</v>
      </c>
      <c r="E6331" s="34">
        <v>289.029</v>
      </c>
      <c r="F6331" s="36">
        <v>0.10899999999998</v>
      </c>
      <c r="G6331" s="34">
        <v>0.10899999999998</v>
      </c>
      <c r="H6331" s="35">
        <v>396.4</v>
      </c>
      <c r="I6331" s="37">
        <f t="shared" si="98"/>
        <v>4.3836998028219795E-3</v>
      </c>
      <c r="J6331" s="33"/>
    </row>
    <row r="6332" spans="1:10">
      <c r="A6332" s="33" t="s">
        <v>63</v>
      </c>
      <c r="B6332" s="34">
        <v>289.13799999999998</v>
      </c>
      <c r="C6332" s="35">
        <v>90425.9</v>
      </c>
      <c r="D6332" s="33" t="s">
        <v>273</v>
      </c>
      <c r="E6332" s="34">
        <v>289.03500000000003</v>
      </c>
      <c r="F6332" s="36">
        <v>0.102999999999952</v>
      </c>
      <c r="G6332" s="34">
        <v>0.102999999999952</v>
      </c>
      <c r="H6332" s="35">
        <v>276.39999999999998</v>
      </c>
      <c r="I6332" s="37">
        <f t="shared" si="98"/>
        <v>3.0566463811806132E-3</v>
      </c>
      <c r="J6332" s="33"/>
    </row>
    <row r="6333" spans="1:10">
      <c r="A6333" s="33" t="s">
        <v>63</v>
      </c>
      <c r="B6333" s="34">
        <v>289.13799999999998</v>
      </c>
      <c r="C6333" s="35">
        <v>90425.9</v>
      </c>
      <c r="D6333" s="33" t="s">
        <v>54</v>
      </c>
      <c r="E6333" s="34">
        <v>289.04300000000001</v>
      </c>
      <c r="F6333" s="36">
        <v>9.49999999999704E-2</v>
      </c>
      <c r="G6333" s="34">
        <v>9.49999999999704E-2</v>
      </c>
      <c r="H6333" s="35">
        <v>22.6</v>
      </c>
      <c r="I6333" s="37">
        <f t="shared" si="98"/>
        <v>2.4992839440912397E-4</v>
      </c>
      <c r="J6333" s="33"/>
    </row>
    <row r="6334" spans="1:10">
      <c r="A6334" s="33" t="s">
        <v>63</v>
      </c>
      <c r="B6334" s="34">
        <v>289.13799999999998</v>
      </c>
      <c r="C6334" s="35">
        <v>90425.9</v>
      </c>
      <c r="D6334" s="33" t="s">
        <v>33</v>
      </c>
      <c r="E6334" s="34">
        <v>289.04399999999998</v>
      </c>
      <c r="F6334" s="36">
        <v>9.3999999999994102E-2</v>
      </c>
      <c r="G6334" s="34">
        <v>9.3999999999994102E-2</v>
      </c>
      <c r="H6334" s="35">
        <v>220.1</v>
      </c>
      <c r="I6334" s="37">
        <f t="shared" si="98"/>
        <v>2.4340371508605389E-3</v>
      </c>
      <c r="J6334" s="33" t="s">
        <v>116</v>
      </c>
    </row>
    <row r="6335" spans="1:10">
      <c r="A6335" s="33" t="s">
        <v>63</v>
      </c>
      <c r="B6335" s="34">
        <v>289.13799999999998</v>
      </c>
      <c r="C6335" s="35">
        <v>90425.9</v>
      </c>
      <c r="D6335" s="33" t="s">
        <v>273</v>
      </c>
      <c r="E6335" s="34">
        <v>289.05599999999998</v>
      </c>
      <c r="F6335" s="36">
        <v>8.1999999999993606E-2</v>
      </c>
      <c r="G6335" s="34">
        <v>8.1999999999993606E-2</v>
      </c>
      <c r="H6335" s="35">
        <v>108.9</v>
      </c>
      <c r="I6335" s="37">
        <f t="shared" si="98"/>
        <v>1.2043009801395398E-3</v>
      </c>
      <c r="J6335" s="33"/>
    </row>
    <row r="6336" spans="1:10">
      <c r="A6336" s="33" t="s">
        <v>63</v>
      </c>
      <c r="B6336" s="34">
        <v>289.13799999999998</v>
      </c>
      <c r="C6336" s="35">
        <v>90425.9</v>
      </c>
      <c r="D6336" s="33" t="s">
        <v>307</v>
      </c>
      <c r="E6336" s="34">
        <v>289.05599999999998</v>
      </c>
      <c r="F6336" s="36">
        <v>8.1999999999993606E-2</v>
      </c>
      <c r="G6336" s="34">
        <v>8.1999999999993606E-2</v>
      </c>
      <c r="H6336" s="35">
        <v>746</v>
      </c>
      <c r="I6336" s="37">
        <f t="shared" si="98"/>
        <v>8.2498487712038254E-3</v>
      </c>
      <c r="J6336" s="33"/>
    </row>
    <row r="6337" spans="1:10">
      <c r="A6337" s="33" t="s">
        <v>63</v>
      </c>
      <c r="B6337" s="34">
        <v>289.13799999999998</v>
      </c>
      <c r="C6337" s="35">
        <v>90425.9</v>
      </c>
      <c r="D6337" s="33" t="s">
        <v>278</v>
      </c>
      <c r="E6337" s="34">
        <v>289.05599999999998</v>
      </c>
      <c r="F6337" s="36">
        <v>8.1999999999993606E-2</v>
      </c>
      <c r="G6337" s="34">
        <v>8.1999999999993606E-2</v>
      </c>
      <c r="H6337" s="35">
        <v>103.8</v>
      </c>
      <c r="I6337" s="37">
        <f t="shared" si="98"/>
        <v>1.1479012097197817E-3</v>
      </c>
      <c r="J6337" s="33"/>
    </row>
    <row r="6338" spans="1:10">
      <c r="A6338" s="33" t="s">
        <v>63</v>
      </c>
      <c r="B6338" s="34">
        <v>289.13799999999998</v>
      </c>
      <c r="C6338" s="35">
        <v>90425.9</v>
      </c>
      <c r="D6338" s="33" t="s">
        <v>33</v>
      </c>
      <c r="E6338" s="34">
        <v>289.07400000000001</v>
      </c>
      <c r="F6338" s="36">
        <v>6.3999999999964502E-2</v>
      </c>
      <c r="G6338" s="34">
        <v>6.3999999999964502E-2</v>
      </c>
      <c r="H6338" s="35">
        <v>565.4</v>
      </c>
      <c r="I6338" s="37">
        <f t="shared" ref="I6338:I6401" si="99">H6338/C6338</f>
        <v>6.2526333716335699E-3</v>
      </c>
      <c r="J6338" s="33" t="s">
        <v>116</v>
      </c>
    </row>
    <row r="6339" spans="1:10">
      <c r="A6339" s="33" t="s">
        <v>63</v>
      </c>
      <c r="B6339" s="34">
        <v>289.13799999999998</v>
      </c>
      <c r="C6339" s="35">
        <v>90425.9</v>
      </c>
      <c r="D6339" s="33" t="s">
        <v>286</v>
      </c>
      <c r="E6339" s="34">
        <v>289.08300000000003</v>
      </c>
      <c r="F6339" s="36">
        <v>5.4999999999949999E-2</v>
      </c>
      <c r="G6339" s="34">
        <v>5.4999999999949999E-2</v>
      </c>
      <c r="H6339" s="35">
        <v>2.7</v>
      </c>
      <c r="I6339" s="37">
        <f t="shared" si="99"/>
        <v>2.985870198693074E-5</v>
      </c>
      <c r="J6339" s="33"/>
    </row>
    <row r="6340" spans="1:10">
      <c r="A6340" s="33" t="s">
        <v>63</v>
      </c>
      <c r="B6340" s="34">
        <v>289.13799999999998</v>
      </c>
      <c r="C6340" s="35">
        <v>90425.9</v>
      </c>
      <c r="D6340" s="33" t="s">
        <v>284</v>
      </c>
      <c r="E6340" s="34">
        <v>289.084</v>
      </c>
      <c r="F6340" s="36">
        <v>5.3999999999973597E-2</v>
      </c>
      <c r="G6340" s="34">
        <v>5.3999999999973597E-2</v>
      </c>
      <c r="H6340" s="35">
        <v>0.4</v>
      </c>
      <c r="I6340" s="37">
        <f t="shared" si="99"/>
        <v>4.4235114054712204E-6</v>
      </c>
      <c r="J6340" s="33"/>
    </row>
    <row r="6341" spans="1:10">
      <c r="A6341" s="33" t="s">
        <v>63</v>
      </c>
      <c r="B6341" s="34">
        <v>289.13799999999998</v>
      </c>
      <c r="C6341" s="35">
        <v>90425.9</v>
      </c>
      <c r="D6341" s="33" t="s">
        <v>109</v>
      </c>
      <c r="E6341" s="34">
        <v>289.09300000000002</v>
      </c>
      <c r="F6341" s="36">
        <v>4.49999999999591E-2</v>
      </c>
      <c r="G6341" s="34">
        <v>4.49999999999591E-2</v>
      </c>
      <c r="H6341" s="35">
        <v>4400</v>
      </c>
      <c r="I6341" s="37">
        <f t="shared" si="99"/>
        <v>4.8658625460183423E-2</v>
      </c>
      <c r="J6341" s="33" t="s">
        <v>116</v>
      </c>
    </row>
    <row r="6342" spans="1:10">
      <c r="A6342" s="33" t="s">
        <v>63</v>
      </c>
      <c r="B6342" s="34">
        <v>289.13799999999998</v>
      </c>
      <c r="C6342" s="35">
        <v>90425.9</v>
      </c>
      <c r="D6342" s="33" t="s">
        <v>275</v>
      </c>
      <c r="E6342" s="34">
        <v>289.09899999999999</v>
      </c>
      <c r="F6342" s="36">
        <v>3.8999999999987302E-2</v>
      </c>
      <c r="G6342" s="34">
        <v>3.8999999999987302E-2</v>
      </c>
      <c r="H6342" s="35">
        <v>8598.6</v>
      </c>
      <c r="I6342" s="37">
        <f t="shared" si="99"/>
        <v>9.5090012927712089E-2</v>
      </c>
      <c r="J6342" s="33"/>
    </row>
    <row r="6343" spans="1:10">
      <c r="A6343" s="33" t="s">
        <v>63</v>
      </c>
      <c r="B6343" s="34">
        <v>289.13799999999998</v>
      </c>
      <c r="C6343" s="35">
        <v>90425.9</v>
      </c>
      <c r="D6343" s="33" t="s">
        <v>239</v>
      </c>
      <c r="E6343" s="34">
        <v>289.10199999999998</v>
      </c>
      <c r="F6343" s="36">
        <v>3.6000000000001399E-2</v>
      </c>
      <c r="G6343" s="34">
        <v>3.6000000000001399E-2</v>
      </c>
      <c r="H6343" s="35">
        <v>280.8</v>
      </c>
      <c r="I6343" s="37">
        <f t="shared" si="99"/>
        <v>3.1053050066407969E-3</v>
      </c>
      <c r="J6343" s="33"/>
    </row>
    <row r="6344" spans="1:10">
      <c r="A6344" s="33" t="s">
        <v>63</v>
      </c>
      <c r="B6344" s="34">
        <v>289.13799999999998</v>
      </c>
      <c r="C6344" s="35">
        <v>90425.9</v>
      </c>
      <c r="D6344" s="33" t="s">
        <v>193</v>
      </c>
      <c r="E6344" s="34">
        <v>289.10199999999998</v>
      </c>
      <c r="F6344" s="36">
        <v>3.6000000000001399E-2</v>
      </c>
      <c r="G6344" s="34">
        <v>3.6000000000001399E-2</v>
      </c>
      <c r="H6344" s="35">
        <v>21.4</v>
      </c>
      <c r="I6344" s="37">
        <f t="shared" si="99"/>
        <v>2.3665786019271028E-4</v>
      </c>
      <c r="J6344" s="33"/>
    </row>
    <row r="6345" spans="1:10">
      <c r="A6345" s="33" t="s">
        <v>63</v>
      </c>
      <c r="B6345" s="34">
        <v>289.13799999999998</v>
      </c>
      <c r="C6345" s="35">
        <v>90425.9</v>
      </c>
      <c r="D6345" s="33" t="s">
        <v>237</v>
      </c>
      <c r="E6345" s="34">
        <v>289.10700000000003</v>
      </c>
      <c r="F6345" s="36">
        <v>3.09999999999491E-2</v>
      </c>
      <c r="G6345" s="34">
        <v>3.09999999999491E-2</v>
      </c>
      <c r="H6345" s="35">
        <v>1386.4</v>
      </c>
      <c r="I6345" s="37">
        <f t="shared" si="99"/>
        <v>1.5331890531363251E-2</v>
      </c>
      <c r="J6345" s="33"/>
    </row>
    <row r="6346" spans="1:10">
      <c r="A6346" s="33" t="s">
        <v>63</v>
      </c>
      <c r="B6346" s="34">
        <v>289.13799999999998</v>
      </c>
      <c r="C6346" s="35">
        <v>90425.9</v>
      </c>
      <c r="D6346" s="33" t="s">
        <v>277</v>
      </c>
      <c r="E6346" s="34">
        <v>289.10700000000003</v>
      </c>
      <c r="F6346" s="36">
        <v>3.09999999999491E-2</v>
      </c>
      <c r="G6346" s="34">
        <v>3.09999999999491E-2</v>
      </c>
      <c r="H6346" s="35">
        <v>194.7</v>
      </c>
      <c r="I6346" s="37">
        <f t="shared" si="99"/>
        <v>2.1531441766131166E-3</v>
      </c>
      <c r="J6346" s="33"/>
    </row>
    <row r="6347" spans="1:10">
      <c r="A6347" s="33" t="s">
        <v>63</v>
      </c>
      <c r="B6347" s="34">
        <v>289.13799999999998</v>
      </c>
      <c r="C6347" s="35">
        <v>90425.9</v>
      </c>
      <c r="D6347" s="33" t="s">
        <v>271</v>
      </c>
      <c r="E6347" s="34">
        <v>289.125</v>
      </c>
      <c r="F6347" s="36">
        <v>1.2999999999976799E-2</v>
      </c>
      <c r="G6347" s="34">
        <v>1.2999999999976799E-2</v>
      </c>
      <c r="H6347" s="35">
        <v>1813.5</v>
      </c>
      <c r="I6347" s="37">
        <f t="shared" si="99"/>
        <v>2.0055094834555146E-2</v>
      </c>
      <c r="J6347" s="33"/>
    </row>
    <row r="6348" spans="1:10">
      <c r="A6348" s="33" t="s">
        <v>63</v>
      </c>
      <c r="B6348" s="34">
        <v>289.13799999999998</v>
      </c>
      <c r="C6348" s="35">
        <v>90425.9</v>
      </c>
      <c r="D6348" s="33" t="s">
        <v>275</v>
      </c>
      <c r="E6348" s="34">
        <v>289.12700000000001</v>
      </c>
      <c r="F6348" s="36">
        <v>1.09999999999673E-2</v>
      </c>
      <c r="G6348" s="34">
        <v>1.09999999999673E-2</v>
      </c>
      <c r="H6348" s="35">
        <v>935.6</v>
      </c>
      <c r="I6348" s="37">
        <f t="shared" si="99"/>
        <v>1.0346593177397185E-2</v>
      </c>
      <c r="J6348" s="33"/>
    </row>
    <row r="6349" spans="1:10">
      <c r="A6349" s="33" t="s">
        <v>63</v>
      </c>
      <c r="B6349" s="34">
        <v>289.13799999999998</v>
      </c>
      <c r="C6349" s="35">
        <v>90425.9</v>
      </c>
      <c r="D6349" s="33" t="s">
        <v>307</v>
      </c>
      <c r="E6349" s="34">
        <v>289.12900000000002</v>
      </c>
      <c r="F6349" s="36">
        <v>8.9999999999577102E-3</v>
      </c>
      <c r="G6349" s="34">
        <v>8.9999999999577102E-3</v>
      </c>
      <c r="H6349" s="35">
        <v>494</v>
      </c>
      <c r="I6349" s="37">
        <f t="shared" si="99"/>
        <v>5.4630365857569569E-3</v>
      </c>
      <c r="J6349" s="33"/>
    </row>
    <row r="6350" spans="1:10">
      <c r="A6350" s="33" t="s">
        <v>63</v>
      </c>
      <c r="B6350" s="34">
        <v>289.13799999999998</v>
      </c>
      <c r="C6350" s="35">
        <v>90425.9</v>
      </c>
      <c r="D6350" s="33" t="s">
        <v>240</v>
      </c>
      <c r="E6350" s="34">
        <v>289.13400000000001</v>
      </c>
      <c r="F6350" s="36">
        <v>3.9999999999622603E-3</v>
      </c>
      <c r="G6350" s="34">
        <v>3.9999999999622603E-3</v>
      </c>
      <c r="H6350" s="35">
        <v>244.9</v>
      </c>
      <c r="I6350" s="37">
        <f t="shared" si="99"/>
        <v>2.7082948579997546E-3</v>
      </c>
      <c r="J6350" s="33"/>
    </row>
    <row r="6351" spans="1:10">
      <c r="A6351" s="33" t="s">
        <v>63</v>
      </c>
      <c r="B6351" s="34">
        <v>289.13799999999998</v>
      </c>
      <c r="C6351" s="35">
        <v>90425.9</v>
      </c>
      <c r="D6351" s="33" t="s">
        <v>279</v>
      </c>
      <c r="E6351" s="34">
        <v>289.14800000000002</v>
      </c>
      <c r="F6351" s="36">
        <v>1.0000000000047801E-2</v>
      </c>
      <c r="G6351" s="34">
        <v>1.0000000000047801E-2</v>
      </c>
      <c r="H6351" s="35">
        <v>9</v>
      </c>
      <c r="I6351" s="37">
        <f t="shared" si="99"/>
        <v>9.9529006623102459E-5</v>
      </c>
      <c r="J6351" s="33"/>
    </row>
    <row r="6352" spans="1:10">
      <c r="A6352" s="33" t="s">
        <v>63</v>
      </c>
      <c r="B6352" s="34">
        <v>289.13799999999998</v>
      </c>
      <c r="C6352" s="35">
        <v>90425.9</v>
      </c>
      <c r="D6352" s="33" t="s">
        <v>278</v>
      </c>
      <c r="E6352" s="34">
        <v>289.16399999999999</v>
      </c>
      <c r="F6352" s="36">
        <v>2.6000000000010501E-2</v>
      </c>
      <c r="G6352" s="34">
        <v>2.6000000000010501E-2</v>
      </c>
      <c r="H6352" s="35">
        <v>17695</v>
      </c>
      <c r="I6352" s="37">
        <f t="shared" si="99"/>
        <v>0.19568508579953311</v>
      </c>
      <c r="J6352" s="33"/>
    </row>
    <row r="6353" spans="1:10">
      <c r="A6353" s="33" t="s">
        <v>63</v>
      </c>
      <c r="B6353" s="34">
        <v>289.13799999999998</v>
      </c>
      <c r="C6353" s="35">
        <v>90425.9</v>
      </c>
      <c r="D6353" s="33" t="s">
        <v>268</v>
      </c>
      <c r="E6353" s="34">
        <v>289.16500000000002</v>
      </c>
      <c r="F6353" s="36">
        <v>2.7000000000043701E-2</v>
      </c>
      <c r="G6353" s="34">
        <v>2.7000000000043701E-2</v>
      </c>
      <c r="H6353" s="35">
        <v>19.100000000000001</v>
      </c>
      <c r="I6353" s="37">
        <f t="shared" si="99"/>
        <v>2.1122266961125078E-4</v>
      </c>
      <c r="J6353" s="33"/>
    </row>
    <row r="6354" spans="1:10">
      <c r="A6354" s="33" t="s">
        <v>63</v>
      </c>
      <c r="B6354" s="34">
        <v>289.13799999999998</v>
      </c>
      <c r="C6354" s="35">
        <v>90425.9</v>
      </c>
      <c r="D6354" s="33" t="s">
        <v>271</v>
      </c>
      <c r="E6354" s="34">
        <v>289.173</v>
      </c>
      <c r="F6354" s="36">
        <v>3.5000000000024997E-2</v>
      </c>
      <c r="G6354" s="34">
        <v>3.5000000000024997E-2</v>
      </c>
      <c r="H6354" s="35">
        <v>1382.9</v>
      </c>
      <c r="I6354" s="37">
        <f t="shared" si="99"/>
        <v>1.5293184806565378E-2</v>
      </c>
      <c r="J6354" s="33"/>
    </row>
    <row r="6355" spans="1:10">
      <c r="A6355" s="33" t="s">
        <v>63</v>
      </c>
      <c r="B6355" s="34">
        <v>289.13799999999998</v>
      </c>
      <c r="C6355" s="35">
        <v>90425.9</v>
      </c>
      <c r="D6355" s="33" t="s">
        <v>277</v>
      </c>
      <c r="E6355" s="34">
        <v>289.18</v>
      </c>
      <c r="F6355" s="36">
        <v>4.2000000000029999E-2</v>
      </c>
      <c r="G6355" s="34">
        <v>4.2000000000029999E-2</v>
      </c>
      <c r="H6355" s="35">
        <v>279.8</v>
      </c>
      <c r="I6355" s="37">
        <f t="shared" si="99"/>
        <v>3.0942462281271189E-3</v>
      </c>
      <c r="J6355" s="33"/>
    </row>
    <row r="6356" spans="1:10">
      <c r="A6356" s="33" t="s">
        <v>63</v>
      </c>
      <c r="B6356" s="34">
        <v>289.13799999999998</v>
      </c>
      <c r="C6356" s="35">
        <v>90425.9</v>
      </c>
      <c r="D6356" s="33" t="s">
        <v>284</v>
      </c>
      <c r="E6356" s="34">
        <v>289.18299999999999</v>
      </c>
      <c r="F6356" s="36">
        <v>4.5000000000015902E-2</v>
      </c>
      <c r="G6356" s="34">
        <v>4.5000000000015902E-2</v>
      </c>
      <c r="H6356" s="35">
        <v>0.5</v>
      </c>
      <c r="I6356" s="37">
        <f t="shared" si="99"/>
        <v>5.529389256839025E-6</v>
      </c>
      <c r="J6356" s="33"/>
    </row>
    <row r="6357" spans="1:10">
      <c r="A6357" s="33" t="s">
        <v>63</v>
      </c>
      <c r="B6357" s="34">
        <v>289.13799999999998</v>
      </c>
      <c r="C6357" s="35">
        <v>90425.9</v>
      </c>
      <c r="D6357" s="33" t="s">
        <v>193</v>
      </c>
      <c r="E6357" s="34">
        <v>289.18400000000003</v>
      </c>
      <c r="F6357" s="36">
        <v>4.6000000000049099E-2</v>
      </c>
      <c r="G6357" s="34">
        <v>4.6000000000049099E-2</v>
      </c>
      <c r="H6357" s="35">
        <v>220.8</v>
      </c>
      <c r="I6357" s="37">
        <f t="shared" si="99"/>
        <v>2.441778295820114E-3</v>
      </c>
      <c r="J6357" s="33"/>
    </row>
    <row r="6358" spans="1:10">
      <c r="A6358" s="33" t="s">
        <v>63</v>
      </c>
      <c r="B6358" s="34">
        <v>289.13799999999998</v>
      </c>
      <c r="C6358" s="35">
        <v>90425.9</v>
      </c>
      <c r="D6358" s="33" t="s">
        <v>239</v>
      </c>
      <c r="E6358" s="34">
        <v>289.18599999999998</v>
      </c>
      <c r="F6358" s="36">
        <v>4.8000000000001798E-2</v>
      </c>
      <c r="G6358" s="34">
        <v>4.8000000000001798E-2</v>
      </c>
      <c r="H6358" s="35">
        <v>73.900000000000006</v>
      </c>
      <c r="I6358" s="37">
        <f t="shared" si="99"/>
        <v>8.1724373216080805E-4</v>
      </c>
      <c r="J6358" s="33"/>
    </row>
    <row r="6359" spans="1:10">
      <c r="A6359" s="33" t="s">
        <v>63</v>
      </c>
      <c r="B6359" s="34">
        <v>289.13799999999998</v>
      </c>
      <c r="C6359" s="35">
        <v>90425.9</v>
      </c>
      <c r="D6359" s="33" t="s">
        <v>279</v>
      </c>
      <c r="E6359" s="34">
        <v>289.18799999999999</v>
      </c>
      <c r="F6359" s="36">
        <v>5.0000000000011403E-2</v>
      </c>
      <c r="G6359" s="34">
        <v>5.0000000000011403E-2</v>
      </c>
      <c r="H6359" s="35">
        <v>14.9</v>
      </c>
      <c r="I6359" s="37">
        <f t="shared" si="99"/>
        <v>1.6477579985380296E-4</v>
      </c>
      <c r="J6359" s="33"/>
    </row>
    <row r="6360" spans="1:10">
      <c r="A6360" s="33" t="s">
        <v>63</v>
      </c>
      <c r="B6360" s="34">
        <v>289.13799999999998</v>
      </c>
      <c r="C6360" s="35">
        <v>90425.9</v>
      </c>
      <c r="D6360" s="33" t="s">
        <v>276</v>
      </c>
      <c r="E6360" s="34">
        <v>289.19600000000003</v>
      </c>
      <c r="F6360" s="36">
        <v>5.8000000000049602E-2</v>
      </c>
      <c r="G6360" s="34">
        <v>5.8000000000049602E-2</v>
      </c>
      <c r="H6360" s="35">
        <v>16.2</v>
      </c>
      <c r="I6360" s="37">
        <f t="shared" si="99"/>
        <v>1.7915221192158442E-4</v>
      </c>
      <c r="J6360" s="33"/>
    </row>
    <row r="6361" spans="1:10">
      <c r="A6361" s="33" t="s">
        <v>63</v>
      </c>
      <c r="B6361" s="34">
        <v>289.13799999999998</v>
      </c>
      <c r="C6361" s="35">
        <v>90425.9</v>
      </c>
      <c r="D6361" s="33" t="s">
        <v>25</v>
      </c>
      <c r="E6361" s="34">
        <v>289.20400000000001</v>
      </c>
      <c r="F6361" s="36">
        <v>6.6000000000030895E-2</v>
      </c>
      <c r="G6361" s="34">
        <v>6.6000000000030895E-2</v>
      </c>
      <c r="H6361" s="35">
        <v>80.400000000000006</v>
      </c>
      <c r="I6361" s="37">
        <f t="shared" si="99"/>
        <v>8.8912579249971532E-4</v>
      </c>
      <c r="J6361" s="33" t="s">
        <v>116</v>
      </c>
    </row>
    <row r="6362" spans="1:10">
      <c r="A6362" s="33" t="s">
        <v>63</v>
      </c>
      <c r="B6362" s="34">
        <v>289.13799999999998</v>
      </c>
      <c r="C6362" s="35">
        <v>90425.9</v>
      </c>
      <c r="D6362" s="33" t="s">
        <v>271</v>
      </c>
      <c r="E6362" s="34">
        <v>289.21699999999998</v>
      </c>
      <c r="F6362" s="36">
        <v>7.9000000000007703E-2</v>
      </c>
      <c r="G6362" s="34">
        <v>7.9000000000007703E-2</v>
      </c>
      <c r="H6362" s="35">
        <v>385.3</v>
      </c>
      <c r="I6362" s="37">
        <f t="shared" si="99"/>
        <v>4.2609473613201528E-3</v>
      </c>
      <c r="J6362" s="33"/>
    </row>
    <row r="6363" spans="1:10">
      <c r="A6363" s="33" t="s">
        <v>63</v>
      </c>
      <c r="B6363" s="34">
        <v>289.13799999999998</v>
      </c>
      <c r="C6363" s="35">
        <v>90425.9</v>
      </c>
      <c r="D6363" s="33" t="s">
        <v>277</v>
      </c>
      <c r="E6363" s="34">
        <v>289.221</v>
      </c>
      <c r="F6363" s="36">
        <v>8.3000000000026802E-2</v>
      </c>
      <c r="G6363" s="34">
        <v>8.3000000000026802E-2</v>
      </c>
      <c r="H6363" s="35">
        <v>257.89999999999998</v>
      </c>
      <c r="I6363" s="37">
        <f t="shared" si="99"/>
        <v>2.8520589786775689E-3</v>
      </c>
      <c r="J6363" s="33"/>
    </row>
    <row r="6364" spans="1:10">
      <c r="A6364" s="33" t="s">
        <v>63</v>
      </c>
      <c r="B6364" s="34">
        <v>289.13799999999998</v>
      </c>
      <c r="C6364" s="35">
        <v>90425.9</v>
      </c>
      <c r="D6364" s="33" t="s">
        <v>54</v>
      </c>
      <c r="E6364" s="34">
        <v>289.22399999999999</v>
      </c>
      <c r="F6364" s="36">
        <v>8.6000000000012705E-2</v>
      </c>
      <c r="G6364" s="34">
        <v>8.6000000000012705E-2</v>
      </c>
      <c r="H6364" s="35">
        <v>32.799999999999997</v>
      </c>
      <c r="I6364" s="37">
        <f t="shared" si="99"/>
        <v>3.6272793524864006E-4</v>
      </c>
      <c r="J6364" s="33"/>
    </row>
    <row r="6365" spans="1:10">
      <c r="A6365" s="33" t="s">
        <v>63</v>
      </c>
      <c r="B6365" s="34">
        <v>289.13799999999998</v>
      </c>
      <c r="C6365" s="35">
        <v>90425.9</v>
      </c>
      <c r="D6365" s="33" t="s">
        <v>236</v>
      </c>
      <c r="E6365" s="34">
        <v>289.22699999999998</v>
      </c>
      <c r="F6365" s="36">
        <v>8.8999999999998594E-2</v>
      </c>
      <c r="G6365" s="34">
        <v>8.8999999999998594E-2</v>
      </c>
      <c r="H6365" s="35">
        <v>28.4</v>
      </c>
      <c r="I6365" s="37">
        <f t="shared" si="99"/>
        <v>3.1406930978845665E-4</v>
      </c>
      <c r="J6365" s="33"/>
    </row>
    <row r="6366" spans="1:10">
      <c r="A6366" s="33" t="s">
        <v>63</v>
      </c>
      <c r="B6366" s="34">
        <v>289.13799999999998</v>
      </c>
      <c r="C6366" s="35">
        <v>90425.9</v>
      </c>
      <c r="D6366" s="33" t="s">
        <v>284</v>
      </c>
      <c r="E6366" s="34">
        <v>289.23399999999998</v>
      </c>
      <c r="F6366" s="36">
        <v>9.6000000000003596E-2</v>
      </c>
      <c r="G6366" s="34">
        <v>9.6000000000003596E-2</v>
      </c>
      <c r="H6366" s="35">
        <v>0.6</v>
      </c>
      <c r="I6366" s="37">
        <f t="shared" si="99"/>
        <v>6.6352671082068306E-6</v>
      </c>
      <c r="J6366" s="33"/>
    </row>
    <row r="6367" spans="1:10">
      <c r="A6367" s="33" t="s">
        <v>63</v>
      </c>
      <c r="B6367" s="34">
        <v>289.13799999999998</v>
      </c>
      <c r="C6367" s="35">
        <v>90425.9</v>
      </c>
      <c r="D6367" s="33" t="s">
        <v>240</v>
      </c>
      <c r="E6367" s="34">
        <v>289.238</v>
      </c>
      <c r="F6367" s="36">
        <v>0.100000000000023</v>
      </c>
      <c r="G6367" s="34">
        <v>0.100000000000023</v>
      </c>
      <c r="H6367" s="35">
        <v>678.5</v>
      </c>
      <c r="I6367" s="37">
        <f t="shared" si="99"/>
        <v>7.5033812215305577E-3</v>
      </c>
      <c r="J6367" s="33"/>
    </row>
    <row r="6368" spans="1:10">
      <c r="A6368" s="33" t="s">
        <v>63</v>
      </c>
      <c r="B6368" s="34">
        <v>289.13799999999998</v>
      </c>
      <c r="C6368" s="35">
        <v>90425.9</v>
      </c>
      <c r="D6368" s="33" t="s">
        <v>97</v>
      </c>
      <c r="E6368" s="34">
        <v>289.24799999999999</v>
      </c>
      <c r="F6368" s="36">
        <v>0.110000000000014</v>
      </c>
      <c r="G6368" s="34">
        <v>0.110000000000014</v>
      </c>
      <c r="H6368" s="35">
        <v>3.7</v>
      </c>
      <c r="I6368" s="37">
        <f t="shared" si="99"/>
        <v>4.0917480500608792E-5</v>
      </c>
      <c r="J6368" s="33"/>
    </row>
    <row r="6369" spans="1:10">
      <c r="A6369" s="33" t="s">
        <v>63</v>
      </c>
      <c r="B6369" s="34">
        <v>289.13799999999998</v>
      </c>
      <c r="C6369" s="35">
        <v>90425.9</v>
      </c>
      <c r="D6369" s="33" t="s">
        <v>280</v>
      </c>
      <c r="E6369" s="34">
        <v>289.25099999999998</v>
      </c>
      <c r="F6369" s="36">
        <v>0.113</v>
      </c>
      <c r="G6369" s="34">
        <v>0.113</v>
      </c>
      <c r="H6369" s="35">
        <v>23.8</v>
      </c>
      <c r="I6369" s="37">
        <f t="shared" si="99"/>
        <v>2.631989286255376E-4</v>
      </c>
      <c r="J6369" s="33"/>
    </row>
    <row r="6370" spans="1:10">
      <c r="A6370" s="33" t="s">
        <v>63</v>
      </c>
      <c r="B6370" s="34">
        <v>289.13799999999998</v>
      </c>
      <c r="C6370" s="35">
        <v>90425.9</v>
      </c>
      <c r="D6370" s="33" t="s">
        <v>268</v>
      </c>
      <c r="E6370" s="34">
        <v>289.25599999999997</v>
      </c>
      <c r="F6370" s="36">
        <v>0.117999999999995</v>
      </c>
      <c r="G6370" s="34">
        <v>0.117999999999995</v>
      </c>
      <c r="H6370" s="35">
        <v>55.6</v>
      </c>
      <c r="I6370" s="37">
        <f t="shared" si="99"/>
        <v>6.1486808536049967E-4</v>
      </c>
      <c r="J6370" s="33"/>
    </row>
    <row r="6371" spans="1:10">
      <c r="A6371" s="33" t="s">
        <v>63</v>
      </c>
      <c r="B6371" s="34">
        <v>328.93700000000001</v>
      </c>
      <c r="C6371" s="35">
        <v>765837.9</v>
      </c>
      <c r="D6371" s="33" t="s">
        <v>109</v>
      </c>
      <c r="E6371" s="34">
        <v>328.798</v>
      </c>
      <c r="F6371" s="36">
        <v>0.13900000000001</v>
      </c>
      <c r="G6371" s="34">
        <v>0.13900000000001</v>
      </c>
      <c r="H6371" s="35">
        <v>31.6</v>
      </c>
      <c r="I6371" s="37">
        <f t="shared" si="99"/>
        <v>4.1261995521506577E-5</v>
      </c>
      <c r="J6371" s="33" t="s">
        <v>116</v>
      </c>
    </row>
    <row r="6372" spans="1:10">
      <c r="A6372" s="33" t="s">
        <v>63</v>
      </c>
      <c r="B6372" s="34">
        <v>328.93700000000001</v>
      </c>
      <c r="C6372" s="35">
        <v>765837.9</v>
      </c>
      <c r="D6372" s="33" t="s">
        <v>239</v>
      </c>
      <c r="E6372" s="34">
        <v>328.803</v>
      </c>
      <c r="F6372" s="36">
        <v>0.134000000000015</v>
      </c>
      <c r="G6372" s="34">
        <v>0.134000000000015</v>
      </c>
      <c r="H6372" s="35">
        <v>18.399999999999999</v>
      </c>
      <c r="I6372" s="37">
        <f t="shared" si="99"/>
        <v>2.4025972075813952E-5</v>
      </c>
      <c r="J6372" s="33"/>
    </row>
    <row r="6373" spans="1:10">
      <c r="A6373" s="33" t="s">
        <v>63</v>
      </c>
      <c r="B6373" s="34">
        <v>328.93700000000001</v>
      </c>
      <c r="C6373" s="35">
        <v>765837.9</v>
      </c>
      <c r="D6373" s="33" t="s">
        <v>25</v>
      </c>
      <c r="E6373" s="34">
        <v>328.815</v>
      </c>
      <c r="F6373" s="36">
        <v>0.122000000000014</v>
      </c>
      <c r="G6373" s="34">
        <v>0.122000000000014</v>
      </c>
      <c r="H6373" s="35">
        <v>135.69999999999999</v>
      </c>
      <c r="I6373" s="37">
        <f t="shared" si="99"/>
        <v>1.771915440591279E-4</v>
      </c>
      <c r="J6373" s="33" t="s">
        <v>116</v>
      </c>
    </row>
    <row r="6374" spans="1:10">
      <c r="A6374" s="33" t="s">
        <v>63</v>
      </c>
      <c r="B6374" s="34">
        <v>328.93700000000001</v>
      </c>
      <c r="C6374" s="35">
        <v>765837.9</v>
      </c>
      <c r="D6374" s="33" t="s">
        <v>116</v>
      </c>
      <c r="E6374" s="34">
        <v>328.81900000000002</v>
      </c>
      <c r="F6374" s="36">
        <v>0.117999999999995</v>
      </c>
      <c r="G6374" s="34">
        <v>0.117999999999995</v>
      </c>
      <c r="H6374" s="35">
        <v>71.8</v>
      </c>
      <c r="I6374" s="37">
        <f t="shared" si="99"/>
        <v>9.3753521469752276E-5</v>
      </c>
      <c r="J6374" s="33" t="s">
        <v>116</v>
      </c>
    </row>
    <row r="6375" spans="1:10">
      <c r="A6375" s="33" t="s">
        <v>63</v>
      </c>
      <c r="B6375" s="34">
        <v>328.93700000000001</v>
      </c>
      <c r="C6375" s="35">
        <v>765837.9</v>
      </c>
      <c r="D6375" s="33" t="s">
        <v>277</v>
      </c>
      <c r="E6375" s="34">
        <v>328.82100000000003</v>
      </c>
      <c r="F6375" s="36">
        <v>0.115999999999985</v>
      </c>
      <c r="G6375" s="34">
        <v>0.115999999999985</v>
      </c>
      <c r="H6375" s="35">
        <v>566.6</v>
      </c>
      <c r="I6375" s="37">
        <f t="shared" si="99"/>
        <v>7.3984324881283623E-4</v>
      </c>
      <c r="J6375" s="33"/>
    </row>
    <row r="6376" spans="1:10">
      <c r="A6376" s="33" t="s">
        <v>63</v>
      </c>
      <c r="B6376" s="34">
        <v>328.93700000000001</v>
      </c>
      <c r="C6376" s="35">
        <v>765837.9</v>
      </c>
      <c r="D6376" s="33" t="s">
        <v>278</v>
      </c>
      <c r="E6376" s="34">
        <v>328.83100000000002</v>
      </c>
      <c r="F6376" s="36">
        <v>0.105999999999995</v>
      </c>
      <c r="G6376" s="34">
        <v>0.105999999999995</v>
      </c>
      <c r="H6376" s="35">
        <v>227.2</v>
      </c>
      <c r="I6376" s="37">
        <f t="shared" si="99"/>
        <v>2.9666852476222444E-4</v>
      </c>
      <c r="J6376" s="33"/>
    </row>
    <row r="6377" spans="1:10">
      <c r="A6377" s="33" t="s">
        <v>63</v>
      </c>
      <c r="B6377" s="34">
        <v>328.93700000000001</v>
      </c>
      <c r="C6377" s="35">
        <v>765837.9</v>
      </c>
      <c r="D6377" s="33" t="s">
        <v>94</v>
      </c>
      <c r="E6377" s="34">
        <v>328.846</v>
      </c>
      <c r="F6377" s="36">
        <v>9.1000000000008199E-2</v>
      </c>
      <c r="G6377" s="34">
        <v>9.1000000000008199E-2</v>
      </c>
      <c r="H6377" s="35">
        <v>2307.5</v>
      </c>
      <c r="I6377" s="37">
        <f t="shared" si="99"/>
        <v>3.0130397046163422E-3</v>
      </c>
      <c r="J6377" s="33" t="s">
        <v>116</v>
      </c>
    </row>
    <row r="6378" spans="1:10">
      <c r="A6378" s="33" t="s">
        <v>63</v>
      </c>
      <c r="B6378" s="34">
        <v>328.93700000000001</v>
      </c>
      <c r="C6378" s="35">
        <v>765837.9</v>
      </c>
      <c r="D6378" s="33" t="s">
        <v>237</v>
      </c>
      <c r="E6378" s="34">
        <v>328.858</v>
      </c>
      <c r="F6378" s="36">
        <v>7.9000000000007703E-2</v>
      </c>
      <c r="G6378" s="34">
        <v>7.9000000000007703E-2</v>
      </c>
      <c r="H6378" s="35">
        <v>1072.8</v>
      </c>
      <c r="I6378" s="37">
        <f t="shared" si="99"/>
        <v>1.4008186327681092E-3</v>
      </c>
      <c r="J6378" s="33"/>
    </row>
    <row r="6379" spans="1:10">
      <c r="A6379" s="33" t="s">
        <v>63</v>
      </c>
      <c r="B6379" s="34">
        <v>328.93700000000001</v>
      </c>
      <c r="C6379" s="35">
        <v>765837.9</v>
      </c>
      <c r="D6379" s="33" t="s">
        <v>33</v>
      </c>
      <c r="E6379" s="34">
        <v>328.86200000000002</v>
      </c>
      <c r="F6379" s="36">
        <v>7.4999999999988604E-2</v>
      </c>
      <c r="G6379" s="34">
        <v>7.4999999999988604E-2</v>
      </c>
      <c r="H6379" s="35">
        <v>386.7</v>
      </c>
      <c r="I6379" s="37">
        <f t="shared" si="99"/>
        <v>5.0493714139767699E-4</v>
      </c>
      <c r="J6379" s="33" t="s">
        <v>116</v>
      </c>
    </row>
    <row r="6380" spans="1:10">
      <c r="A6380" s="33" t="s">
        <v>63</v>
      </c>
      <c r="B6380" s="34">
        <v>328.93700000000001</v>
      </c>
      <c r="C6380" s="35">
        <v>765837.9</v>
      </c>
      <c r="D6380" s="33" t="s">
        <v>240</v>
      </c>
      <c r="E6380" s="34">
        <v>328.86399999999998</v>
      </c>
      <c r="F6380" s="36">
        <v>7.3000000000035897E-2</v>
      </c>
      <c r="G6380" s="34">
        <v>7.3000000000035897E-2</v>
      </c>
      <c r="H6380" s="35">
        <v>0.5</v>
      </c>
      <c r="I6380" s="37">
        <f t="shared" si="99"/>
        <v>6.5287967597320527E-7</v>
      </c>
      <c r="J6380" s="33"/>
    </row>
    <row r="6381" spans="1:10">
      <c r="A6381" s="33" t="s">
        <v>63</v>
      </c>
      <c r="B6381" s="34">
        <v>328.93700000000001</v>
      </c>
      <c r="C6381" s="35">
        <v>765837.9</v>
      </c>
      <c r="D6381" s="33" t="s">
        <v>25</v>
      </c>
      <c r="E6381" s="34">
        <v>328.87700000000001</v>
      </c>
      <c r="F6381" s="36">
        <v>6.0000000000002301E-2</v>
      </c>
      <c r="G6381" s="34">
        <v>6.0000000000002301E-2</v>
      </c>
      <c r="H6381" s="35">
        <v>183.5</v>
      </c>
      <c r="I6381" s="37">
        <f t="shared" si="99"/>
        <v>2.3960684108216633E-4</v>
      </c>
      <c r="J6381" s="33" t="s">
        <v>116</v>
      </c>
    </row>
    <row r="6382" spans="1:10">
      <c r="A6382" s="33" t="s">
        <v>63</v>
      </c>
      <c r="B6382" s="34">
        <v>328.93700000000001</v>
      </c>
      <c r="C6382" s="35">
        <v>765837.9</v>
      </c>
      <c r="D6382" s="33" t="s">
        <v>236</v>
      </c>
      <c r="E6382" s="34">
        <v>328.88</v>
      </c>
      <c r="F6382" s="36">
        <v>5.7000000000016399E-2</v>
      </c>
      <c r="G6382" s="34">
        <v>5.7000000000016399E-2</v>
      </c>
      <c r="H6382" s="35">
        <v>2348.5</v>
      </c>
      <c r="I6382" s="37">
        <f t="shared" si="99"/>
        <v>3.0665758380461453E-3</v>
      </c>
      <c r="J6382" s="33"/>
    </row>
    <row r="6383" spans="1:10">
      <c r="A6383" s="33" t="s">
        <v>63</v>
      </c>
      <c r="B6383" s="34">
        <v>328.93700000000001</v>
      </c>
      <c r="C6383" s="35">
        <v>765837.9</v>
      </c>
      <c r="D6383" s="33" t="s">
        <v>284</v>
      </c>
      <c r="E6383" s="34">
        <v>328.88400000000001</v>
      </c>
      <c r="F6383" s="36">
        <v>5.2999999999997299E-2</v>
      </c>
      <c r="G6383" s="34">
        <v>5.2999999999997299E-2</v>
      </c>
      <c r="H6383" s="35">
        <v>1.7</v>
      </c>
      <c r="I6383" s="37">
        <f t="shared" si="99"/>
        <v>2.2197908983088978E-6</v>
      </c>
      <c r="J6383" s="33"/>
    </row>
    <row r="6384" spans="1:10">
      <c r="A6384" s="33" t="s">
        <v>63</v>
      </c>
      <c r="B6384" s="34">
        <v>328.93700000000001</v>
      </c>
      <c r="C6384" s="35">
        <v>765837.9</v>
      </c>
      <c r="D6384" s="33" t="s">
        <v>97</v>
      </c>
      <c r="E6384" s="34">
        <v>328.89699999999999</v>
      </c>
      <c r="F6384" s="36">
        <v>4.0000000000020498E-2</v>
      </c>
      <c r="G6384" s="34">
        <v>4.0000000000020498E-2</v>
      </c>
      <c r="H6384" s="35">
        <v>1.2</v>
      </c>
      <c r="I6384" s="37">
        <f t="shared" si="99"/>
        <v>1.5669112223356925E-6</v>
      </c>
      <c r="J6384" s="33"/>
    </row>
    <row r="6385" spans="1:10">
      <c r="A6385" s="33" t="s">
        <v>63</v>
      </c>
      <c r="B6385" s="34">
        <v>328.93700000000001</v>
      </c>
      <c r="C6385" s="35">
        <v>765837.9</v>
      </c>
      <c r="D6385" s="33" t="s">
        <v>278</v>
      </c>
      <c r="E6385" s="34">
        <v>328.899</v>
      </c>
      <c r="F6385" s="36">
        <v>3.80000000000109E-2</v>
      </c>
      <c r="G6385" s="34">
        <v>3.80000000000109E-2</v>
      </c>
      <c r="H6385" s="35">
        <v>83.8</v>
      </c>
      <c r="I6385" s="37">
        <f t="shared" si="99"/>
        <v>1.094226336931092E-4</v>
      </c>
      <c r="J6385" s="33"/>
    </row>
    <row r="6386" spans="1:10">
      <c r="A6386" s="33" t="s">
        <v>63</v>
      </c>
      <c r="B6386" s="34">
        <v>328.93700000000001</v>
      </c>
      <c r="C6386" s="35">
        <v>765837.9</v>
      </c>
      <c r="D6386" s="33" t="s">
        <v>275</v>
      </c>
      <c r="E6386" s="34">
        <v>328.90100000000001</v>
      </c>
      <c r="F6386" s="36">
        <v>3.6000000000001399E-2</v>
      </c>
      <c r="G6386" s="34">
        <v>3.6000000000001399E-2</v>
      </c>
      <c r="H6386" s="35">
        <v>283.60000000000002</v>
      </c>
      <c r="I6386" s="37">
        <f t="shared" si="99"/>
        <v>3.7031335221200207E-4</v>
      </c>
      <c r="J6386" s="33"/>
    </row>
    <row r="6387" spans="1:10">
      <c r="A6387" s="33" t="s">
        <v>63</v>
      </c>
      <c r="B6387" s="34">
        <v>328.93700000000001</v>
      </c>
      <c r="C6387" s="35">
        <v>765837.9</v>
      </c>
      <c r="D6387" s="33" t="s">
        <v>282</v>
      </c>
      <c r="E6387" s="34">
        <v>328.91399999999999</v>
      </c>
      <c r="F6387" s="36">
        <v>2.3000000000024601E-2</v>
      </c>
      <c r="G6387" s="34">
        <v>2.3000000000024601E-2</v>
      </c>
      <c r="H6387" s="35">
        <v>111.4</v>
      </c>
      <c r="I6387" s="37">
        <f t="shared" si="99"/>
        <v>1.4546159180683015E-4</v>
      </c>
      <c r="J6387" s="33"/>
    </row>
    <row r="6388" spans="1:10">
      <c r="A6388" s="33" t="s">
        <v>63</v>
      </c>
      <c r="B6388" s="34">
        <v>328.93700000000001</v>
      </c>
      <c r="C6388" s="35">
        <v>765837.9</v>
      </c>
      <c r="D6388" s="33" t="s">
        <v>25</v>
      </c>
      <c r="E6388" s="34">
        <v>328.928</v>
      </c>
      <c r="F6388" s="36">
        <v>9.0000000000145502E-3</v>
      </c>
      <c r="G6388" s="34">
        <v>9.0000000000145502E-3</v>
      </c>
      <c r="H6388" s="35">
        <v>54.1</v>
      </c>
      <c r="I6388" s="37">
        <f t="shared" si="99"/>
        <v>7.0641580940300819E-5</v>
      </c>
      <c r="J6388" s="33" t="s">
        <v>116</v>
      </c>
    </row>
    <row r="6389" spans="1:10">
      <c r="A6389" s="33" t="s">
        <v>63</v>
      </c>
      <c r="B6389" s="34">
        <v>328.93700000000001</v>
      </c>
      <c r="C6389" s="35">
        <v>765837.9</v>
      </c>
      <c r="D6389" s="33" t="s">
        <v>277</v>
      </c>
      <c r="E6389" s="34">
        <v>328.93099999999998</v>
      </c>
      <c r="F6389" s="36">
        <v>6.00000000002865E-3</v>
      </c>
      <c r="G6389" s="34">
        <v>6.00000000002865E-3</v>
      </c>
      <c r="H6389" s="35">
        <v>119.3</v>
      </c>
      <c r="I6389" s="37">
        <f t="shared" si="99"/>
        <v>1.5577709068720678E-4</v>
      </c>
      <c r="J6389" s="33"/>
    </row>
    <row r="6390" spans="1:10">
      <c r="A6390" s="33" t="s">
        <v>63</v>
      </c>
      <c r="B6390" s="34">
        <v>328.93700000000001</v>
      </c>
      <c r="C6390" s="35">
        <v>765837.9</v>
      </c>
      <c r="D6390" s="33" t="s">
        <v>97</v>
      </c>
      <c r="E6390" s="34">
        <v>328.935</v>
      </c>
      <c r="F6390" s="36">
        <v>2.0000000000095501E-3</v>
      </c>
      <c r="G6390" s="34">
        <v>2.0000000000095501E-3</v>
      </c>
      <c r="H6390" s="35">
        <v>4.2</v>
      </c>
      <c r="I6390" s="37">
        <f t="shared" si="99"/>
        <v>5.4841892781749244E-6</v>
      </c>
      <c r="J6390" s="33"/>
    </row>
    <row r="6391" spans="1:10">
      <c r="A6391" s="33" t="s">
        <v>63</v>
      </c>
      <c r="B6391" s="34">
        <v>328.93700000000001</v>
      </c>
      <c r="C6391" s="35">
        <v>765837.9</v>
      </c>
      <c r="D6391" s="33" t="s">
        <v>278</v>
      </c>
      <c r="E6391" s="34">
        <v>328.93799999999999</v>
      </c>
      <c r="F6391" s="36">
        <v>9.9999999997635292E-4</v>
      </c>
      <c r="G6391" s="34">
        <v>9.9999999997635292E-4</v>
      </c>
      <c r="H6391" s="35">
        <v>1613.3</v>
      </c>
      <c r="I6391" s="37">
        <f t="shared" si="99"/>
        <v>2.1065815624951439E-3</v>
      </c>
      <c r="J6391" s="33"/>
    </row>
    <row r="6392" spans="1:10">
      <c r="A6392" s="33" t="s">
        <v>63</v>
      </c>
      <c r="B6392" s="34">
        <v>328.93700000000001</v>
      </c>
      <c r="C6392" s="35">
        <v>765837.9</v>
      </c>
      <c r="D6392" s="33" t="s">
        <v>282</v>
      </c>
      <c r="E6392" s="34">
        <v>328.96300000000002</v>
      </c>
      <c r="F6392" s="36">
        <v>2.6000000000010501E-2</v>
      </c>
      <c r="G6392" s="34">
        <v>2.6000000000010501E-2</v>
      </c>
      <c r="H6392" s="35">
        <v>26.3</v>
      </c>
      <c r="I6392" s="37">
        <f t="shared" si="99"/>
        <v>3.4341470956190599E-5</v>
      </c>
      <c r="J6392" s="33"/>
    </row>
    <row r="6393" spans="1:10">
      <c r="A6393" s="33" t="s">
        <v>63</v>
      </c>
      <c r="B6393" s="34">
        <v>328.93700000000001</v>
      </c>
      <c r="C6393" s="35">
        <v>765837.9</v>
      </c>
      <c r="D6393" s="33" t="s">
        <v>269</v>
      </c>
      <c r="E6393" s="34">
        <v>328.97399999999999</v>
      </c>
      <c r="F6393" s="36">
        <v>3.6999999999977697E-2</v>
      </c>
      <c r="G6393" s="34">
        <v>3.6999999999977697E-2</v>
      </c>
      <c r="H6393" s="35">
        <v>65.900000000000006</v>
      </c>
      <c r="I6393" s="37">
        <f t="shared" si="99"/>
        <v>8.6049541293268457E-5</v>
      </c>
      <c r="J6393" s="33"/>
    </row>
    <row r="6394" spans="1:10">
      <c r="A6394" s="33" t="s">
        <v>63</v>
      </c>
      <c r="B6394" s="34">
        <v>328.93700000000001</v>
      </c>
      <c r="C6394" s="35">
        <v>765837.9</v>
      </c>
      <c r="D6394" s="33" t="s">
        <v>275</v>
      </c>
      <c r="E6394" s="34">
        <v>328.98399999999998</v>
      </c>
      <c r="F6394" s="36">
        <v>4.6999999999968602E-2</v>
      </c>
      <c r="G6394" s="34">
        <v>4.6999999999968602E-2</v>
      </c>
      <c r="H6394" s="35">
        <v>27.2</v>
      </c>
      <c r="I6394" s="37">
        <f t="shared" si="99"/>
        <v>3.5516654372942365E-5</v>
      </c>
      <c r="J6394" s="33"/>
    </row>
    <row r="6395" spans="1:10">
      <c r="A6395" s="33" t="s">
        <v>63</v>
      </c>
      <c r="B6395" s="34">
        <v>328.93700000000001</v>
      </c>
      <c r="C6395" s="35">
        <v>765837.9</v>
      </c>
      <c r="D6395" s="33" t="s">
        <v>274</v>
      </c>
      <c r="E6395" s="34">
        <v>329.00700000000001</v>
      </c>
      <c r="F6395" s="36">
        <v>6.9999999999993207E-2</v>
      </c>
      <c r="G6395" s="34">
        <v>6.9999999999993207E-2</v>
      </c>
      <c r="H6395" s="35">
        <v>2.5</v>
      </c>
      <c r="I6395" s="37">
        <f t="shared" si="99"/>
        <v>3.2643983798660266E-6</v>
      </c>
      <c r="J6395" s="33"/>
    </row>
    <row r="6396" spans="1:10">
      <c r="A6396" s="33" t="s">
        <v>63</v>
      </c>
      <c r="B6396" s="34">
        <v>328.93700000000001</v>
      </c>
      <c r="C6396" s="35">
        <v>765837.9</v>
      </c>
      <c r="D6396" s="33" t="s">
        <v>271</v>
      </c>
      <c r="E6396" s="34">
        <v>329.01299999999998</v>
      </c>
      <c r="F6396" s="36">
        <v>7.5999999999964998E-2</v>
      </c>
      <c r="G6396" s="34">
        <v>7.5999999999964998E-2</v>
      </c>
      <c r="H6396" s="35">
        <v>612.79999999999995</v>
      </c>
      <c r="I6396" s="37">
        <f t="shared" si="99"/>
        <v>8.0016933087276028E-4</v>
      </c>
      <c r="J6396" s="33"/>
    </row>
    <row r="6397" spans="1:10">
      <c r="A6397" s="33" t="s">
        <v>63</v>
      </c>
      <c r="B6397" s="34">
        <v>328.93700000000001</v>
      </c>
      <c r="C6397" s="35">
        <v>765837.9</v>
      </c>
      <c r="D6397" s="33" t="s">
        <v>294</v>
      </c>
      <c r="E6397" s="34">
        <v>329.02199999999999</v>
      </c>
      <c r="F6397" s="36">
        <v>8.4999999999979495E-2</v>
      </c>
      <c r="G6397" s="34">
        <v>8.4999999999979495E-2</v>
      </c>
      <c r="H6397" s="35">
        <v>39.1</v>
      </c>
      <c r="I6397" s="37">
        <f t="shared" si="99"/>
        <v>5.1055190661104653E-5</v>
      </c>
      <c r="J6397" s="33"/>
    </row>
    <row r="6398" spans="1:10">
      <c r="A6398" s="33" t="s">
        <v>63</v>
      </c>
      <c r="B6398" s="34">
        <v>328.93700000000001</v>
      </c>
      <c r="C6398" s="35">
        <v>765837.9</v>
      </c>
      <c r="D6398" s="33" t="s">
        <v>278</v>
      </c>
      <c r="E6398" s="34">
        <v>329.024</v>
      </c>
      <c r="F6398" s="36">
        <v>8.69999999999891E-2</v>
      </c>
      <c r="G6398" s="34">
        <v>8.69999999999891E-2</v>
      </c>
      <c r="H6398" s="35">
        <v>303.3</v>
      </c>
      <c r="I6398" s="37">
        <f t="shared" si="99"/>
        <v>3.9603681144534636E-4</v>
      </c>
      <c r="J6398" s="33"/>
    </row>
    <row r="6399" spans="1:10">
      <c r="A6399" s="33" t="s">
        <v>63</v>
      </c>
      <c r="B6399" s="34">
        <v>328.93700000000001</v>
      </c>
      <c r="C6399" s="35">
        <v>765837.9</v>
      </c>
      <c r="D6399" s="33" t="s">
        <v>284</v>
      </c>
      <c r="E6399" s="34">
        <v>329.02600000000001</v>
      </c>
      <c r="F6399" s="36">
        <v>8.8999999999998594E-2</v>
      </c>
      <c r="G6399" s="34">
        <v>8.8999999999998594E-2</v>
      </c>
      <c r="H6399" s="35">
        <v>3</v>
      </c>
      <c r="I6399" s="37">
        <f t="shared" si="99"/>
        <v>3.9172780558392321E-6</v>
      </c>
      <c r="J6399" s="33"/>
    </row>
    <row r="6400" spans="1:10">
      <c r="A6400" s="33" t="s">
        <v>63</v>
      </c>
      <c r="B6400" s="34">
        <v>328.93700000000001</v>
      </c>
      <c r="C6400" s="35">
        <v>765837.9</v>
      </c>
      <c r="D6400" s="33" t="s">
        <v>25</v>
      </c>
      <c r="E6400" s="34">
        <v>329.03399999999999</v>
      </c>
      <c r="F6400" s="36">
        <v>9.6999999999980005E-2</v>
      </c>
      <c r="G6400" s="34">
        <v>9.6999999999980005E-2</v>
      </c>
      <c r="H6400" s="35">
        <v>288</v>
      </c>
      <c r="I6400" s="37">
        <f t="shared" si="99"/>
        <v>3.7605869336056625E-4</v>
      </c>
      <c r="J6400" s="33" t="s">
        <v>116</v>
      </c>
    </row>
    <row r="6401" spans="1:10">
      <c r="A6401" s="33" t="s">
        <v>63</v>
      </c>
      <c r="B6401" s="34">
        <v>328.93700000000001</v>
      </c>
      <c r="C6401" s="35">
        <v>765837.9</v>
      </c>
      <c r="D6401" s="33" t="s">
        <v>270</v>
      </c>
      <c r="E6401" s="34">
        <v>329.03899999999999</v>
      </c>
      <c r="F6401" s="36">
        <v>0.101999999999975</v>
      </c>
      <c r="G6401" s="34">
        <v>0.101999999999975</v>
      </c>
      <c r="H6401" s="35">
        <v>1697.6</v>
      </c>
      <c r="I6401" s="37">
        <f t="shared" si="99"/>
        <v>2.2166570758642263E-3</v>
      </c>
      <c r="J6401" s="33"/>
    </row>
    <row r="6402" spans="1:10">
      <c r="A6402" s="33" t="s">
        <v>63</v>
      </c>
      <c r="B6402" s="34">
        <v>328.93700000000001</v>
      </c>
      <c r="C6402" s="35">
        <v>765837.9</v>
      </c>
      <c r="D6402" s="33" t="s">
        <v>277</v>
      </c>
      <c r="E6402" s="34">
        <v>329.04700000000003</v>
      </c>
      <c r="F6402" s="36">
        <v>0.110000000000014</v>
      </c>
      <c r="G6402" s="34">
        <v>0.110000000000014</v>
      </c>
      <c r="H6402" s="35">
        <v>129.6</v>
      </c>
      <c r="I6402" s="37">
        <f t="shared" ref="I6402:I6465" si="100">H6402/C6402</f>
        <v>1.6922641201225479E-4</v>
      </c>
      <c r="J6402" s="33"/>
    </row>
    <row r="6403" spans="1:10">
      <c r="A6403" s="33" t="s">
        <v>63</v>
      </c>
      <c r="B6403" s="34">
        <v>328.93700000000001</v>
      </c>
      <c r="C6403" s="35">
        <v>765837.9</v>
      </c>
      <c r="D6403" s="33" t="s">
        <v>165</v>
      </c>
      <c r="E6403" s="34">
        <v>329.053</v>
      </c>
      <c r="F6403" s="36">
        <v>0.115999999999985</v>
      </c>
      <c r="G6403" s="34">
        <v>0.115999999999985</v>
      </c>
      <c r="H6403" s="35">
        <v>2.8</v>
      </c>
      <c r="I6403" s="37">
        <f t="shared" si="100"/>
        <v>3.6561261854499494E-6</v>
      </c>
      <c r="J6403" s="33"/>
    </row>
    <row r="6404" spans="1:10">
      <c r="A6404" s="33" t="s">
        <v>63</v>
      </c>
      <c r="B6404" s="34">
        <v>328.93700000000001</v>
      </c>
      <c r="C6404" s="35">
        <v>765837.9</v>
      </c>
      <c r="D6404" s="33" t="s">
        <v>286</v>
      </c>
      <c r="E6404" s="34">
        <v>329.05399999999997</v>
      </c>
      <c r="F6404" s="36">
        <v>0.116999999999962</v>
      </c>
      <c r="G6404" s="34">
        <v>0.116999999999962</v>
      </c>
      <c r="H6404" s="35">
        <v>57.1</v>
      </c>
      <c r="I6404" s="37">
        <f t="shared" si="100"/>
        <v>7.4558858996140047E-5</v>
      </c>
      <c r="J6404" s="33"/>
    </row>
    <row r="6405" spans="1:10">
      <c r="A6405" s="33" t="s">
        <v>63</v>
      </c>
      <c r="B6405" s="34">
        <v>328.93700000000001</v>
      </c>
      <c r="C6405" s="35">
        <v>765837.9</v>
      </c>
      <c r="D6405" s="33" t="s">
        <v>25</v>
      </c>
      <c r="E6405" s="34">
        <v>329.05799999999999</v>
      </c>
      <c r="F6405" s="36">
        <v>0.120999999999981</v>
      </c>
      <c r="G6405" s="34">
        <v>0.120999999999981</v>
      </c>
      <c r="H6405" s="35">
        <v>203.3</v>
      </c>
      <c r="I6405" s="37">
        <f t="shared" si="100"/>
        <v>2.6546087625070526E-4</v>
      </c>
      <c r="J6405" s="33" t="s">
        <v>116</v>
      </c>
    </row>
    <row r="6406" spans="1:10">
      <c r="A6406" s="33" t="s">
        <v>63</v>
      </c>
      <c r="B6406" s="34">
        <v>328.93700000000001</v>
      </c>
      <c r="C6406" s="35">
        <v>765837.9</v>
      </c>
      <c r="D6406" s="33" t="s">
        <v>270</v>
      </c>
      <c r="E6406" s="34">
        <v>329.065</v>
      </c>
      <c r="F6406" s="36">
        <v>0.12799999999998601</v>
      </c>
      <c r="G6406" s="34">
        <v>0.12799999999998601</v>
      </c>
      <c r="H6406" s="35">
        <v>956.3</v>
      </c>
      <c r="I6406" s="37">
        <f t="shared" si="100"/>
        <v>1.2486976682663524E-3</v>
      </c>
      <c r="J6406" s="33"/>
    </row>
    <row r="6407" spans="1:10">
      <c r="A6407" s="33" t="s">
        <v>63</v>
      </c>
      <c r="B6407" s="34">
        <v>328.93700000000001</v>
      </c>
      <c r="C6407" s="35">
        <v>765837.9</v>
      </c>
      <c r="D6407" s="33" t="s">
        <v>27</v>
      </c>
      <c r="E6407" s="34">
        <v>329.065</v>
      </c>
      <c r="F6407" s="36">
        <v>0.12799999999998601</v>
      </c>
      <c r="G6407" s="34">
        <v>0.12799999999998601</v>
      </c>
      <c r="H6407" s="35">
        <v>331.9</v>
      </c>
      <c r="I6407" s="37">
        <f t="shared" si="100"/>
        <v>4.3338152891101361E-4</v>
      </c>
      <c r="J6407" s="33" t="s">
        <v>116</v>
      </c>
    </row>
    <row r="6408" spans="1:10">
      <c r="A6408" s="33" t="s">
        <v>63</v>
      </c>
      <c r="B6408" s="34">
        <v>328.93700000000001</v>
      </c>
      <c r="C6408" s="35">
        <v>765837.9</v>
      </c>
      <c r="D6408" s="33" t="s">
        <v>275</v>
      </c>
      <c r="E6408" s="34">
        <v>329.08199999999999</v>
      </c>
      <c r="F6408" s="36">
        <v>0.144999999999982</v>
      </c>
      <c r="G6408" s="34">
        <v>0.144999999999982</v>
      </c>
      <c r="H6408" s="35">
        <v>371.9</v>
      </c>
      <c r="I6408" s="37">
        <f t="shared" si="100"/>
        <v>4.8561190298887003E-4</v>
      </c>
      <c r="J6408" s="33"/>
    </row>
    <row r="6409" spans="1:10">
      <c r="A6409" s="33" t="s">
        <v>63</v>
      </c>
      <c r="B6409" s="34">
        <v>328.93700000000001</v>
      </c>
      <c r="C6409" s="35">
        <v>765837.9</v>
      </c>
      <c r="D6409" s="33" t="s">
        <v>240</v>
      </c>
      <c r="E6409" s="34">
        <v>329.096</v>
      </c>
      <c r="F6409" s="36">
        <v>0.15899999999999201</v>
      </c>
      <c r="G6409" s="34">
        <v>0.15899999999999201</v>
      </c>
      <c r="H6409" s="35">
        <v>1.4</v>
      </c>
      <c r="I6409" s="37">
        <f t="shared" si="100"/>
        <v>1.8280630927249747E-6</v>
      </c>
      <c r="J6409" s="33"/>
    </row>
    <row r="6410" spans="1:10">
      <c r="A6410" s="33" t="s">
        <v>63</v>
      </c>
      <c r="B6410" s="34">
        <v>328.93700000000001</v>
      </c>
      <c r="C6410" s="35">
        <v>765837.9</v>
      </c>
      <c r="D6410" s="33" t="s">
        <v>94</v>
      </c>
      <c r="E6410" s="34">
        <v>329.096</v>
      </c>
      <c r="F6410" s="36">
        <v>0.15899999999999201</v>
      </c>
      <c r="G6410" s="34">
        <v>0.15899999999999201</v>
      </c>
      <c r="H6410" s="35">
        <v>1447.9</v>
      </c>
      <c r="I6410" s="37">
        <f t="shared" si="100"/>
        <v>1.8906089656832079E-3</v>
      </c>
      <c r="J6410" s="33" t="s">
        <v>116</v>
      </c>
    </row>
    <row r="6411" spans="1:10">
      <c r="A6411" s="33" t="s">
        <v>63</v>
      </c>
      <c r="B6411" s="34">
        <v>369.41899999999998</v>
      </c>
      <c r="C6411" s="35">
        <v>420567.9</v>
      </c>
      <c r="D6411" s="33" t="s">
        <v>270</v>
      </c>
      <c r="E6411" s="34">
        <v>369.27800000000002</v>
      </c>
      <c r="F6411" s="36">
        <v>0.14099999999996299</v>
      </c>
      <c r="G6411" s="34">
        <v>0.14099999999996299</v>
      </c>
      <c r="H6411" s="35">
        <v>517.29999999999995</v>
      </c>
      <c r="I6411" s="37">
        <f t="shared" si="100"/>
        <v>1.2300035261844757E-3</v>
      </c>
      <c r="J6411" s="33"/>
    </row>
    <row r="6412" spans="1:10">
      <c r="A6412" s="33" t="s">
        <v>63</v>
      </c>
      <c r="B6412" s="34">
        <v>369.41899999999998</v>
      </c>
      <c r="C6412" s="35">
        <v>420567.9</v>
      </c>
      <c r="D6412" s="33" t="s">
        <v>277</v>
      </c>
      <c r="E6412" s="34">
        <v>369.291</v>
      </c>
      <c r="F6412" s="36">
        <v>0.12799999999998601</v>
      </c>
      <c r="G6412" s="34">
        <v>0.12799999999998601</v>
      </c>
      <c r="H6412" s="35">
        <v>125.9</v>
      </c>
      <c r="I6412" s="37">
        <f t="shared" si="100"/>
        <v>2.9935713115527836E-4</v>
      </c>
      <c r="J6412" s="33"/>
    </row>
    <row r="6413" spans="1:10">
      <c r="A6413" s="33" t="s">
        <v>63</v>
      </c>
      <c r="B6413" s="34">
        <v>369.41899999999998</v>
      </c>
      <c r="C6413" s="35">
        <v>420567.9</v>
      </c>
      <c r="D6413" s="33" t="s">
        <v>36</v>
      </c>
      <c r="E6413" s="34">
        <v>369.29500000000002</v>
      </c>
      <c r="F6413" s="36">
        <v>0.123999999999967</v>
      </c>
      <c r="G6413" s="34">
        <v>0.123999999999967</v>
      </c>
      <c r="H6413" s="35">
        <v>20.6</v>
      </c>
      <c r="I6413" s="37">
        <f t="shared" si="100"/>
        <v>4.8981389212063021E-5</v>
      </c>
      <c r="J6413" s="33" t="s">
        <v>116</v>
      </c>
    </row>
    <row r="6414" spans="1:10">
      <c r="A6414" s="33" t="s">
        <v>63</v>
      </c>
      <c r="B6414" s="34">
        <v>369.41899999999998</v>
      </c>
      <c r="C6414" s="35">
        <v>420567.9</v>
      </c>
      <c r="D6414" s="33" t="s">
        <v>201</v>
      </c>
      <c r="E6414" s="34">
        <v>369.29500000000002</v>
      </c>
      <c r="F6414" s="36">
        <v>0.123999999999967</v>
      </c>
      <c r="G6414" s="34">
        <v>0.123999999999967</v>
      </c>
      <c r="H6414" s="35">
        <v>939.9</v>
      </c>
      <c r="I6414" s="37">
        <f t="shared" si="100"/>
        <v>2.2348353262338851E-3</v>
      </c>
      <c r="J6414" s="33"/>
    </row>
    <row r="6415" spans="1:10">
      <c r="A6415" s="33" t="s">
        <v>63</v>
      </c>
      <c r="B6415" s="34">
        <v>369.41899999999998</v>
      </c>
      <c r="C6415" s="35">
        <v>420567.9</v>
      </c>
      <c r="D6415" s="33" t="s">
        <v>97</v>
      </c>
      <c r="E6415" s="34">
        <v>369.30399999999997</v>
      </c>
      <c r="F6415" s="36">
        <v>0.115000000000009</v>
      </c>
      <c r="G6415" s="34">
        <v>0.115000000000009</v>
      </c>
      <c r="H6415" s="35">
        <v>1.7</v>
      </c>
      <c r="I6415" s="37">
        <f t="shared" si="100"/>
        <v>4.0421534786653944E-6</v>
      </c>
      <c r="J6415" s="33"/>
    </row>
    <row r="6416" spans="1:10">
      <c r="A6416" s="33" t="s">
        <v>63</v>
      </c>
      <c r="B6416" s="34">
        <v>369.41899999999998</v>
      </c>
      <c r="C6416" s="35">
        <v>420567.9</v>
      </c>
      <c r="D6416" s="33" t="s">
        <v>193</v>
      </c>
      <c r="E6416" s="34">
        <v>369.30500000000001</v>
      </c>
      <c r="F6416" s="36">
        <v>0.113999999999976</v>
      </c>
      <c r="G6416" s="34">
        <v>0.113999999999976</v>
      </c>
      <c r="H6416" s="35">
        <v>6.9</v>
      </c>
      <c r="I6416" s="37">
        <f t="shared" si="100"/>
        <v>1.6406387648700722E-5</v>
      </c>
      <c r="J6416" s="33"/>
    </row>
    <row r="6417" spans="1:10">
      <c r="A6417" s="33" t="s">
        <v>63</v>
      </c>
      <c r="B6417" s="34">
        <v>369.41899999999998</v>
      </c>
      <c r="C6417" s="35">
        <v>420567.9</v>
      </c>
      <c r="D6417" s="33" t="s">
        <v>54</v>
      </c>
      <c r="E6417" s="34">
        <v>369.31</v>
      </c>
      <c r="F6417" s="36">
        <v>0.10899999999998</v>
      </c>
      <c r="G6417" s="34">
        <v>0.10899999999998</v>
      </c>
      <c r="H6417" s="35">
        <v>29.9</v>
      </c>
      <c r="I6417" s="37">
        <f t="shared" si="100"/>
        <v>7.1094346477703117E-5</v>
      </c>
      <c r="J6417" s="33"/>
    </row>
    <row r="6418" spans="1:10">
      <c r="A6418" s="33" t="s">
        <v>63</v>
      </c>
      <c r="B6418" s="34">
        <v>369.41899999999998</v>
      </c>
      <c r="C6418" s="35">
        <v>420567.9</v>
      </c>
      <c r="D6418" s="33" t="s">
        <v>273</v>
      </c>
      <c r="E6418" s="34">
        <v>369.33600000000001</v>
      </c>
      <c r="F6418" s="36">
        <v>8.2999999999970001E-2</v>
      </c>
      <c r="G6418" s="34">
        <v>8.2999999999970001E-2</v>
      </c>
      <c r="H6418" s="35">
        <v>30.8</v>
      </c>
      <c r="I6418" s="37">
        <f t="shared" si="100"/>
        <v>7.3234310084055394E-5</v>
      </c>
      <c r="J6418" s="33"/>
    </row>
    <row r="6419" spans="1:10">
      <c r="A6419" s="33" t="s">
        <v>63</v>
      </c>
      <c r="B6419" s="34">
        <v>369.41899999999998</v>
      </c>
      <c r="C6419" s="35">
        <v>420567.9</v>
      </c>
      <c r="D6419" s="33" t="s">
        <v>25</v>
      </c>
      <c r="E6419" s="34">
        <v>369.34399999999999</v>
      </c>
      <c r="F6419" s="36">
        <v>7.4999999999988604E-2</v>
      </c>
      <c r="G6419" s="34">
        <v>7.4999999999988604E-2</v>
      </c>
      <c r="H6419" s="35">
        <v>346</v>
      </c>
      <c r="I6419" s="37">
        <f t="shared" si="100"/>
        <v>8.2269711977542737E-4</v>
      </c>
      <c r="J6419" s="33" t="s">
        <v>116</v>
      </c>
    </row>
    <row r="6420" spans="1:10">
      <c r="A6420" s="33" t="s">
        <v>63</v>
      </c>
      <c r="B6420" s="34">
        <v>369.41899999999998</v>
      </c>
      <c r="C6420" s="35">
        <v>420567.9</v>
      </c>
      <c r="D6420" s="33" t="s">
        <v>54</v>
      </c>
      <c r="E6420" s="34">
        <v>369.34699999999998</v>
      </c>
      <c r="F6420" s="36">
        <v>7.2000000000002701E-2</v>
      </c>
      <c r="G6420" s="34">
        <v>7.2000000000002701E-2</v>
      </c>
      <c r="H6420" s="35">
        <v>36.799999999999997</v>
      </c>
      <c r="I6420" s="37">
        <f t="shared" si="100"/>
        <v>8.7500734126403832E-5</v>
      </c>
      <c r="J6420" s="33"/>
    </row>
    <row r="6421" spans="1:10">
      <c r="A6421" s="33" t="s">
        <v>63</v>
      </c>
      <c r="B6421" s="34">
        <v>369.41899999999998</v>
      </c>
      <c r="C6421" s="35">
        <v>420567.9</v>
      </c>
      <c r="D6421" s="33" t="s">
        <v>201</v>
      </c>
      <c r="E6421" s="34">
        <v>369.358</v>
      </c>
      <c r="F6421" s="36">
        <v>6.0999999999978599E-2</v>
      </c>
      <c r="G6421" s="34">
        <v>6.0999999999978599E-2</v>
      </c>
      <c r="H6421" s="35">
        <v>148.80000000000001</v>
      </c>
      <c r="I6421" s="37">
        <f t="shared" si="100"/>
        <v>3.5380731625024163E-4</v>
      </c>
      <c r="J6421" s="33"/>
    </row>
    <row r="6422" spans="1:10">
      <c r="A6422" s="33" t="s">
        <v>63</v>
      </c>
      <c r="B6422" s="34">
        <v>369.41899999999998</v>
      </c>
      <c r="C6422" s="35">
        <v>420567.9</v>
      </c>
      <c r="D6422" s="33" t="s">
        <v>240</v>
      </c>
      <c r="E6422" s="34">
        <v>369.36700000000002</v>
      </c>
      <c r="F6422" s="36">
        <v>5.1999999999964103E-2</v>
      </c>
      <c r="G6422" s="34">
        <v>5.1999999999964103E-2</v>
      </c>
      <c r="H6422" s="35">
        <v>70.099999999999994</v>
      </c>
      <c r="I6422" s="37">
        <f t="shared" si="100"/>
        <v>1.6667938756143773E-4</v>
      </c>
      <c r="J6422" s="33"/>
    </row>
    <row r="6423" spans="1:10">
      <c r="A6423" s="33" t="s">
        <v>63</v>
      </c>
      <c r="B6423" s="34">
        <v>369.41899999999998</v>
      </c>
      <c r="C6423" s="35">
        <v>420567.9</v>
      </c>
      <c r="D6423" s="33" t="s">
        <v>277</v>
      </c>
      <c r="E6423" s="34">
        <v>369.37</v>
      </c>
      <c r="F6423" s="36">
        <v>4.89999999999782E-2</v>
      </c>
      <c r="G6423" s="34">
        <v>4.89999999999782E-2</v>
      </c>
      <c r="H6423" s="35">
        <v>303.89999999999998</v>
      </c>
      <c r="I6423" s="37">
        <f t="shared" si="100"/>
        <v>7.2259437774494905E-4</v>
      </c>
      <c r="J6423" s="33"/>
    </row>
    <row r="6424" spans="1:10">
      <c r="A6424" s="33" t="s">
        <v>63</v>
      </c>
      <c r="B6424" s="34">
        <v>369.41899999999998</v>
      </c>
      <c r="C6424" s="35">
        <v>420567.9</v>
      </c>
      <c r="D6424" s="33" t="s">
        <v>25</v>
      </c>
      <c r="E6424" s="34">
        <v>369.37099999999998</v>
      </c>
      <c r="F6424" s="36">
        <v>4.8000000000001798E-2</v>
      </c>
      <c r="G6424" s="34">
        <v>4.8000000000001798E-2</v>
      </c>
      <c r="H6424" s="35">
        <v>202.8</v>
      </c>
      <c r="I6424" s="37">
        <f t="shared" si="100"/>
        <v>4.822051326313777E-4</v>
      </c>
      <c r="J6424" s="33" t="s">
        <v>116</v>
      </c>
    </row>
    <row r="6425" spans="1:10">
      <c r="A6425" s="33" t="s">
        <v>63</v>
      </c>
      <c r="B6425" s="34">
        <v>369.41899999999998</v>
      </c>
      <c r="C6425" s="35">
        <v>420567.9</v>
      </c>
      <c r="D6425" s="33" t="s">
        <v>271</v>
      </c>
      <c r="E6425" s="34">
        <v>369.39</v>
      </c>
      <c r="F6425" s="36">
        <v>2.89999999999964E-2</v>
      </c>
      <c r="G6425" s="34">
        <v>2.89999999999964E-2</v>
      </c>
      <c r="H6425" s="35">
        <v>806</v>
      </c>
      <c r="I6425" s="37">
        <f t="shared" si="100"/>
        <v>1.9164562963554755E-3</v>
      </c>
      <c r="J6425" s="33"/>
    </row>
    <row r="6426" spans="1:10">
      <c r="A6426" s="33" t="s">
        <v>63</v>
      </c>
      <c r="B6426" s="34">
        <v>369.41899999999998</v>
      </c>
      <c r="C6426" s="35">
        <v>420567.9</v>
      </c>
      <c r="D6426" s="33" t="s">
        <v>165</v>
      </c>
      <c r="E6426" s="34">
        <v>369.39299999999997</v>
      </c>
      <c r="F6426" s="36">
        <v>2.6000000000010501E-2</v>
      </c>
      <c r="G6426" s="34">
        <v>2.6000000000010501E-2</v>
      </c>
      <c r="H6426" s="35">
        <v>9.1999999999999993</v>
      </c>
      <c r="I6426" s="37">
        <f t="shared" si="100"/>
        <v>2.1875183531600958E-5</v>
      </c>
      <c r="J6426" s="33"/>
    </row>
    <row r="6427" spans="1:10">
      <c r="A6427" s="33" t="s">
        <v>63</v>
      </c>
      <c r="B6427" s="34">
        <v>369.41899999999998</v>
      </c>
      <c r="C6427" s="35">
        <v>420567.9</v>
      </c>
      <c r="D6427" s="33" t="s">
        <v>270</v>
      </c>
      <c r="E6427" s="34">
        <v>369.399</v>
      </c>
      <c r="F6427" s="36">
        <v>1.99999999999818E-2</v>
      </c>
      <c r="G6427" s="34">
        <v>1.99999999999818E-2</v>
      </c>
      <c r="H6427" s="35">
        <v>5264.9</v>
      </c>
      <c r="I6427" s="37">
        <f t="shared" si="100"/>
        <v>1.2518549323426727E-2</v>
      </c>
      <c r="J6427" s="33"/>
    </row>
    <row r="6428" spans="1:10">
      <c r="A6428" s="33" t="s">
        <v>63</v>
      </c>
      <c r="B6428" s="34">
        <v>369.41899999999998</v>
      </c>
      <c r="C6428" s="35">
        <v>420567.9</v>
      </c>
      <c r="D6428" s="33" t="s">
        <v>97</v>
      </c>
      <c r="E6428" s="34">
        <v>369.40100000000001</v>
      </c>
      <c r="F6428" s="36">
        <v>1.7999999999972299E-2</v>
      </c>
      <c r="G6428" s="34">
        <v>1.7999999999972299E-2</v>
      </c>
      <c r="H6428" s="35">
        <v>52.5</v>
      </c>
      <c r="I6428" s="37">
        <f t="shared" si="100"/>
        <v>1.2483121037054897E-4</v>
      </c>
      <c r="J6428" s="33"/>
    </row>
    <row r="6429" spans="1:10">
      <c r="A6429" s="33" t="s">
        <v>63</v>
      </c>
      <c r="B6429" s="34">
        <v>369.41899999999998</v>
      </c>
      <c r="C6429" s="35">
        <v>420567.9</v>
      </c>
      <c r="D6429" s="33" t="s">
        <v>36</v>
      </c>
      <c r="E6429" s="34">
        <v>369.404</v>
      </c>
      <c r="F6429" s="36">
        <v>1.4999999999986399E-2</v>
      </c>
      <c r="G6429" s="34">
        <v>1.4999999999986399E-2</v>
      </c>
      <c r="H6429" s="35">
        <v>614.1</v>
      </c>
      <c r="I6429" s="37">
        <f t="shared" si="100"/>
        <v>1.4601685007343641E-3</v>
      </c>
      <c r="J6429" s="33" t="s">
        <v>116</v>
      </c>
    </row>
    <row r="6430" spans="1:10">
      <c r="A6430" s="33" t="s">
        <v>63</v>
      </c>
      <c r="B6430" s="34">
        <v>369.41899999999998</v>
      </c>
      <c r="C6430" s="35">
        <v>420567.9</v>
      </c>
      <c r="D6430" s="33" t="s">
        <v>240</v>
      </c>
      <c r="E6430" s="34">
        <v>369.416</v>
      </c>
      <c r="F6430" s="36">
        <v>2.9999999999858998E-3</v>
      </c>
      <c r="G6430" s="34">
        <v>2.9999999999858998E-3</v>
      </c>
      <c r="H6430" s="35">
        <v>3.5</v>
      </c>
      <c r="I6430" s="37">
        <f t="shared" si="100"/>
        <v>8.3220806913699313E-6</v>
      </c>
      <c r="J6430" s="33"/>
    </row>
    <row r="6431" spans="1:10">
      <c r="A6431" s="33" t="s">
        <v>63</v>
      </c>
      <c r="B6431" s="34">
        <v>369.41899999999998</v>
      </c>
      <c r="C6431" s="35">
        <v>420567.9</v>
      </c>
      <c r="D6431" s="33" t="s">
        <v>270</v>
      </c>
      <c r="E6431" s="34">
        <v>369.43099999999998</v>
      </c>
      <c r="F6431" s="36">
        <v>1.20000000000005E-2</v>
      </c>
      <c r="G6431" s="34">
        <v>1.20000000000005E-2</v>
      </c>
      <c r="H6431" s="35">
        <v>657.1</v>
      </c>
      <c r="I6431" s="37">
        <f t="shared" si="100"/>
        <v>1.5624112063711948E-3</v>
      </c>
      <c r="J6431" s="33"/>
    </row>
    <row r="6432" spans="1:10">
      <c r="A6432" s="33" t="s">
        <v>63</v>
      </c>
      <c r="B6432" s="34">
        <v>369.41899999999998</v>
      </c>
      <c r="C6432" s="35">
        <v>420567.9</v>
      </c>
      <c r="D6432" s="33" t="s">
        <v>33</v>
      </c>
      <c r="E6432" s="34">
        <v>369.44099999999997</v>
      </c>
      <c r="F6432" s="36">
        <v>2.1999999999991401E-2</v>
      </c>
      <c r="G6432" s="34">
        <v>2.1999999999991401E-2</v>
      </c>
      <c r="H6432" s="35">
        <v>490.1</v>
      </c>
      <c r="I6432" s="37">
        <f t="shared" si="100"/>
        <v>1.1653290705258294E-3</v>
      </c>
      <c r="J6432" s="33" t="s">
        <v>116</v>
      </c>
    </row>
    <row r="6433" spans="1:10">
      <c r="A6433" s="33" t="s">
        <v>63</v>
      </c>
      <c r="B6433" s="34">
        <v>369.41899999999998</v>
      </c>
      <c r="C6433" s="35">
        <v>420567.9</v>
      </c>
      <c r="D6433" s="33" t="s">
        <v>237</v>
      </c>
      <c r="E6433" s="34">
        <v>369.44499999999999</v>
      </c>
      <c r="F6433" s="36">
        <v>2.6000000000010501E-2</v>
      </c>
      <c r="G6433" s="34">
        <v>2.6000000000010501E-2</v>
      </c>
      <c r="H6433" s="35">
        <v>36.1</v>
      </c>
      <c r="I6433" s="37">
        <f t="shared" si="100"/>
        <v>8.5836317988129856E-5</v>
      </c>
      <c r="J6433" s="33"/>
    </row>
    <row r="6434" spans="1:10">
      <c r="A6434" s="33" t="s">
        <v>63</v>
      </c>
      <c r="B6434" s="34">
        <v>369.41899999999998</v>
      </c>
      <c r="C6434" s="35">
        <v>420567.9</v>
      </c>
      <c r="D6434" s="33" t="s">
        <v>193</v>
      </c>
      <c r="E6434" s="34">
        <v>369.45</v>
      </c>
      <c r="F6434" s="36">
        <v>3.1000000000005901E-2</v>
      </c>
      <c r="G6434" s="34">
        <v>3.1000000000005901E-2</v>
      </c>
      <c r="H6434" s="35">
        <v>186.1</v>
      </c>
      <c r="I6434" s="37">
        <f t="shared" si="100"/>
        <v>4.4249691904684114E-4</v>
      </c>
      <c r="J6434" s="33"/>
    </row>
    <row r="6435" spans="1:10">
      <c r="A6435" s="33" t="s">
        <v>63</v>
      </c>
      <c r="B6435" s="34">
        <v>369.41899999999998</v>
      </c>
      <c r="C6435" s="35">
        <v>420567.9</v>
      </c>
      <c r="D6435" s="33" t="s">
        <v>109</v>
      </c>
      <c r="E6435" s="34">
        <v>369.47300000000001</v>
      </c>
      <c r="F6435" s="36">
        <v>5.4000000000030503E-2</v>
      </c>
      <c r="G6435" s="34">
        <v>5.4000000000030503E-2</v>
      </c>
      <c r="H6435" s="35">
        <v>2173.1</v>
      </c>
      <c r="I6435" s="37">
        <f t="shared" si="100"/>
        <v>5.1670610144045701E-3</v>
      </c>
      <c r="J6435" s="33" t="s">
        <v>116</v>
      </c>
    </row>
    <row r="6436" spans="1:10">
      <c r="A6436" s="33" t="s">
        <v>63</v>
      </c>
      <c r="B6436" s="34">
        <v>369.41899999999998</v>
      </c>
      <c r="C6436" s="35">
        <v>420567.9</v>
      </c>
      <c r="D6436" s="33" t="s">
        <v>27</v>
      </c>
      <c r="E6436" s="34">
        <v>369.48099999999999</v>
      </c>
      <c r="F6436" s="36">
        <v>6.2000000000011803E-2</v>
      </c>
      <c r="G6436" s="34">
        <v>6.2000000000011803E-2</v>
      </c>
      <c r="H6436" s="35">
        <v>687.8</v>
      </c>
      <c r="I6436" s="37">
        <f t="shared" si="100"/>
        <v>1.6354077427212109E-3</v>
      </c>
      <c r="J6436" s="33" t="s">
        <v>116</v>
      </c>
    </row>
    <row r="6437" spans="1:10">
      <c r="A6437" s="33" t="s">
        <v>63</v>
      </c>
      <c r="B6437" s="34">
        <v>369.41899999999998</v>
      </c>
      <c r="C6437" s="35">
        <v>420567.9</v>
      </c>
      <c r="D6437" s="33" t="s">
        <v>33</v>
      </c>
      <c r="E6437" s="34">
        <v>369.48099999999999</v>
      </c>
      <c r="F6437" s="36">
        <v>6.2000000000011803E-2</v>
      </c>
      <c r="G6437" s="34">
        <v>6.2000000000011803E-2</v>
      </c>
      <c r="H6437" s="35">
        <v>12393.1</v>
      </c>
      <c r="I6437" s="37">
        <f t="shared" si="100"/>
        <v>2.9467536633204769E-2</v>
      </c>
      <c r="J6437" s="33" t="s">
        <v>116</v>
      </c>
    </row>
    <row r="6438" spans="1:10">
      <c r="A6438" s="33" t="s">
        <v>63</v>
      </c>
      <c r="B6438" s="34">
        <v>369.41899999999998</v>
      </c>
      <c r="C6438" s="35">
        <v>420567.9</v>
      </c>
      <c r="D6438" s="33" t="s">
        <v>277</v>
      </c>
      <c r="E6438" s="34">
        <v>369.48200000000003</v>
      </c>
      <c r="F6438" s="36">
        <v>6.3000000000045006E-2</v>
      </c>
      <c r="G6438" s="34">
        <v>6.3000000000045006E-2</v>
      </c>
      <c r="H6438" s="35">
        <v>115.6</v>
      </c>
      <c r="I6438" s="37">
        <f t="shared" si="100"/>
        <v>2.7486643654924686E-4</v>
      </c>
      <c r="J6438" s="33"/>
    </row>
    <row r="6439" spans="1:10">
      <c r="A6439" s="33" t="s">
        <v>63</v>
      </c>
      <c r="B6439" s="34">
        <v>369.41899999999998</v>
      </c>
      <c r="C6439" s="35">
        <v>420567.9</v>
      </c>
      <c r="D6439" s="33" t="s">
        <v>25</v>
      </c>
      <c r="E6439" s="34">
        <v>369.49099999999999</v>
      </c>
      <c r="F6439" s="36">
        <v>7.2000000000002701E-2</v>
      </c>
      <c r="G6439" s="34">
        <v>7.2000000000002701E-2</v>
      </c>
      <c r="H6439" s="35">
        <v>611.70000000000005</v>
      </c>
      <c r="I6439" s="37">
        <f t="shared" si="100"/>
        <v>1.4544619311174249E-3</v>
      </c>
      <c r="J6439" s="33" t="s">
        <v>116</v>
      </c>
    </row>
    <row r="6440" spans="1:10">
      <c r="A6440" s="33" t="s">
        <v>63</v>
      </c>
      <c r="B6440" s="34">
        <v>369.41899999999998</v>
      </c>
      <c r="C6440" s="35">
        <v>420567.9</v>
      </c>
      <c r="D6440" s="33" t="s">
        <v>275</v>
      </c>
      <c r="E6440" s="34">
        <v>369.49400000000003</v>
      </c>
      <c r="F6440" s="36">
        <v>7.5000000000045502E-2</v>
      </c>
      <c r="G6440" s="34">
        <v>7.5000000000045502E-2</v>
      </c>
      <c r="H6440" s="35">
        <v>187.5</v>
      </c>
      <c r="I6440" s="37">
        <f t="shared" si="100"/>
        <v>4.4582575132338915E-4</v>
      </c>
      <c r="J6440" s="33"/>
    </row>
    <row r="6441" spans="1:10">
      <c r="A6441" s="33" t="s">
        <v>63</v>
      </c>
      <c r="B6441" s="34">
        <v>369.41899999999998</v>
      </c>
      <c r="C6441" s="35">
        <v>420567.9</v>
      </c>
      <c r="D6441" s="33" t="s">
        <v>282</v>
      </c>
      <c r="E6441" s="34">
        <v>369.495</v>
      </c>
      <c r="F6441" s="36">
        <v>7.60000000000218E-2</v>
      </c>
      <c r="G6441" s="34">
        <v>7.60000000000218E-2</v>
      </c>
      <c r="H6441" s="35">
        <v>11.5</v>
      </c>
      <c r="I6441" s="37">
        <f t="shared" si="100"/>
        <v>2.7343979414501201E-5</v>
      </c>
      <c r="J6441" s="33"/>
    </row>
    <row r="6442" spans="1:10">
      <c r="A6442" s="33" t="s">
        <v>63</v>
      </c>
      <c r="B6442" s="34">
        <v>369.41899999999998</v>
      </c>
      <c r="C6442" s="35">
        <v>420567.9</v>
      </c>
      <c r="D6442" s="33" t="s">
        <v>97</v>
      </c>
      <c r="E6442" s="34">
        <v>369.505</v>
      </c>
      <c r="F6442" s="36">
        <v>8.6000000000012705E-2</v>
      </c>
      <c r="G6442" s="34">
        <v>8.6000000000012705E-2</v>
      </c>
      <c r="H6442" s="35">
        <v>18.899999999999999</v>
      </c>
      <c r="I6442" s="37">
        <f t="shared" si="100"/>
        <v>4.4939235733397623E-5</v>
      </c>
      <c r="J6442" s="33"/>
    </row>
    <row r="6443" spans="1:10">
      <c r="A6443" s="33" t="s">
        <v>63</v>
      </c>
      <c r="B6443" s="34">
        <v>369.41899999999998</v>
      </c>
      <c r="C6443" s="35">
        <v>420567.9</v>
      </c>
      <c r="D6443" s="33" t="s">
        <v>278</v>
      </c>
      <c r="E6443" s="34">
        <v>369.53399999999999</v>
      </c>
      <c r="F6443" s="36">
        <v>0.115000000000009</v>
      </c>
      <c r="G6443" s="34">
        <v>0.115000000000009</v>
      </c>
      <c r="H6443" s="35">
        <v>186.7</v>
      </c>
      <c r="I6443" s="37">
        <f t="shared" si="100"/>
        <v>4.4392356145107599E-4</v>
      </c>
      <c r="J6443" s="33"/>
    </row>
    <row r="6444" spans="1:10">
      <c r="A6444" s="33" t="s">
        <v>63</v>
      </c>
      <c r="B6444" s="34">
        <v>369.41899999999998</v>
      </c>
      <c r="C6444" s="35">
        <v>420567.9</v>
      </c>
      <c r="D6444" s="33" t="s">
        <v>193</v>
      </c>
      <c r="E6444" s="34">
        <v>369.53800000000001</v>
      </c>
      <c r="F6444" s="36">
        <v>0.119000000000028</v>
      </c>
      <c r="G6444" s="34">
        <v>0.119000000000028</v>
      </c>
      <c r="H6444" s="35">
        <v>37.5</v>
      </c>
      <c r="I6444" s="37">
        <f t="shared" si="100"/>
        <v>8.9165150264677821E-5</v>
      </c>
      <c r="J6444" s="33"/>
    </row>
    <row r="6445" spans="1:10">
      <c r="A6445" s="33" t="s">
        <v>63</v>
      </c>
      <c r="B6445" s="34">
        <v>369.41899999999998</v>
      </c>
      <c r="C6445" s="35">
        <v>420567.9</v>
      </c>
      <c r="D6445" s="33" t="s">
        <v>282</v>
      </c>
      <c r="E6445" s="34">
        <v>369.55200000000002</v>
      </c>
      <c r="F6445" s="36">
        <v>0.133000000000038</v>
      </c>
      <c r="G6445" s="34">
        <v>0.133000000000038</v>
      </c>
      <c r="H6445" s="35">
        <v>371.4</v>
      </c>
      <c r="I6445" s="37">
        <f t="shared" si="100"/>
        <v>8.8309164822136918E-4</v>
      </c>
      <c r="J6445" s="33"/>
    </row>
    <row r="6446" spans="1:10">
      <c r="A6446" s="33" t="s">
        <v>63</v>
      </c>
      <c r="B6446" s="34">
        <v>369.41899999999998</v>
      </c>
      <c r="C6446" s="35">
        <v>420567.9</v>
      </c>
      <c r="D6446" s="33" t="s">
        <v>239</v>
      </c>
      <c r="E6446" s="34">
        <v>369.553</v>
      </c>
      <c r="F6446" s="36">
        <v>0.134000000000015</v>
      </c>
      <c r="G6446" s="34">
        <v>0.134000000000015</v>
      </c>
      <c r="H6446" s="35">
        <v>20.6</v>
      </c>
      <c r="I6446" s="37">
        <f t="shared" si="100"/>
        <v>4.8981389212063021E-5</v>
      </c>
      <c r="J6446" s="33"/>
    </row>
    <row r="6447" spans="1:10">
      <c r="A6447" s="33" t="s">
        <v>63</v>
      </c>
      <c r="B6447" s="34">
        <v>369.41899999999998</v>
      </c>
      <c r="C6447" s="35">
        <v>420567.9</v>
      </c>
      <c r="D6447" s="33" t="s">
        <v>268</v>
      </c>
      <c r="E6447" s="34">
        <v>369.58600000000001</v>
      </c>
      <c r="F6447" s="36">
        <v>0.16700000000003001</v>
      </c>
      <c r="G6447" s="34">
        <v>0.16700000000003001</v>
      </c>
      <c r="H6447" s="35">
        <v>1.2</v>
      </c>
      <c r="I6447" s="37">
        <f t="shared" si="100"/>
        <v>2.8532848084696902E-6</v>
      </c>
      <c r="J6447" s="33"/>
    </row>
    <row r="6448" spans="1:10">
      <c r="A6448" s="33" t="s">
        <v>63</v>
      </c>
      <c r="B6448" s="34">
        <v>369.41899999999998</v>
      </c>
      <c r="C6448" s="35">
        <v>420567.9</v>
      </c>
      <c r="D6448" s="33" t="s">
        <v>278</v>
      </c>
      <c r="E6448" s="34">
        <v>369.58699999999999</v>
      </c>
      <c r="F6448" s="36">
        <v>0.16800000000000601</v>
      </c>
      <c r="G6448" s="34">
        <v>0.16800000000000601</v>
      </c>
      <c r="H6448" s="35">
        <v>456.3</v>
      </c>
      <c r="I6448" s="37">
        <f t="shared" si="100"/>
        <v>1.0849615484205999E-3</v>
      </c>
      <c r="J6448" s="33"/>
    </row>
    <row r="6449" spans="1:10">
      <c r="A6449" s="33" t="s">
        <v>63</v>
      </c>
      <c r="B6449" s="34">
        <v>369.41899999999998</v>
      </c>
      <c r="C6449" s="35">
        <v>420567.9</v>
      </c>
      <c r="D6449" s="33" t="s">
        <v>273</v>
      </c>
      <c r="E6449" s="34">
        <v>369.589</v>
      </c>
      <c r="F6449" s="36">
        <v>0.170000000000016</v>
      </c>
      <c r="G6449" s="34">
        <v>0.170000000000016</v>
      </c>
      <c r="H6449" s="35">
        <v>535</v>
      </c>
      <c r="I6449" s="37">
        <f t="shared" si="100"/>
        <v>1.2720894771094038E-3</v>
      </c>
      <c r="J6449" s="33"/>
    </row>
    <row r="6450" spans="1:10">
      <c r="A6450" s="33" t="s">
        <v>63</v>
      </c>
      <c r="B6450" s="34">
        <v>369.41899999999998</v>
      </c>
      <c r="C6450" s="35">
        <v>420567.9</v>
      </c>
      <c r="D6450" s="33" t="s">
        <v>25</v>
      </c>
      <c r="E6450" s="34">
        <v>369.596</v>
      </c>
      <c r="F6450" s="36">
        <v>0.177000000000021</v>
      </c>
      <c r="G6450" s="34">
        <v>0.177000000000021</v>
      </c>
      <c r="H6450" s="35">
        <v>237</v>
      </c>
      <c r="I6450" s="37">
        <f t="shared" si="100"/>
        <v>5.6352374967276388E-4</v>
      </c>
      <c r="J6450" s="33" t="s">
        <v>116</v>
      </c>
    </row>
  </sheetData>
  <autoFilter ref="A1:J6450" xr:uid="{00000000-0009-0000-0000-000003000000}"/>
  <phoneticPr fontId="34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167"/>
  <sheetViews>
    <sheetView zoomScaleNormal="100" workbookViewId="0"/>
  </sheetViews>
  <sheetFormatPr defaultColWidth="8.7109375" defaultRowHeight="15"/>
  <sheetData>
    <row r="1" spans="1:37">
      <c r="A1" t="s">
        <v>314</v>
      </c>
    </row>
    <row r="2" spans="1:37">
      <c r="A2" t="s">
        <v>315</v>
      </c>
      <c r="B2" t="s">
        <v>316</v>
      </c>
      <c r="C2" t="s">
        <v>317</v>
      </c>
      <c r="D2" t="s">
        <v>318</v>
      </c>
      <c r="E2" t="s">
        <v>319</v>
      </c>
      <c r="F2" t="s">
        <v>320</v>
      </c>
      <c r="G2" t="s">
        <v>321</v>
      </c>
      <c r="H2" t="s">
        <v>322</v>
      </c>
      <c r="I2" t="s">
        <v>323</v>
      </c>
      <c r="J2" t="s">
        <v>324</v>
      </c>
      <c r="K2" t="s">
        <v>325</v>
      </c>
      <c r="L2" t="s">
        <v>326</v>
      </c>
      <c r="M2" t="s">
        <v>327</v>
      </c>
      <c r="N2" t="s">
        <v>328</v>
      </c>
      <c r="O2" t="s">
        <v>329</v>
      </c>
      <c r="P2" t="s">
        <v>330</v>
      </c>
      <c r="Q2">
        <v>0.45804460374352901</v>
      </c>
      <c r="R2">
        <v>0.43157108721624898</v>
      </c>
      <c r="S2">
        <v>0.315322580645161</v>
      </c>
      <c r="T2">
        <v>0.173675826363998</v>
      </c>
      <c r="U2">
        <v>0.14561927518916801</v>
      </c>
      <c r="V2">
        <v>0.11712465153325401</v>
      </c>
      <c r="W2">
        <v>9.1875746714456405E-2</v>
      </c>
      <c r="X2">
        <v>8.2686180804460399E-2</v>
      </c>
      <c r="Y2">
        <v>6.5153325368379103E-2</v>
      </c>
      <c r="Z2">
        <v>5.8144165671047403E-2</v>
      </c>
      <c r="AA2">
        <v>5.0029868578255698E-2</v>
      </c>
      <c r="AB2">
        <v>4.4504181600955803E-2</v>
      </c>
      <c r="AC2">
        <v>4.3249701314217397E-2</v>
      </c>
      <c r="AD2">
        <v>3.8132218239745101E-2</v>
      </c>
      <c r="AE2">
        <v>3.6140979689366803E-2</v>
      </c>
      <c r="AF2">
        <v>380.15300000000002</v>
      </c>
      <c r="AG2">
        <v>10044</v>
      </c>
      <c r="AH2">
        <v>0.315322580645161</v>
      </c>
      <c r="AI2" t="s">
        <v>28</v>
      </c>
      <c r="AJ2" t="s">
        <v>25</v>
      </c>
      <c r="AK2">
        <v>37</v>
      </c>
    </row>
    <row r="3" spans="1:37">
      <c r="A3" t="s">
        <v>331</v>
      </c>
      <c r="B3" t="s">
        <v>332</v>
      </c>
      <c r="C3" t="s">
        <v>333</v>
      </c>
      <c r="D3" t="s">
        <v>334</v>
      </c>
      <c r="E3" t="s">
        <v>335</v>
      </c>
      <c r="F3" t="s">
        <v>336</v>
      </c>
      <c r="G3" t="s">
        <v>337</v>
      </c>
      <c r="H3" t="s">
        <v>338</v>
      </c>
      <c r="I3" t="s">
        <v>339</v>
      </c>
      <c r="J3" t="s">
        <v>340</v>
      </c>
      <c r="K3" t="s">
        <v>341</v>
      </c>
      <c r="L3" t="s">
        <v>342</v>
      </c>
      <c r="M3" t="s">
        <v>343</v>
      </c>
      <c r="N3" t="s">
        <v>344</v>
      </c>
      <c r="O3" t="s">
        <v>345</v>
      </c>
      <c r="P3" t="s">
        <v>346</v>
      </c>
      <c r="Q3">
        <v>1.0844179992562299</v>
      </c>
      <c r="R3">
        <v>0.89156678204651396</v>
      </c>
      <c r="S3">
        <v>0.312941613982893</v>
      </c>
      <c r="T3">
        <v>0.200617901993878</v>
      </c>
      <c r="U3">
        <v>0.136124381382842</v>
      </c>
      <c r="V3">
        <v>9.6389850387619103E-2</v>
      </c>
      <c r="W3">
        <v>9.34433732871814E-2</v>
      </c>
      <c r="X3">
        <v>8.40890236576365E-2</v>
      </c>
      <c r="Y3">
        <v>5.8428926967417097E-2</v>
      </c>
      <c r="Z3">
        <v>4.6070887089853303E-2</v>
      </c>
      <c r="AA3">
        <v>3.51288726149269E-2</v>
      </c>
      <c r="AB3">
        <v>3.4771290442543699E-2</v>
      </c>
      <c r="AC3">
        <v>3.3312355179220203E-2</v>
      </c>
      <c r="AD3">
        <v>2.5946162428126002E-2</v>
      </c>
      <c r="AE3">
        <v>2.36862430986641E-2</v>
      </c>
      <c r="AF3">
        <v>394.274</v>
      </c>
      <c r="AG3">
        <v>6991.4</v>
      </c>
      <c r="AH3">
        <v>0.89156678204651396</v>
      </c>
      <c r="AI3" t="s">
        <v>28</v>
      </c>
      <c r="AJ3" t="s">
        <v>25</v>
      </c>
      <c r="AK3">
        <v>39</v>
      </c>
    </row>
    <row r="4" spans="1:37">
      <c r="A4" t="s">
        <v>347</v>
      </c>
      <c r="B4" t="s">
        <v>348</v>
      </c>
      <c r="C4" t="s">
        <v>349</v>
      </c>
      <c r="D4" t="s">
        <v>350</v>
      </c>
      <c r="E4" t="s">
        <v>351</v>
      </c>
      <c r="F4" t="s">
        <v>352</v>
      </c>
      <c r="G4" t="s">
        <v>353</v>
      </c>
      <c r="H4" t="s">
        <v>354</v>
      </c>
      <c r="I4" t="s">
        <v>355</v>
      </c>
      <c r="J4" t="s">
        <v>356</v>
      </c>
      <c r="K4" t="s">
        <v>357</v>
      </c>
      <c r="L4" t="s">
        <v>358</v>
      </c>
      <c r="M4" t="s">
        <v>359</v>
      </c>
      <c r="N4" t="s">
        <v>360</v>
      </c>
      <c r="O4" t="s">
        <v>361</v>
      </c>
      <c r="P4" t="s">
        <v>362</v>
      </c>
      <c r="Q4">
        <v>3.0971961446989602</v>
      </c>
      <c r="R4">
        <v>1.2210038803354599</v>
      </c>
      <c r="S4">
        <v>0.46059581925147097</v>
      </c>
      <c r="T4">
        <v>0.29056202278132398</v>
      </c>
      <c r="U4">
        <v>0.264613844035549</v>
      </c>
      <c r="V4">
        <v>0.25229690824884199</v>
      </c>
      <c r="W4">
        <v>0.21241707347603</v>
      </c>
      <c r="X4">
        <v>0.210952559769683</v>
      </c>
      <c r="Y4">
        <v>0.16446363750156501</v>
      </c>
      <c r="Z4">
        <v>0.147828263862811</v>
      </c>
      <c r="AA4">
        <v>0.115070722243084</v>
      </c>
      <c r="AB4">
        <v>0.114532482162974</v>
      </c>
      <c r="AC4">
        <v>6.5640255351107804E-2</v>
      </c>
      <c r="AD4">
        <v>5.6202278132432101E-2</v>
      </c>
      <c r="AE4">
        <v>4.9205157091000103E-2</v>
      </c>
      <c r="AF4">
        <v>399.92399999999998</v>
      </c>
      <c r="AG4">
        <v>7989</v>
      </c>
      <c r="AH4">
        <v>3.0971961446989602</v>
      </c>
      <c r="AI4" t="s">
        <v>28</v>
      </c>
      <c r="AJ4" t="s">
        <v>25</v>
      </c>
      <c r="AK4">
        <v>39</v>
      </c>
    </row>
    <row r="5" spans="1:37">
      <c r="A5" t="s">
        <v>363</v>
      </c>
      <c r="B5" t="s">
        <v>364</v>
      </c>
      <c r="C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 t="s">
        <v>371</v>
      </c>
      <c r="J5" t="s">
        <v>372</v>
      </c>
      <c r="K5" t="s">
        <v>373</v>
      </c>
      <c r="L5" t="s">
        <v>374</v>
      </c>
      <c r="M5" t="s">
        <v>375</v>
      </c>
      <c r="N5" t="s">
        <v>376</v>
      </c>
      <c r="O5" t="s">
        <v>377</v>
      </c>
      <c r="P5" t="s">
        <v>378</v>
      </c>
      <c r="Q5">
        <v>0.793785417453721</v>
      </c>
      <c r="R5">
        <v>0.68124291650925595</v>
      </c>
      <c r="S5">
        <v>0.548233849641103</v>
      </c>
      <c r="T5">
        <v>0.46448809973555</v>
      </c>
      <c r="U5">
        <v>0.450604457876842</v>
      </c>
      <c r="V5">
        <v>0.19540989799773301</v>
      </c>
      <c r="W5">
        <v>8.2376275028334001E-2</v>
      </c>
      <c r="X5">
        <v>7.44427653947866E-2</v>
      </c>
      <c r="Y5">
        <v>7.3772194937665306E-2</v>
      </c>
      <c r="Z5">
        <v>7.2062712504722307E-2</v>
      </c>
      <c r="AA5">
        <v>7.01832262939176E-2</v>
      </c>
      <c r="AB5">
        <v>5.9775217227049503E-2</v>
      </c>
      <c r="AC5">
        <v>4.4569323762750301E-2</v>
      </c>
      <c r="AD5">
        <v>3.1526256139025301E-2</v>
      </c>
      <c r="AE5">
        <v>3.0638458632414101E-2</v>
      </c>
      <c r="AF5">
        <v>407.34699999999998</v>
      </c>
      <c r="AG5">
        <v>10588</v>
      </c>
      <c r="AH5">
        <v>0.793785417453721</v>
      </c>
      <c r="AI5" t="s">
        <v>28</v>
      </c>
      <c r="AJ5" t="s">
        <v>25</v>
      </c>
      <c r="AK5">
        <v>40</v>
      </c>
    </row>
    <row r="6" spans="1:37">
      <c r="A6" t="s">
        <v>379</v>
      </c>
      <c r="B6" t="s">
        <v>380</v>
      </c>
      <c r="C6" t="s">
        <v>364</v>
      </c>
      <c r="D6" t="s">
        <v>366</v>
      </c>
      <c r="E6" t="s">
        <v>381</v>
      </c>
      <c r="F6" t="s">
        <v>367</v>
      </c>
      <c r="G6" t="s">
        <v>368</v>
      </c>
      <c r="H6" t="s">
        <v>382</v>
      </c>
      <c r="I6" t="s">
        <v>369</v>
      </c>
      <c r="J6" t="s">
        <v>383</v>
      </c>
      <c r="K6" t="s">
        <v>384</v>
      </c>
      <c r="L6" t="s">
        <v>370</v>
      </c>
      <c r="M6" t="s">
        <v>375</v>
      </c>
      <c r="N6" t="s">
        <v>376</v>
      </c>
      <c r="O6" t="s">
        <v>378</v>
      </c>
      <c r="P6" t="s">
        <v>385</v>
      </c>
      <c r="Q6">
        <v>5.6487648341002696</v>
      </c>
      <c r="R6">
        <v>0.72696605888662102</v>
      </c>
      <c r="S6">
        <v>0.50208455869632895</v>
      </c>
      <c r="T6">
        <v>0.438146559180708</v>
      </c>
      <c r="U6">
        <v>0.42538836798948199</v>
      </c>
      <c r="V6">
        <v>0.41267342490398901</v>
      </c>
      <c r="W6">
        <v>0.40886759159948799</v>
      </c>
      <c r="X6">
        <v>0.17896066152302501</v>
      </c>
      <c r="Y6">
        <v>0.16643601010275799</v>
      </c>
      <c r="Z6">
        <v>0.14777877728955499</v>
      </c>
      <c r="AA6">
        <v>7.5441995640590898E-2</v>
      </c>
      <c r="AB6">
        <v>5.4743452236792001E-2</v>
      </c>
      <c r="AC6">
        <v>4.0817562190776001E-2</v>
      </c>
      <c r="AD6">
        <v>2.80593709995502E-2</v>
      </c>
      <c r="AE6">
        <v>2.50925509462686E-2</v>
      </c>
      <c r="AF6">
        <v>407.57</v>
      </c>
      <c r="AG6">
        <v>11561.2</v>
      </c>
      <c r="AH6">
        <v>0.72696605888662102</v>
      </c>
      <c r="AI6" t="s">
        <v>28</v>
      </c>
      <c r="AJ6" t="s">
        <v>25</v>
      </c>
      <c r="AK6">
        <v>41</v>
      </c>
    </row>
    <row r="7" spans="1:37">
      <c r="A7" t="s">
        <v>386</v>
      </c>
      <c r="B7" t="s">
        <v>387</v>
      </c>
      <c r="C7" t="s">
        <v>388</v>
      </c>
      <c r="D7" t="s">
        <v>389</v>
      </c>
      <c r="E7" t="s">
        <v>390</v>
      </c>
      <c r="F7" t="s">
        <v>391</v>
      </c>
      <c r="G7" t="s">
        <v>392</v>
      </c>
      <c r="H7" t="s">
        <v>393</v>
      </c>
      <c r="I7" t="s">
        <v>394</v>
      </c>
      <c r="J7" t="s">
        <v>395</v>
      </c>
      <c r="K7" t="s">
        <v>396</v>
      </c>
      <c r="L7" t="s">
        <v>397</v>
      </c>
      <c r="M7" t="s">
        <v>398</v>
      </c>
      <c r="N7" t="s">
        <v>399</v>
      </c>
      <c r="O7" t="s">
        <v>400</v>
      </c>
      <c r="P7" t="s">
        <v>401</v>
      </c>
      <c r="Q7">
        <v>0.62970494208898897</v>
      </c>
      <c r="R7">
        <v>0.35661652953199502</v>
      </c>
      <c r="S7">
        <v>0.26680991562287099</v>
      </c>
      <c r="T7">
        <v>0.22885592998270499</v>
      </c>
      <c r="U7">
        <v>0.15871285572034999</v>
      </c>
      <c r="V7">
        <v>0.12533934280174</v>
      </c>
      <c r="W7">
        <v>9.3464703107803596E-2</v>
      </c>
      <c r="X7">
        <v>5.9116398511608402E-2</v>
      </c>
      <c r="Y7">
        <v>5.2691158744300602E-2</v>
      </c>
      <c r="Z7">
        <v>5.1370473245636997E-2</v>
      </c>
      <c r="AA7">
        <v>4.7817200356375503E-2</v>
      </c>
      <c r="AB7">
        <v>4.7492269797180402E-2</v>
      </c>
      <c r="AC7">
        <v>4.6622294429013202E-2</v>
      </c>
      <c r="AD7">
        <v>3.9652009852733101E-2</v>
      </c>
      <c r="AE7">
        <v>2.7912583197945599E-2</v>
      </c>
      <c r="AF7">
        <v>408.322</v>
      </c>
      <c r="AG7">
        <v>9540.5</v>
      </c>
      <c r="AH7">
        <v>9.3464703107803596E-2</v>
      </c>
      <c r="AI7" t="s">
        <v>41</v>
      </c>
      <c r="AJ7" t="s">
        <v>25</v>
      </c>
      <c r="AK7">
        <v>40</v>
      </c>
    </row>
    <row r="8" spans="1:37">
      <c r="A8" t="s">
        <v>402</v>
      </c>
      <c r="B8" t="s">
        <v>403</v>
      </c>
      <c r="C8" t="s">
        <v>404</v>
      </c>
      <c r="D8" t="s">
        <v>405</v>
      </c>
      <c r="E8" t="s">
        <v>406</v>
      </c>
      <c r="F8" t="s">
        <v>407</v>
      </c>
      <c r="G8" t="s">
        <v>408</v>
      </c>
      <c r="H8" t="s">
        <v>409</v>
      </c>
      <c r="I8" t="s">
        <v>410</v>
      </c>
      <c r="J8" t="s">
        <v>411</v>
      </c>
      <c r="K8" t="s">
        <v>412</v>
      </c>
      <c r="L8" t="s">
        <v>413</v>
      </c>
      <c r="M8" t="s">
        <v>414</v>
      </c>
      <c r="N8" t="s">
        <v>415</v>
      </c>
      <c r="O8" t="s">
        <v>416</v>
      </c>
      <c r="P8" t="s">
        <v>417</v>
      </c>
      <c r="Q8">
        <v>0.49224155790346003</v>
      </c>
      <c r="R8">
        <v>0.29039776258545702</v>
      </c>
      <c r="S8">
        <v>0.19196188108556</v>
      </c>
      <c r="T8">
        <v>0.14165112906567201</v>
      </c>
      <c r="U8">
        <v>0.117536772322353</v>
      </c>
      <c r="V8">
        <v>9.00662937642428E-2</v>
      </c>
      <c r="W8">
        <v>6.0389475864926503E-2</v>
      </c>
      <c r="X8">
        <v>5.2900352185622501E-2</v>
      </c>
      <c r="Y8">
        <v>5.16366273047442E-2</v>
      </c>
      <c r="Z8">
        <v>4.81354878806712E-2</v>
      </c>
      <c r="AA8">
        <v>3.5477522270561397E-2</v>
      </c>
      <c r="AB8">
        <v>3.3561218147918001E-2</v>
      </c>
      <c r="AC8">
        <v>3.04329811477108E-2</v>
      </c>
      <c r="AD8">
        <v>2.97907603066087E-2</v>
      </c>
      <c r="AE8">
        <v>1.76196395276569E-2</v>
      </c>
      <c r="AF8">
        <v>413.38</v>
      </c>
      <c r="AG8">
        <v>9654</v>
      </c>
      <c r="AH8">
        <v>0.49224155790346003</v>
      </c>
      <c r="AI8" t="s">
        <v>28</v>
      </c>
      <c r="AJ8" t="s">
        <v>25</v>
      </c>
      <c r="AK8">
        <v>39</v>
      </c>
    </row>
    <row r="9" spans="1:37">
      <c r="A9" t="s">
        <v>418</v>
      </c>
      <c r="B9" t="s">
        <v>419</v>
      </c>
      <c r="C9" t="s">
        <v>420</v>
      </c>
      <c r="D9" t="s">
        <v>421</v>
      </c>
      <c r="E9" t="s">
        <v>422</v>
      </c>
      <c r="F9" t="s">
        <v>423</v>
      </c>
      <c r="G9" t="s">
        <v>424</v>
      </c>
      <c r="H9" t="s">
        <v>425</v>
      </c>
      <c r="I9" t="s">
        <v>426</v>
      </c>
      <c r="J9" t="s">
        <v>427</v>
      </c>
      <c r="K9" t="s">
        <v>428</v>
      </c>
      <c r="L9" t="s">
        <v>429</v>
      </c>
      <c r="M9" t="s">
        <v>430</v>
      </c>
      <c r="N9" t="s">
        <v>431</v>
      </c>
      <c r="O9" t="s">
        <v>432</v>
      </c>
      <c r="P9" t="s">
        <v>433</v>
      </c>
      <c r="Q9">
        <v>0.20481854594004101</v>
      </c>
      <c r="R9">
        <v>9.0757373467653904E-2</v>
      </c>
      <c r="S9">
        <v>8.8997451146983902E-2</v>
      </c>
      <c r="T9">
        <v>5.9276004369462301E-2</v>
      </c>
      <c r="U9">
        <v>4.6744143706760499E-2</v>
      </c>
      <c r="V9">
        <v>3.8596917101590002E-2</v>
      </c>
      <c r="W9">
        <v>2.79463527127079E-2</v>
      </c>
      <c r="X9">
        <v>2.36375773758951E-2</v>
      </c>
      <c r="Y9">
        <v>2.17411093579318E-2</v>
      </c>
      <c r="Z9">
        <v>1.98598130841122E-2</v>
      </c>
      <c r="AA9">
        <v>1.79785168102925E-2</v>
      </c>
      <c r="AB9">
        <v>1.55358660031557E-2</v>
      </c>
      <c r="AC9">
        <v>1.23953149654084E-2</v>
      </c>
      <c r="AD9">
        <v>1.21222235708217E-2</v>
      </c>
      <c r="AE9">
        <v>9.8312902051219796E-3</v>
      </c>
      <c r="AF9">
        <v>413.76499999999999</v>
      </c>
      <c r="AG9">
        <v>6591.2</v>
      </c>
      <c r="AH9">
        <v>0.20481854594004101</v>
      </c>
      <c r="AI9" t="s">
        <v>28</v>
      </c>
      <c r="AJ9" t="s">
        <v>25</v>
      </c>
      <c r="AK9">
        <v>38</v>
      </c>
    </row>
    <row r="10" spans="1:37">
      <c r="A10" t="s">
        <v>434</v>
      </c>
      <c r="B10" t="s">
        <v>435</v>
      </c>
      <c r="C10" t="s">
        <v>436</v>
      </c>
      <c r="D10" t="s">
        <v>437</v>
      </c>
      <c r="E10" t="s">
        <v>438</v>
      </c>
      <c r="F10" t="s">
        <v>439</v>
      </c>
      <c r="G10" t="s">
        <v>440</v>
      </c>
      <c r="H10" t="s">
        <v>441</v>
      </c>
      <c r="I10" t="s">
        <v>442</v>
      </c>
      <c r="J10" t="s">
        <v>443</v>
      </c>
      <c r="K10" t="s">
        <v>444</v>
      </c>
      <c r="L10" t="s">
        <v>445</v>
      </c>
      <c r="M10" t="s">
        <v>446</v>
      </c>
      <c r="N10" t="s">
        <v>447</v>
      </c>
      <c r="O10" t="s">
        <v>448</v>
      </c>
      <c r="P10" t="s">
        <v>449</v>
      </c>
      <c r="Q10">
        <v>7.4613490549679202</v>
      </c>
      <c r="R10">
        <v>0.33734697416334303</v>
      </c>
      <c r="S10">
        <v>9.73331021328247E-2</v>
      </c>
      <c r="T10">
        <v>8.8399514478931907E-2</v>
      </c>
      <c r="U10">
        <v>6.3041442691173899E-2</v>
      </c>
      <c r="V10">
        <v>4.7463152418935298E-2</v>
      </c>
      <c r="W10">
        <v>3.6483440263568603E-2</v>
      </c>
      <c r="X10">
        <v>3.5040749089648E-2</v>
      </c>
      <c r="Y10">
        <v>2.36795560950234E-2</v>
      </c>
      <c r="Z10">
        <v>1.9559563031038701E-2</v>
      </c>
      <c r="AA10">
        <v>1.78879833535634E-2</v>
      </c>
      <c r="AB10">
        <v>1.5744754638460201E-2</v>
      </c>
      <c r="AC10">
        <v>1.53910178602393E-2</v>
      </c>
      <c r="AD10">
        <v>1.3698630136986301E-2</v>
      </c>
      <c r="AE10">
        <v>8.5729148604126899E-3</v>
      </c>
      <c r="AF10">
        <v>418.65899999999999</v>
      </c>
      <c r="AG10">
        <v>14417.5</v>
      </c>
      <c r="AH10">
        <v>7.4613490549679202</v>
      </c>
      <c r="AI10" t="s">
        <v>28</v>
      </c>
      <c r="AJ10" t="s">
        <v>25</v>
      </c>
      <c r="AK10">
        <v>37</v>
      </c>
    </row>
    <row r="11" spans="1:37">
      <c r="A11" t="s">
        <v>450</v>
      </c>
      <c r="B11" t="s">
        <v>451</v>
      </c>
      <c r="C11" t="s">
        <v>452</v>
      </c>
      <c r="D11" t="s">
        <v>453</v>
      </c>
      <c r="E11" t="s">
        <v>454</v>
      </c>
      <c r="F11" t="s">
        <v>455</v>
      </c>
      <c r="G11" t="s">
        <v>456</v>
      </c>
      <c r="H11" t="s">
        <v>457</v>
      </c>
      <c r="I11" t="s">
        <v>458</v>
      </c>
      <c r="J11" t="s">
        <v>459</v>
      </c>
      <c r="K11" t="s">
        <v>460</v>
      </c>
      <c r="L11" t="s">
        <v>461</v>
      </c>
      <c r="M11" t="s">
        <v>462</v>
      </c>
      <c r="N11" t="s">
        <v>463</v>
      </c>
      <c r="O11" t="s">
        <v>464</v>
      </c>
      <c r="P11" t="s">
        <v>465</v>
      </c>
      <c r="Q11">
        <v>2.0366554491327999</v>
      </c>
      <c r="R11">
        <v>0.68994736387954103</v>
      </c>
      <c r="S11">
        <v>0.13687979981016499</v>
      </c>
      <c r="T11">
        <v>8.5883165070325299E-2</v>
      </c>
      <c r="U11">
        <v>7.4536198118905897E-2</v>
      </c>
      <c r="V11">
        <v>6.5864181551471196E-2</v>
      </c>
      <c r="W11">
        <v>3.96496677884201E-2</v>
      </c>
      <c r="X11">
        <v>2.6249029251876801E-2</v>
      </c>
      <c r="Y11">
        <v>2.4609543532660299E-2</v>
      </c>
      <c r="Z11">
        <v>2.2728449391664501E-2</v>
      </c>
      <c r="AA11">
        <v>1.5549227715937501E-2</v>
      </c>
      <c r="AB11">
        <v>1.4168608162913101E-2</v>
      </c>
      <c r="AC11">
        <v>1.3245318836828E-2</v>
      </c>
      <c r="AD11">
        <v>1.23134006385365E-2</v>
      </c>
      <c r="AE11">
        <v>1.1398740184657899E-2</v>
      </c>
      <c r="AF11">
        <v>422.26</v>
      </c>
      <c r="AG11">
        <v>11589</v>
      </c>
      <c r="AH11">
        <v>8.5883165070325299E-2</v>
      </c>
      <c r="AI11" t="s">
        <v>41</v>
      </c>
      <c r="AJ11" t="s">
        <v>25</v>
      </c>
      <c r="AK11">
        <v>37</v>
      </c>
    </row>
    <row r="12" spans="1:37">
      <c r="A12" t="s">
        <v>466</v>
      </c>
      <c r="B12" t="s">
        <v>467</v>
      </c>
      <c r="C12" t="s">
        <v>468</v>
      </c>
      <c r="D12" t="s">
        <v>469</v>
      </c>
      <c r="E12" t="s">
        <v>470</v>
      </c>
      <c r="F12" t="s">
        <v>471</v>
      </c>
      <c r="G12" t="s">
        <v>472</v>
      </c>
      <c r="H12" t="s">
        <v>473</v>
      </c>
      <c r="I12" t="s">
        <v>474</v>
      </c>
      <c r="J12" t="s">
        <v>475</v>
      </c>
      <c r="K12" t="s">
        <v>476</v>
      </c>
      <c r="L12" t="s">
        <v>477</v>
      </c>
      <c r="M12" t="s">
        <v>478</v>
      </c>
      <c r="N12" t="s">
        <v>479</v>
      </c>
      <c r="O12" t="s">
        <v>480</v>
      </c>
      <c r="P12" t="s">
        <v>481</v>
      </c>
      <c r="Q12">
        <v>0.585524799281124</v>
      </c>
      <c r="R12">
        <v>0.508808188939462</v>
      </c>
      <c r="S12">
        <v>0.27501318591158602</v>
      </c>
      <c r="T12">
        <v>0.12571741126369901</v>
      </c>
      <c r="U12">
        <v>0.107890058799398</v>
      </c>
      <c r="V12">
        <v>4.83952257232717E-2</v>
      </c>
      <c r="W12">
        <v>3.0884335137035802E-2</v>
      </c>
      <c r="X12">
        <v>2.9044167920142201E-2</v>
      </c>
      <c r="Y12">
        <v>2.8344826238987299E-2</v>
      </c>
      <c r="Z12">
        <v>2.6043640483678802E-2</v>
      </c>
      <c r="AA12">
        <v>1.7714051298079701E-2</v>
      </c>
      <c r="AB12">
        <v>1.61864390224844E-2</v>
      </c>
      <c r="AC12">
        <v>1.3080424293332799E-2</v>
      </c>
      <c r="AD12">
        <v>1.08222148424528E-2</v>
      </c>
      <c r="AE12">
        <v>9.1891152741692891E-3</v>
      </c>
      <c r="AF12">
        <v>446.02100000000002</v>
      </c>
      <c r="AG12">
        <v>25595.5</v>
      </c>
      <c r="AH12">
        <v>0.508808188939462</v>
      </c>
      <c r="AI12" t="s">
        <v>28</v>
      </c>
      <c r="AJ12" t="s">
        <v>25</v>
      </c>
      <c r="AK12">
        <v>40</v>
      </c>
    </row>
    <row r="13" spans="1:37">
      <c r="A13" t="s">
        <v>482</v>
      </c>
      <c r="B13" t="s">
        <v>483</v>
      </c>
      <c r="C13" t="s">
        <v>484</v>
      </c>
      <c r="D13" t="s">
        <v>485</v>
      </c>
      <c r="E13" t="s">
        <v>486</v>
      </c>
      <c r="F13" t="s">
        <v>487</v>
      </c>
      <c r="G13" t="s">
        <v>488</v>
      </c>
      <c r="H13" t="s">
        <v>489</v>
      </c>
      <c r="I13" t="s">
        <v>490</v>
      </c>
      <c r="J13" t="s">
        <v>491</v>
      </c>
      <c r="K13" t="s">
        <v>492</v>
      </c>
      <c r="L13" t="s">
        <v>493</v>
      </c>
      <c r="M13" t="s">
        <v>494</v>
      </c>
      <c r="N13" t="s">
        <v>495</v>
      </c>
      <c r="O13" t="s">
        <v>496</v>
      </c>
      <c r="P13" t="s">
        <v>497</v>
      </c>
      <c r="Q13">
        <v>8.9901247026598394E-2</v>
      </c>
      <c r="R13">
        <v>5.5388164059684303E-2</v>
      </c>
      <c r="S13">
        <v>4.1851077632811901E-2</v>
      </c>
      <c r="T13">
        <v>2.62668492755713E-2</v>
      </c>
      <c r="U13">
        <v>1.79052836444893E-2</v>
      </c>
      <c r="V13">
        <v>1.6305052980609799E-2</v>
      </c>
      <c r="W13">
        <v>1.3940748215959101E-2</v>
      </c>
      <c r="X13">
        <v>8.3471491386145798E-3</v>
      </c>
      <c r="Y13">
        <v>6.0549268363007296E-3</v>
      </c>
      <c r="Z13">
        <v>6.0549268363007296E-3</v>
      </c>
      <c r="AA13">
        <v>5.0457723635839403E-3</v>
      </c>
      <c r="AB13">
        <v>4.9592734087796396E-3</v>
      </c>
      <c r="AC13">
        <v>4.6276940820298403E-3</v>
      </c>
      <c r="AD13">
        <v>3.2437108051611E-3</v>
      </c>
      <c r="AE13">
        <v>3.1283788654220398E-3</v>
      </c>
      <c r="AF13">
        <v>228.61500000000001</v>
      </c>
      <c r="AG13">
        <v>6936.5</v>
      </c>
      <c r="AH13">
        <v>2.36430476465076E-3</v>
      </c>
      <c r="AI13" t="s">
        <v>55</v>
      </c>
      <c r="AJ13" t="s">
        <v>54</v>
      </c>
      <c r="AK13">
        <v>38</v>
      </c>
    </row>
    <row r="14" spans="1:37">
      <c r="A14" t="s">
        <v>498</v>
      </c>
      <c r="B14" t="s">
        <v>499</v>
      </c>
      <c r="C14" t="s">
        <v>500</v>
      </c>
      <c r="D14" t="s">
        <v>501</v>
      </c>
      <c r="E14" t="s">
        <v>502</v>
      </c>
      <c r="F14" t="s">
        <v>503</v>
      </c>
      <c r="G14" t="s">
        <v>504</v>
      </c>
      <c r="H14" t="s">
        <v>505</v>
      </c>
      <c r="I14" t="s">
        <v>506</v>
      </c>
      <c r="J14" t="s">
        <v>507</v>
      </c>
      <c r="K14" t="s">
        <v>508</v>
      </c>
      <c r="L14" t="s">
        <v>509</v>
      </c>
      <c r="M14" t="s">
        <v>510</v>
      </c>
      <c r="N14" t="s">
        <v>511</v>
      </c>
      <c r="O14" t="s">
        <v>512</v>
      </c>
      <c r="P14" t="s">
        <v>513</v>
      </c>
      <c r="Q14">
        <v>3.8517568372348703E-2</v>
      </c>
      <c r="R14">
        <v>2.6799212057354901E-2</v>
      </c>
      <c r="S14">
        <v>2.0294104173347399E-2</v>
      </c>
      <c r="T14">
        <v>1.27124467451555E-2</v>
      </c>
      <c r="U14">
        <v>1.2126070823216799E-2</v>
      </c>
      <c r="V14">
        <v>9.1254752851710995E-3</v>
      </c>
      <c r="W14">
        <v>8.7131797150579501E-3</v>
      </c>
      <c r="X14">
        <v>6.2119199230381596E-3</v>
      </c>
      <c r="Y14">
        <v>6.0011910760914399E-3</v>
      </c>
      <c r="Z14">
        <v>4.7368179944111098E-3</v>
      </c>
      <c r="AA14">
        <v>3.7198222547986598E-3</v>
      </c>
      <c r="AB14">
        <v>3.4816070365110601E-3</v>
      </c>
      <c r="AC14">
        <v>3.32126987035595E-3</v>
      </c>
      <c r="AD14">
        <v>3.0967978377387899E-3</v>
      </c>
      <c r="AE14">
        <v>3.0051765999358701E-3</v>
      </c>
      <c r="AF14">
        <v>230.786</v>
      </c>
      <c r="AG14">
        <v>21829</v>
      </c>
      <c r="AH14">
        <v>7.7419945943469704E-4</v>
      </c>
      <c r="AI14" t="s">
        <v>55</v>
      </c>
      <c r="AJ14" t="s">
        <v>54</v>
      </c>
      <c r="AK14">
        <v>40</v>
      </c>
    </row>
    <row r="15" spans="1:37">
      <c r="A15" t="s">
        <v>514</v>
      </c>
      <c r="B15" t="s">
        <v>515</v>
      </c>
      <c r="C15" t="s">
        <v>516</v>
      </c>
      <c r="D15" t="s">
        <v>517</v>
      </c>
      <c r="E15" t="s">
        <v>518</v>
      </c>
      <c r="F15" t="s">
        <v>519</v>
      </c>
      <c r="G15" t="s">
        <v>520</v>
      </c>
      <c r="H15" t="s">
        <v>521</v>
      </c>
      <c r="I15" t="s">
        <v>522</v>
      </c>
      <c r="J15" t="s">
        <v>523</v>
      </c>
      <c r="K15" t="s">
        <v>524</v>
      </c>
      <c r="L15" t="s">
        <v>525</v>
      </c>
      <c r="M15" t="s">
        <v>526</v>
      </c>
      <c r="N15" t="s">
        <v>527</v>
      </c>
      <c r="O15" t="s">
        <v>528</v>
      </c>
      <c r="P15" t="s">
        <v>529</v>
      </c>
      <c r="Q15">
        <v>0.36813042334998702</v>
      </c>
      <c r="R15">
        <v>0.19172082190751699</v>
      </c>
      <c r="S15">
        <v>0.13846211637429101</v>
      </c>
      <c r="T15">
        <v>0.115217309642763</v>
      </c>
      <c r="U15">
        <v>0.114082866909583</v>
      </c>
      <c r="V15">
        <v>6.49862890199467E-2</v>
      </c>
      <c r="W15">
        <v>3.4070846324330398E-2</v>
      </c>
      <c r="X15">
        <v>2.5926899815934799E-2</v>
      </c>
      <c r="Y15">
        <v>9.1882348521843699E-3</v>
      </c>
      <c r="Z15">
        <v>6.1004470155140702E-3</v>
      </c>
      <c r="AA15">
        <v>5.9051125051651004E-3</v>
      </c>
      <c r="AB15">
        <v>5.7172908605987796E-3</v>
      </c>
      <c r="AC15">
        <v>5.1162615979865496E-3</v>
      </c>
      <c r="AD15">
        <v>5.0711844032906399E-3</v>
      </c>
      <c r="AE15">
        <v>4.7331054430712598E-3</v>
      </c>
      <c r="AF15">
        <v>231.16</v>
      </c>
      <c r="AG15">
        <v>13310.5</v>
      </c>
      <c r="AH15">
        <v>0</v>
      </c>
      <c r="AI15" t="s">
        <v>55</v>
      </c>
      <c r="AJ15" t="s">
        <v>54</v>
      </c>
      <c r="AK15">
        <v>39</v>
      </c>
    </row>
    <row r="16" spans="1:37">
      <c r="A16" t="s">
        <v>530</v>
      </c>
      <c r="B16" t="s">
        <v>531</v>
      </c>
      <c r="C16" t="s">
        <v>532</v>
      </c>
      <c r="D16" t="s">
        <v>533</v>
      </c>
      <c r="E16" t="s">
        <v>534</v>
      </c>
      <c r="F16" t="s">
        <v>535</v>
      </c>
      <c r="G16" t="s">
        <v>536</v>
      </c>
      <c r="H16" t="s">
        <v>537</v>
      </c>
      <c r="I16" t="s">
        <v>538</v>
      </c>
      <c r="J16" t="s">
        <v>539</v>
      </c>
      <c r="K16" t="s">
        <v>540</v>
      </c>
      <c r="L16" t="s">
        <v>541</v>
      </c>
      <c r="M16" t="s">
        <v>542</v>
      </c>
      <c r="N16" t="s">
        <v>543</v>
      </c>
      <c r="O16" t="s">
        <v>544</v>
      </c>
      <c r="P16" t="s">
        <v>545</v>
      </c>
      <c r="Q16">
        <v>0.38793840449090999</v>
      </c>
      <c r="R16">
        <v>0.15061028995210399</v>
      </c>
      <c r="S16">
        <v>4.8493588092908303E-2</v>
      </c>
      <c r="T16">
        <v>3.2559097697893599E-2</v>
      </c>
      <c r="U16">
        <v>3.2559097697893599E-2</v>
      </c>
      <c r="V16">
        <v>2.1053715816037499E-2</v>
      </c>
      <c r="W16">
        <v>2.0538703198228401E-2</v>
      </c>
      <c r="X16">
        <v>2.0178194365762001E-2</v>
      </c>
      <c r="Y16">
        <v>1.9014265849513299E-2</v>
      </c>
      <c r="Z16">
        <v>1.88803625688829E-2</v>
      </c>
      <c r="AA16">
        <v>1.8221146418087201E-2</v>
      </c>
      <c r="AB16">
        <v>1.7726734304990499E-2</v>
      </c>
      <c r="AC16">
        <v>1.751763918216E-2</v>
      </c>
      <c r="AD16">
        <v>1.67791110882217E-2</v>
      </c>
      <c r="AE16">
        <v>1.16186846577741E-2</v>
      </c>
      <c r="AF16">
        <v>236.37899999999999</v>
      </c>
      <c r="AG16">
        <v>9708.5</v>
      </c>
      <c r="AH16">
        <v>3.2559097697893599E-2</v>
      </c>
      <c r="AI16" t="s">
        <v>64</v>
      </c>
      <c r="AJ16" t="s">
        <v>54</v>
      </c>
      <c r="AK16">
        <v>40</v>
      </c>
    </row>
    <row r="17" spans="1:37">
      <c r="A17" t="s">
        <v>546</v>
      </c>
      <c r="B17" t="s">
        <v>547</v>
      </c>
      <c r="C17" t="s">
        <v>548</v>
      </c>
      <c r="D17" t="s">
        <v>549</v>
      </c>
      <c r="E17" t="s">
        <v>550</v>
      </c>
      <c r="F17" t="s">
        <v>551</v>
      </c>
      <c r="G17" t="s">
        <v>552</v>
      </c>
      <c r="H17" t="s">
        <v>553</v>
      </c>
      <c r="I17" t="s">
        <v>554</v>
      </c>
      <c r="J17" t="s">
        <v>555</v>
      </c>
      <c r="K17" t="s">
        <v>556</v>
      </c>
      <c r="L17" t="s">
        <v>557</v>
      </c>
      <c r="M17" t="s">
        <v>558</v>
      </c>
      <c r="N17" t="s">
        <v>559</v>
      </c>
      <c r="O17" t="s">
        <v>560</v>
      </c>
      <c r="P17" t="s">
        <v>561</v>
      </c>
      <c r="Q17">
        <v>9.7360512217431097E-2</v>
      </c>
      <c r="R17">
        <v>7.6015941460865002E-2</v>
      </c>
      <c r="S17">
        <v>2.7244217953743599E-2</v>
      </c>
      <c r="T17">
        <v>2.0978701162942599E-2</v>
      </c>
      <c r="U17">
        <v>1.6346530772246199E-2</v>
      </c>
      <c r="V17">
        <v>1.17208937671501E-2</v>
      </c>
      <c r="W17">
        <v>1.00352802822423E-2</v>
      </c>
      <c r="X17">
        <v>8.7024696197569602E-3</v>
      </c>
      <c r="Y17">
        <v>7.3369920292695699E-3</v>
      </c>
      <c r="Z17">
        <v>6.1152489219913802E-3</v>
      </c>
      <c r="AA17">
        <v>4.7955050307069104E-3</v>
      </c>
      <c r="AB17">
        <v>4.7040376323010599E-3</v>
      </c>
      <c r="AC17">
        <v>4.1225663138638397E-3</v>
      </c>
      <c r="AD17">
        <v>3.1556252450019601E-3</v>
      </c>
      <c r="AE17">
        <v>3.1360250882007099E-3</v>
      </c>
      <c r="AF17">
        <v>237.863</v>
      </c>
      <c r="AG17">
        <v>15306</v>
      </c>
      <c r="AH17">
        <v>0</v>
      </c>
      <c r="AI17" t="s">
        <v>55</v>
      </c>
      <c r="AJ17" t="s">
        <v>54</v>
      </c>
      <c r="AK17">
        <v>38</v>
      </c>
    </row>
    <row r="18" spans="1:37">
      <c r="A18" t="s">
        <v>562</v>
      </c>
      <c r="B18" t="s">
        <v>563</v>
      </c>
      <c r="C18" t="s">
        <v>564</v>
      </c>
      <c r="D18" t="s">
        <v>565</v>
      </c>
      <c r="E18" t="s">
        <v>566</v>
      </c>
      <c r="F18" t="s">
        <v>567</v>
      </c>
      <c r="G18" t="s">
        <v>568</v>
      </c>
      <c r="H18" t="s">
        <v>569</v>
      </c>
      <c r="I18" t="s">
        <v>570</v>
      </c>
      <c r="J18" t="s">
        <v>571</v>
      </c>
      <c r="K18" t="s">
        <v>572</v>
      </c>
      <c r="L18" t="s">
        <v>573</v>
      </c>
      <c r="M18" t="s">
        <v>574</v>
      </c>
      <c r="N18" t="s">
        <v>575</v>
      </c>
      <c r="O18" t="s">
        <v>576</v>
      </c>
      <c r="P18" t="s">
        <v>577</v>
      </c>
      <c r="Q18">
        <v>0.125990446754706</v>
      </c>
      <c r="R18">
        <v>8.3113234054509696E-2</v>
      </c>
      <c r="S18">
        <v>5.4322375199025899E-2</v>
      </c>
      <c r="T18">
        <v>4.61833848459305E-2</v>
      </c>
      <c r="U18">
        <v>3.8222347101245703E-2</v>
      </c>
      <c r="V18">
        <v>3.06827760606912E-2</v>
      </c>
      <c r="W18">
        <v>1.7195841528519301E-2</v>
      </c>
      <c r="X18">
        <v>1.47887983515969E-2</v>
      </c>
      <c r="Y18">
        <v>1.4460990915051101E-2</v>
      </c>
      <c r="Z18">
        <v>1.2644001123911199E-2</v>
      </c>
      <c r="AA18">
        <v>1.10611595017327E-2</v>
      </c>
      <c r="AB18">
        <v>7.3709843589023103E-3</v>
      </c>
      <c r="AC18">
        <v>7.16493397021635E-3</v>
      </c>
      <c r="AD18">
        <v>6.5842465111922797E-3</v>
      </c>
      <c r="AE18">
        <v>5.9192657113421396E-3</v>
      </c>
      <c r="AF18">
        <v>238.345</v>
      </c>
      <c r="AG18">
        <v>10677</v>
      </c>
      <c r="AH18">
        <v>0</v>
      </c>
      <c r="AI18" t="s">
        <v>55</v>
      </c>
      <c r="AJ18" t="s">
        <v>54</v>
      </c>
      <c r="AK18">
        <v>39</v>
      </c>
    </row>
    <row r="19" spans="1:37">
      <c r="A19" t="s">
        <v>578</v>
      </c>
      <c r="B19" t="s">
        <v>579</v>
      </c>
      <c r="C19" t="s">
        <v>580</v>
      </c>
      <c r="D19" t="s">
        <v>581</v>
      </c>
      <c r="E19" t="s">
        <v>582</v>
      </c>
      <c r="F19" t="s">
        <v>583</v>
      </c>
      <c r="G19" t="s">
        <v>584</v>
      </c>
      <c r="H19" t="s">
        <v>585</v>
      </c>
      <c r="I19" t="s">
        <v>586</v>
      </c>
      <c r="J19" t="s">
        <v>587</v>
      </c>
      <c r="K19" t="s">
        <v>588</v>
      </c>
      <c r="L19" t="s">
        <v>589</v>
      </c>
      <c r="M19" t="s">
        <v>590</v>
      </c>
      <c r="N19" t="s">
        <v>591</v>
      </c>
      <c r="O19" t="s">
        <v>592</v>
      </c>
      <c r="P19" t="s">
        <v>593</v>
      </c>
      <c r="Q19">
        <v>3.0597492908774799E-2</v>
      </c>
      <c r="R19">
        <v>3.3316863390978101E-3</v>
      </c>
      <c r="S19">
        <v>1.16826791106231E-3</v>
      </c>
      <c r="T19">
        <v>9.4244670143654502E-4</v>
      </c>
      <c r="U19">
        <v>8.1032116387592598E-4</v>
      </c>
      <c r="V19">
        <v>6.3024979412572095E-4</v>
      </c>
      <c r="W19">
        <v>5.8340195809314702E-4</v>
      </c>
      <c r="X19">
        <v>5.1239820660627696E-4</v>
      </c>
      <c r="Y19">
        <v>5.1130021044926296E-4</v>
      </c>
      <c r="Z19">
        <v>4.8128831549089601E-4</v>
      </c>
      <c r="AA19">
        <v>3.4074480739317399E-4</v>
      </c>
      <c r="AB19">
        <v>2.8547900082349697E-4</v>
      </c>
      <c r="AC19">
        <v>2.33507182724861E-4</v>
      </c>
      <c r="AD19">
        <v>2.1484124805563201E-4</v>
      </c>
      <c r="AE19">
        <v>2.14475249336627E-4</v>
      </c>
      <c r="AF19">
        <v>238.892</v>
      </c>
      <c r="AG19">
        <v>273225</v>
      </c>
      <c r="AH19">
        <v>0</v>
      </c>
      <c r="AI19" t="s">
        <v>55</v>
      </c>
      <c r="AJ19" t="s">
        <v>54</v>
      </c>
      <c r="AK19">
        <v>38</v>
      </c>
    </row>
    <row r="20" spans="1:37">
      <c r="A20" t="s">
        <v>594</v>
      </c>
      <c r="B20" t="s">
        <v>595</v>
      </c>
      <c r="C20" t="s">
        <v>596</v>
      </c>
      <c r="D20" t="s">
        <v>597</v>
      </c>
      <c r="E20" t="s">
        <v>598</v>
      </c>
      <c r="F20" t="s">
        <v>599</v>
      </c>
      <c r="G20" t="s">
        <v>600</v>
      </c>
      <c r="H20" t="s">
        <v>601</v>
      </c>
      <c r="I20" t="s">
        <v>602</v>
      </c>
      <c r="J20" t="s">
        <v>603</v>
      </c>
      <c r="K20" t="s">
        <v>604</v>
      </c>
      <c r="L20" t="s">
        <v>605</v>
      </c>
      <c r="M20" t="s">
        <v>606</v>
      </c>
      <c r="N20" t="s">
        <v>607</v>
      </c>
      <c r="O20" t="s">
        <v>608</v>
      </c>
      <c r="P20" t="s">
        <v>609</v>
      </c>
      <c r="Q20">
        <v>0.18242824358570001</v>
      </c>
      <c r="R20">
        <v>0.15943936279361501</v>
      </c>
      <c r="S20">
        <v>0.14459683354542099</v>
      </c>
      <c r="T20">
        <v>0.121995874255426</v>
      </c>
      <c r="U20">
        <v>7.90924812111852E-2</v>
      </c>
      <c r="V20">
        <v>6.4612495422888799E-2</v>
      </c>
      <c r="W20">
        <v>6.0878297785947097E-2</v>
      </c>
      <c r="X20">
        <v>4.7728846495473598E-2</v>
      </c>
      <c r="Y20">
        <v>3.33830017873393E-2</v>
      </c>
      <c r="Z20">
        <v>2.5204021332057201E-2</v>
      </c>
      <c r="AA20">
        <v>2.32136577372213E-2</v>
      </c>
      <c r="AB20">
        <v>1.6999662834582301E-2</v>
      </c>
      <c r="AC20">
        <v>1.5879403543499801E-2</v>
      </c>
      <c r="AD20">
        <v>1.5817771155317201E-2</v>
      </c>
      <c r="AE20">
        <v>1.01222134003314E-2</v>
      </c>
      <c r="AF20">
        <v>340.78</v>
      </c>
      <c r="AG20">
        <v>27582.9</v>
      </c>
      <c r="AH20">
        <v>0.18242824358570001</v>
      </c>
      <c r="AI20" t="s">
        <v>41</v>
      </c>
      <c r="AJ20" t="s">
        <v>33</v>
      </c>
      <c r="AK20">
        <v>40</v>
      </c>
    </row>
    <row r="21" spans="1:37">
      <c r="A21" t="s">
        <v>610</v>
      </c>
      <c r="B21" t="s">
        <v>611</v>
      </c>
      <c r="C21" t="s">
        <v>612</v>
      </c>
      <c r="D21" t="s">
        <v>613</v>
      </c>
      <c r="E21" t="s">
        <v>614</v>
      </c>
      <c r="F21" t="s">
        <v>615</v>
      </c>
      <c r="G21" t="s">
        <v>616</v>
      </c>
      <c r="H21" t="s">
        <v>617</v>
      </c>
      <c r="I21" t="s">
        <v>618</v>
      </c>
      <c r="J21" t="s">
        <v>619</v>
      </c>
      <c r="K21" t="s">
        <v>620</v>
      </c>
      <c r="L21" t="s">
        <v>621</v>
      </c>
      <c r="M21" t="s">
        <v>622</v>
      </c>
      <c r="N21" t="s">
        <v>623</v>
      </c>
      <c r="O21" t="s">
        <v>624</v>
      </c>
      <c r="P21" t="s">
        <v>625</v>
      </c>
      <c r="Q21">
        <v>0.52836198799362899</v>
      </c>
      <c r="R21">
        <v>0.34211214113611299</v>
      </c>
      <c r="S21">
        <v>0.21230040429615701</v>
      </c>
      <c r="T21">
        <v>0.20349573242945199</v>
      </c>
      <c r="U21">
        <v>9.94854412545432E-2</v>
      </c>
      <c r="V21">
        <v>7.4059705149671307E-2</v>
      </c>
      <c r="W21">
        <v>7.1997386368277003E-2</v>
      </c>
      <c r="X21">
        <v>5.4535059419283702E-2</v>
      </c>
      <c r="Y21">
        <v>4.3349532404949598E-2</v>
      </c>
      <c r="Z21">
        <v>2.7349205700984199E-2</v>
      </c>
      <c r="AA21">
        <v>1.77196063217217E-2</v>
      </c>
      <c r="AB21">
        <v>1.6723159227345099E-2</v>
      </c>
      <c r="AC21">
        <v>1.6257606076693801E-2</v>
      </c>
      <c r="AD21">
        <v>1.6212684281455499E-2</v>
      </c>
      <c r="AE21">
        <v>1.5841058520847801E-2</v>
      </c>
      <c r="AF21">
        <v>352.39800000000002</v>
      </c>
      <c r="AG21">
        <v>24487</v>
      </c>
      <c r="AH21">
        <v>0.21230040429615701</v>
      </c>
      <c r="AI21" t="s">
        <v>28</v>
      </c>
      <c r="AJ21" t="s">
        <v>33</v>
      </c>
      <c r="AK21">
        <v>37</v>
      </c>
    </row>
    <row r="22" spans="1:37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634</v>
      </c>
      <c r="J22" t="s">
        <v>635</v>
      </c>
      <c r="K22" t="s">
        <v>636</v>
      </c>
      <c r="L22" t="s">
        <v>637</v>
      </c>
      <c r="M22" t="s">
        <v>638</v>
      </c>
      <c r="N22" t="s">
        <v>639</v>
      </c>
      <c r="O22" t="s">
        <v>640</v>
      </c>
      <c r="P22" t="s">
        <v>641</v>
      </c>
      <c r="Q22">
        <v>4.2724433502028897E-2</v>
      </c>
      <c r="R22">
        <v>8.7128983723156906E-3</v>
      </c>
      <c r="S22">
        <v>8.4701135275612096E-3</v>
      </c>
      <c r="T22">
        <v>8.0962476633383504E-3</v>
      </c>
      <c r="U22">
        <v>7.9913828477636405E-3</v>
      </c>
      <c r="V22">
        <v>6.44918615784434E-3</v>
      </c>
      <c r="W22">
        <v>5.5692335749783399E-3</v>
      </c>
      <c r="X22">
        <v>4.9696803902794899E-3</v>
      </c>
      <c r="Y22">
        <v>3.8024893995349499E-3</v>
      </c>
      <c r="Z22">
        <v>3.73181963251721E-3</v>
      </c>
      <c r="AA22">
        <v>3.2622076323348399E-3</v>
      </c>
      <c r="AB22">
        <v>3.1379656225778499E-3</v>
      </c>
      <c r="AC22">
        <v>2.8689645739297001E-3</v>
      </c>
      <c r="AD22">
        <v>2.59312451557015E-3</v>
      </c>
      <c r="AE22">
        <v>2.43582729220809E-3</v>
      </c>
      <c r="AF22">
        <v>353.17099999999999</v>
      </c>
      <c r="AG22">
        <v>87732</v>
      </c>
      <c r="AH22">
        <v>3.8024893995349499E-3</v>
      </c>
      <c r="AI22" t="s">
        <v>55</v>
      </c>
      <c r="AJ22" t="s">
        <v>33</v>
      </c>
      <c r="AK22">
        <v>40</v>
      </c>
    </row>
    <row r="23" spans="1:37">
      <c r="A23" t="s">
        <v>642</v>
      </c>
      <c r="B23" t="s">
        <v>643</v>
      </c>
      <c r="C23" t="s">
        <v>644</v>
      </c>
      <c r="D23" t="s">
        <v>645</v>
      </c>
      <c r="E23" t="s">
        <v>646</v>
      </c>
      <c r="F23" t="s">
        <v>647</v>
      </c>
      <c r="G23" t="s">
        <v>648</v>
      </c>
      <c r="H23" t="s">
        <v>649</v>
      </c>
      <c r="I23" t="s">
        <v>650</v>
      </c>
      <c r="J23" t="s">
        <v>651</v>
      </c>
      <c r="K23" t="s">
        <v>652</v>
      </c>
      <c r="L23" t="s">
        <v>653</v>
      </c>
      <c r="M23" t="s">
        <v>654</v>
      </c>
      <c r="N23" t="s">
        <v>655</v>
      </c>
      <c r="O23" t="s">
        <v>656</v>
      </c>
      <c r="P23" t="s">
        <v>657</v>
      </c>
      <c r="Q23">
        <v>1.9427156734447399</v>
      </c>
      <c r="R23">
        <v>0.33097820616065998</v>
      </c>
      <c r="S23">
        <v>0.282929836923696</v>
      </c>
      <c r="T23">
        <v>0.120256190859674</v>
      </c>
      <c r="U23">
        <v>8.6955154016508995E-2</v>
      </c>
      <c r="V23">
        <v>4.6330783168914799E-2</v>
      </c>
      <c r="W23">
        <v>4.2543285685524498E-2</v>
      </c>
      <c r="X23">
        <v>3.5421280450976401E-2</v>
      </c>
      <c r="Y23">
        <v>2.8223776927723002E-2</v>
      </c>
      <c r="Z23">
        <v>1.30171632776324E-2</v>
      </c>
      <c r="AA23">
        <v>8.5187235755989493E-3</v>
      </c>
      <c r="AB23">
        <v>7.3988322931346903E-3</v>
      </c>
      <c r="AC23">
        <v>6.7885544594322497E-3</v>
      </c>
      <c r="AD23">
        <v>5.9832393799073898E-3</v>
      </c>
      <c r="AE23">
        <v>5.5491242198510201E-3</v>
      </c>
      <c r="AF23">
        <v>353.60199999999998</v>
      </c>
      <c r="AG23">
        <v>15894.4</v>
      </c>
      <c r="AH23">
        <v>1.30171632776324E-2</v>
      </c>
      <c r="AI23" t="s">
        <v>64</v>
      </c>
      <c r="AJ23" t="s">
        <v>33</v>
      </c>
      <c r="AK23">
        <v>36</v>
      </c>
    </row>
    <row r="24" spans="1:37">
      <c r="A24" t="s">
        <v>658</v>
      </c>
      <c r="B24" t="s">
        <v>659</v>
      </c>
      <c r="C24" t="s">
        <v>660</v>
      </c>
      <c r="D24" t="s">
        <v>661</v>
      </c>
      <c r="E24" t="s">
        <v>662</v>
      </c>
      <c r="F24" t="s">
        <v>663</v>
      </c>
      <c r="G24" t="s">
        <v>664</v>
      </c>
      <c r="H24" t="s">
        <v>665</v>
      </c>
      <c r="I24" t="s">
        <v>666</v>
      </c>
      <c r="J24" t="s">
        <v>667</v>
      </c>
      <c r="K24" t="s">
        <v>668</v>
      </c>
      <c r="L24" t="s">
        <v>669</v>
      </c>
      <c r="M24" t="s">
        <v>670</v>
      </c>
      <c r="N24" t="s">
        <v>671</v>
      </c>
      <c r="O24" t="s">
        <v>672</v>
      </c>
      <c r="P24" t="s">
        <v>673</v>
      </c>
      <c r="Q24">
        <v>16.1834637214297</v>
      </c>
      <c r="R24">
        <v>1.8868247470955399</v>
      </c>
      <c r="S24">
        <v>0.42624393473328998</v>
      </c>
      <c r="T24">
        <v>0.16865680076860401</v>
      </c>
      <c r="U24">
        <v>8.6169173509014096E-2</v>
      </c>
      <c r="V24">
        <v>5.6151653870064003E-2</v>
      </c>
      <c r="W24">
        <v>5.2922227335480902E-2</v>
      </c>
      <c r="X24">
        <v>4.8086161099942702E-2</v>
      </c>
      <c r="Y24">
        <v>4.6221167276220901E-2</v>
      </c>
      <c r="Z24">
        <v>3.9988374064475501E-2</v>
      </c>
      <c r="AA24">
        <v>2.7167550722180502E-2</v>
      </c>
      <c r="AB24">
        <v>2.2331484486642302E-2</v>
      </c>
      <c r="AC24">
        <v>1.65992523877572E-2</v>
      </c>
      <c r="AD24">
        <v>1.62117212036073E-2</v>
      </c>
      <c r="AE24">
        <v>1.23202622294346E-2</v>
      </c>
      <c r="AF24">
        <v>357.625</v>
      </c>
      <c r="AG24">
        <v>12386.1</v>
      </c>
      <c r="AH24">
        <v>0.42624393473328998</v>
      </c>
      <c r="AI24" t="s">
        <v>28</v>
      </c>
      <c r="AJ24" t="s">
        <v>33</v>
      </c>
      <c r="AK24">
        <v>39</v>
      </c>
    </row>
    <row r="25" spans="1:37">
      <c r="A25" t="s">
        <v>674</v>
      </c>
      <c r="B25" t="s">
        <v>675</v>
      </c>
      <c r="C25" t="s">
        <v>676</v>
      </c>
      <c r="D25" t="s">
        <v>677</v>
      </c>
      <c r="E25" t="s">
        <v>678</v>
      </c>
      <c r="F25" t="s">
        <v>679</v>
      </c>
      <c r="G25" t="s">
        <v>680</v>
      </c>
      <c r="H25" t="s">
        <v>681</v>
      </c>
      <c r="I25" t="s">
        <v>682</v>
      </c>
      <c r="J25" t="s">
        <v>683</v>
      </c>
      <c r="K25" t="s">
        <v>684</v>
      </c>
      <c r="L25" t="s">
        <v>685</v>
      </c>
      <c r="M25" t="s">
        <v>686</v>
      </c>
      <c r="N25" t="s">
        <v>687</v>
      </c>
      <c r="O25" t="s">
        <v>688</v>
      </c>
      <c r="P25" t="s">
        <v>689</v>
      </c>
      <c r="Q25">
        <v>2.1702393138579099</v>
      </c>
      <c r="R25">
        <v>0.80971186635735404</v>
      </c>
      <c r="S25">
        <v>0.458372956504358</v>
      </c>
      <c r="T25">
        <v>0.18613905764489999</v>
      </c>
      <c r="U25">
        <v>0.13625323294790301</v>
      </c>
      <c r="V25">
        <v>0.12543535012750101</v>
      </c>
      <c r="W25">
        <v>0.10637988576412701</v>
      </c>
      <c r="X25">
        <v>7.1085483079644102E-2</v>
      </c>
      <c r="Y25">
        <v>3.6378613784623599E-2</v>
      </c>
      <c r="Z25">
        <v>2.7735210209755501E-2</v>
      </c>
      <c r="AA25">
        <v>2.0266873413811299E-2</v>
      </c>
      <c r="AB25">
        <v>1.5094156768445201E-2</v>
      </c>
      <c r="AC25">
        <v>8.0982695021714502E-3</v>
      </c>
      <c r="AD25">
        <v>7.8802158730927902E-3</v>
      </c>
      <c r="AE25">
        <v>6.8323470444647703E-3</v>
      </c>
      <c r="AF25">
        <v>364.54</v>
      </c>
      <c r="AG25">
        <v>16509.7</v>
      </c>
      <c r="AH25">
        <v>0.80971186635735404</v>
      </c>
      <c r="AI25" t="s">
        <v>28</v>
      </c>
      <c r="AJ25" t="s">
        <v>33</v>
      </c>
      <c r="AK25">
        <v>39</v>
      </c>
    </row>
    <row r="26" spans="1:37">
      <c r="A26" t="s">
        <v>690</v>
      </c>
      <c r="B26" t="s">
        <v>691</v>
      </c>
      <c r="C26" t="s">
        <v>692</v>
      </c>
      <c r="D26" t="s">
        <v>693</v>
      </c>
      <c r="E26" t="s">
        <v>694</v>
      </c>
      <c r="F26" t="s">
        <v>695</v>
      </c>
      <c r="G26" t="s">
        <v>696</v>
      </c>
      <c r="H26" t="s">
        <v>697</v>
      </c>
      <c r="I26" t="s">
        <v>698</v>
      </c>
      <c r="J26" t="s">
        <v>699</v>
      </c>
      <c r="K26" t="s">
        <v>700</v>
      </c>
      <c r="L26" t="s">
        <v>701</v>
      </c>
      <c r="M26" t="s">
        <v>702</v>
      </c>
      <c r="N26" t="s">
        <v>703</v>
      </c>
      <c r="O26" t="s">
        <v>704</v>
      </c>
      <c r="P26" t="s">
        <v>705</v>
      </c>
      <c r="Q26">
        <v>2.1379911593407699</v>
      </c>
      <c r="R26">
        <v>0.16390871894001199</v>
      </c>
      <c r="S26">
        <v>9.3615172287012202E-2</v>
      </c>
      <c r="T26">
        <v>6.8976082312275297E-2</v>
      </c>
      <c r="U26">
        <v>5.0456377446570298E-2</v>
      </c>
      <c r="V26">
        <v>4.1986168017090798E-2</v>
      </c>
      <c r="W26">
        <v>3.4532606546098701E-2</v>
      </c>
      <c r="X26">
        <v>3.2471457260398399E-2</v>
      </c>
      <c r="Y26">
        <v>2.0110132219941301E-2</v>
      </c>
      <c r="Z26">
        <v>1.4338914219980301E-2</v>
      </c>
      <c r="AA26">
        <v>1.15257239786866E-2</v>
      </c>
      <c r="AB26">
        <v>9.2918838068870198E-3</v>
      </c>
      <c r="AC26">
        <v>9.2696011119064795E-3</v>
      </c>
      <c r="AD26">
        <v>8.9938527615222395E-3</v>
      </c>
      <c r="AE26">
        <v>8.3866493233024104E-3</v>
      </c>
      <c r="AF26">
        <v>387.21100000000001</v>
      </c>
      <c r="AG26">
        <v>35902.300000000003</v>
      </c>
      <c r="AH26">
        <v>2.0110132219941301E-2</v>
      </c>
      <c r="AI26" t="s">
        <v>64</v>
      </c>
      <c r="AJ26" t="s">
        <v>33</v>
      </c>
      <c r="AK26">
        <v>36</v>
      </c>
    </row>
    <row r="27" spans="1:37">
      <c r="A27" t="s">
        <v>706</v>
      </c>
      <c r="B27" t="s">
        <v>707</v>
      </c>
      <c r="C27" t="s">
        <v>708</v>
      </c>
      <c r="D27" t="s">
        <v>709</v>
      </c>
      <c r="E27" t="s">
        <v>710</v>
      </c>
      <c r="F27" t="s">
        <v>711</v>
      </c>
      <c r="G27" t="s">
        <v>712</v>
      </c>
      <c r="H27" t="s">
        <v>713</v>
      </c>
      <c r="I27" t="s">
        <v>714</v>
      </c>
      <c r="J27" t="s">
        <v>715</v>
      </c>
      <c r="K27" t="s">
        <v>716</v>
      </c>
      <c r="L27" t="s">
        <v>717</v>
      </c>
      <c r="M27" t="s">
        <v>718</v>
      </c>
      <c r="N27" t="s">
        <v>719</v>
      </c>
      <c r="O27" t="s">
        <v>720</v>
      </c>
      <c r="P27" t="s">
        <v>721</v>
      </c>
      <c r="Q27">
        <v>0.60267885890913797</v>
      </c>
      <c r="R27">
        <v>0.383716097155469</v>
      </c>
      <c r="S27">
        <v>0.12229318752597799</v>
      </c>
      <c r="T27">
        <v>0.120010069137508</v>
      </c>
      <c r="U27">
        <v>9.6253929597995502E-2</v>
      </c>
      <c r="V27">
        <v>8.37845907071227E-2</v>
      </c>
      <c r="W27">
        <v>8.2203970284336E-2</v>
      </c>
      <c r="X27">
        <v>7.1526001205954801E-2</v>
      </c>
      <c r="Y27">
        <v>5.42679678490098E-2</v>
      </c>
      <c r="Z27">
        <v>5.0655957475456502E-2</v>
      </c>
      <c r="AA27">
        <v>4.6042887500804902E-2</v>
      </c>
      <c r="AB27">
        <v>2.9428810612402601E-2</v>
      </c>
      <c r="AC27">
        <v>2.4979656829743801E-2</v>
      </c>
      <c r="AD27">
        <v>1.8516675545460399E-2</v>
      </c>
      <c r="AE27">
        <v>1.6625785187830401E-2</v>
      </c>
      <c r="AF27">
        <v>389.85300000000001</v>
      </c>
      <c r="AG27">
        <v>17081.900000000001</v>
      </c>
      <c r="AH27">
        <v>0.12229318752597799</v>
      </c>
      <c r="AI27" t="s">
        <v>41</v>
      </c>
      <c r="AJ27" t="s">
        <v>33</v>
      </c>
      <c r="AK27">
        <v>40</v>
      </c>
    </row>
    <row r="28" spans="1:37">
      <c r="A28" t="s">
        <v>722</v>
      </c>
      <c r="B28" t="s">
        <v>332</v>
      </c>
      <c r="C28" t="s">
        <v>723</v>
      </c>
      <c r="D28" t="s">
        <v>724</v>
      </c>
      <c r="E28" t="s">
        <v>335</v>
      </c>
      <c r="F28" t="s">
        <v>725</v>
      </c>
      <c r="G28" t="s">
        <v>336</v>
      </c>
      <c r="H28" t="s">
        <v>726</v>
      </c>
      <c r="I28" t="s">
        <v>339</v>
      </c>
      <c r="J28" t="s">
        <v>727</v>
      </c>
      <c r="K28" t="s">
        <v>728</v>
      </c>
      <c r="L28" t="s">
        <v>729</v>
      </c>
      <c r="M28" t="s">
        <v>730</v>
      </c>
      <c r="N28" t="s">
        <v>341</v>
      </c>
      <c r="O28" t="s">
        <v>343</v>
      </c>
      <c r="P28" t="s">
        <v>344</v>
      </c>
      <c r="Q28">
        <v>0.36758916277175502</v>
      </c>
      <c r="R28">
        <v>0.13067509648391301</v>
      </c>
      <c r="S28">
        <v>8.2219808777611897E-2</v>
      </c>
      <c r="T28">
        <v>6.8004189050288003E-2</v>
      </c>
      <c r="U28">
        <v>5.0229815953299901E-2</v>
      </c>
      <c r="V28">
        <v>4.6142582859802599E-2</v>
      </c>
      <c r="W28">
        <v>3.6848127533308801E-2</v>
      </c>
      <c r="X28">
        <v>2.8503966022147699E-2</v>
      </c>
      <c r="Y28">
        <v>2.2448267168318398E-2</v>
      </c>
      <c r="Z28">
        <v>1.9805868549153501E-2</v>
      </c>
      <c r="AA28">
        <v>1.75174058918217E-2</v>
      </c>
      <c r="AB28">
        <v>1.5965905785156002E-2</v>
      </c>
      <c r="AC28">
        <v>1.5616818261156301E-2</v>
      </c>
      <c r="AD28">
        <v>1.17865523728255E-2</v>
      </c>
      <c r="AE28">
        <v>1.12920117138258E-2</v>
      </c>
      <c r="AF28">
        <v>394.46800000000002</v>
      </c>
      <c r="AG28">
        <v>20625.2</v>
      </c>
      <c r="AH28">
        <v>0.13067509648391301</v>
      </c>
      <c r="AI28" t="s">
        <v>41</v>
      </c>
      <c r="AJ28" t="s">
        <v>33</v>
      </c>
      <c r="AK28">
        <v>40</v>
      </c>
    </row>
    <row r="29" spans="1:37">
      <c r="A29" t="s">
        <v>348</v>
      </c>
      <c r="B29" t="s">
        <v>349</v>
      </c>
      <c r="C29" t="s">
        <v>347</v>
      </c>
      <c r="D29" t="s">
        <v>350</v>
      </c>
      <c r="E29" t="s">
        <v>731</v>
      </c>
      <c r="F29" t="s">
        <v>351</v>
      </c>
      <c r="G29" t="s">
        <v>353</v>
      </c>
      <c r="H29" t="s">
        <v>354</v>
      </c>
      <c r="I29" t="s">
        <v>355</v>
      </c>
      <c r="J29" t="s">
        <v>732</v>
      </c>
      <c r="K29" t="s">
        <v>356</v>
      </c>
      <c r="L29" t="s">
        <v>733</v>
      </c>
      <c r="M29" t="s">
        <v>734</v>
      </c>
      <c r="N29" t="s">
        <v>735</v>
      </c>
      <c r="O29" t="s">
        <v>360</v>
      </c>
      <c r="P29" t="s">
        <v>736</v>
      </c>
      <c r="Q29">
        <v>0.39422878735829597</v>
      </c>
      <c r="R29">
        <v>0.32263018570533702</v>
      </c>
      <c r="S29">
        <v>0.14871380362519501</v>
      </c>
      <c r="T29">
        <v>0.128979327904298</v>
      </c>
      <c r="U29">
        <v>9.3814537151170996E-2</v>
      </c>
      <c r="V29">
        <v>8.14597773152545E-2</v>
      </c>
      <c r="W29">
        <v>6.8611958696223302E-2</v>
      </c>
      <c r="X29">
        <v>6.8110816982237796E-2</v>
      </c>
      <c r="Y29">
        <v>6.2477014165336402E-2</v>
      </c>
      <c r="Z29">
        <v>5.3343302281407198E-2</v>
      </c>
      <c r="AA29">
        <v>4.4617778406450197E-2</v>
      </c>
      <c r="AB29">
        <v>2.6273566795319999E-2</v>
      </c>
      <c r="AC29">
        <v>2.1912825590559099E-2</v>
      </c>
      <c r="AD29">
        <v>2.11934447430638E-2</v>
      </c>
      <c r="AE29">
        <v>2.0526602946228299E-2</v>
      </c>
      <c r="AF29">
        <v>400.04500000000002</v>
      </c>
      <c r="AG29">
        <v>24743.5</v>
      </c>
      <c r="AH29">
        <v>0.32263018570533702</v>
      </c>
      <c r="AI29" t="s">
        <v>28</v>
      </c>
      <c r="AJ29" t="s">
        <v>33</v>
      </c>
      <c r="AK29">
        <v>39</v>
      </c>
    </row>
    <row r="30" spans="1:37">
      <c r="A30" t="s">
        <v>737</v>
      </c>
      <c r="B30" t="s">
        <v>738</v>
      </c>
      <c r="C30" t="s">
        <v>739</v>
      </c>
      <c r="D30" t="s">
        <v>740</v>
      </c>
      <c r="E30" t="s">
        <v>741</v>
      </c>
      <c r="F30" t="s">
        <v>742</v>
      </c>
      <c r="G30" t="s">
        <v>743</v>
      </c>
      <c r="H30" t="s">
        <v>744</v>
      </c>
      <c r="I30" t="s">
        <v>745</v>
      </c>
      <c r="J30" t="s">
        <v>746</v>
      </c>
      <c r="K30" t="s">
        <v>747</v>
      </c>
      <c r="L30" t="s">
        <v>748</v>
      </c>
      <c r="M30" t="s">
        <v>749</v>
      </c>
      <c r="N30" t="s">
        <v>750</v>
      </c>
      <c r="O30" t="s">
        <v>751</v>
      </c>
      <c r="P30" t="s">
        <v>752</v>
      </c>
      <c r="Q30">
        <v>134.31864336174101</v>
      </c>
      <c r="R30">
        <v>0.235287174769583</v>
      </c>
      <c r="S30">
        <v>0.22962872962699399</v>
      </c>
      <c r="T30">
        <v>0.13705587280648501</v>
      </c>
      <c r="U30">
        <v>0.12229878673216101</v>
      </c>
      <c r="V30">
        <v>0.110825681703782</v>
      </c>
      <c r="W30">
        <v>7.2278825959418896E-2</v>
      </c>
      <c r="X30">
        <v>6.7831912936316505E-2</v>
      </c>
      <c r="Y30">
        <v>6.1104264662489402E-2</v>
      </c>
      <c r="Z30">
        <v>4.3809556870845097E-2</v>
      </c>
      <c r="AA30">
        <v>1.7690451807751702E-2</v>
      </c>
      <c r="AB30">
        <v>1.39794837970597E-2</v>
      </c>
      <c r="AC30">
        <v>1.05774738340305E-2</v>
      </c>
      <c r="AD30">
        <v>6.9984204953743101E-3</v>
      </c>
      <c r="AE30">
        <v>5.9049172929720702E-3</v>
      </c>
      <c r="AF30">
        <v>407.79700000000003</v>
      </c>
      <c r="AG30">
        <v>28806.5</v>
      </c>
      <c r="AH30">
        <v>0.22962872962699399</v>
      </c>
      <c r="AI30" t="s">
        <v>28</v>
      </c>
      <c r="AJ30" t="s">
        <v>33</v>
      </c>
      <c r="AK30">
        <v>28</v>
      </c>
    </row>
    <row r="31" spans="1:37">
      <c r="A31" t="s">
        <v>753</v>
      </c>
      <c r="B31" t="s">
        <v>754</v>
      </c>
      <c r="C31" t="s">
        <v>755</v>
      </c>
      <c r="D31" t="s">
        <v>756</v>
      </c>
      <c r="E31" t="s">
        <v>757</v>
      </c>
      <c r="F31" t="s">
        <v>758</v>
      </c>
      <c r="G31" t="s">
        <v>759</v>
      </c>
      <c r="H31" t="s">
        <v>760</v>
      </c>
      <c r="I31" t="s">
        <v>761</v>
      </c>
      <c r="J31" t="s">
        <v>762</v>
      </c>
      <c r="K31" t="s">
        <v>763</v>
      </c>
      <c r="L31" t="s">
        <v>764</v>
      </c>
      <c r="M31" t="s">
        <v>765</v>
      </c>
      <c r="N31" t="s">
        <v>766</v>
      </c>
      <c r="O31" t="s">
        <v>767</v>
      </c>
      <c r="P31" t="s">
        <v>768</v>
      </c>
      <c r="Q31">
        <v>4.3991000051136098</v>
      </c>
      <c r="R31">
        <v>1.0653689467673499</v>
      </c>
      <c r="S31">
        <v>0.810966983142141</v>
      </c>
      <c r="T31">
        <v>0.75141050334941295</v>
      </c>
      <c r="U31">
        <v>0.71430275964341094</v>
      </c>
      <c r="V31">
        <v>0.55317299333526504</v>
      </c>
      <c r="W31">
        <v>0.48696882404077302</v>
      </c>
      <c r="X31">
        <v>0.27054391736410599</v>
      </c>
      <c r="Y31">
        <v>0.15579456934903799</v>
      </c>
      <c r="Z31">
        <v>0.116760700223294</v>
      </c>
      <c r="AA31">
        <v>0.104914176623997</v>
      </c>
      <c r="AB31">
        <v>5.3386060306475497E-2</v>
      </c>
      <c r="AC31">
        <v>5.2601973852421303E-2</v>
      </c>
      <c r="AD31">
        <v>3.7908875517752801E-2</v>
      </c>
      <c r="AE31">
        <v>3.7755467298481303E-2</v>
      </c>
      <c r="AF31">
        <v>291.036</v>
      </c>
      <c r="AG31">
        <v>5866.7</v>
      </c>
      <c r="AH31">
        <v>4.3991000051136098</v>
      </c>
      <c r="AI31" t="s">
        <v>28</v>
      </c>
      <c r="AJ31" t="s">
        <v>84</v>
      </c>
      <c r="AK31">
        <v>39</v>
      </c>
    </row>
    <row r="32" spans="1:37">
      <c r="A32" t="s">
        <v>769</v>
      </c>
      <c r="B32" t="s">
        <v>770</v>
      </c>
      <c r="C32" t="s">
        <v>771</v>
      </c>
      <c r="D32" t="s">
        <v>772</v>
      </c>
      <c r="E32" t="s">
        <v>773</v>
      </c>
      <c r="F32" t="s">
        <v>774</v>
      </c>
      <c r="G32" t="s">
        <v>775</v>
      </c>
      <c r="H32" t="s">
        <v>776</v>
      </c>
      <c r="I32" t="s">
        <v>777</v>
      </c>
      <c r="J32" t="s">
        <v>778</v>
      </c>
      <c r="K32" t="s">
        <v>779</v>
      </c>
      <c r="L32" t="s">
        <v>780</v>
      </c>
      <c r="M32" t="s">
        <v>781</v>
      </c>
      <c r="N32" t="s">
        <v>782</v>
      </c>
      <c r="O32" t="s">
        <v>783</v>
      </c>
      <c r="P32" t="s">
        <v>784</v>
      </c>
      <c r="Q32">
        <v>0.41757434439582197</v>
      </c>
      <c r="R32">
        <v>9.6826055940630998E-2</v>
      </c>
      <c r="S32">
        <v>8.5295088425378807E-2</v>
      </c>
      <c r="T32">
        <v>7.2252211965375193E-2</v>
      </c>
      <c r="U32">
        <v>6.0795775172751601E-2</v>
      </c>
      <c r="V32">
        <v>3.8798564751227102E-2</v>
      </c>
      <c r="W32">
        <v>2.9194748778228499E-2</v>
      </c>
      <c r="X32">
        <v>2.68204129002034E-2</v>
      </c>
      <c r="Y32">
        <v>2.1038958273442598E-2</v>
      </c>
      <c r="Z32">
        <v>2.0346887277605599E-2</v>
      </c>
      <c r="AA32">
        <v>1.9165042961637999E-2</v>
      </c>
      <c r="AB32">
        <v>1.6226403040853501E-2</v>
      </c>
      <c r="AC32">
        <v>1.54917430606574E-2</v>
      </c>
      <c r="AD32">
        <v>1.29896402295546E-2</v>
      </c>
      <c r="AE32">
        <v>1.20100935892931E-2</v>
      </c>
      <c r="AF32">
        <v>296.452</v>
      </c>
      <c r="AG32">
        <v>9392.1</v>
      </c>
      <c r="AH32">
        <v>8.5295088425378807E-2</v>
      </c>
      <c r="AI32" t="s">
        <v>41</v>
      </c>
      <c r="AJ32" t="s">
        <v>84</v>
      </c>
      <c r="AK32">
        <v>38</v>
      </c>
    </row>
    <row r="33" spans="1:37">
      <c r="A33" t="s">
        <v>785</v>
      </c>
      <c r="B33" t="s">
        <v>786</v>
      </c>
      <c r="C33" t="s">
        <v>787</v>
      </c>
      <c r="D33" t="s">
        <v>788</v>
      </c>
      <c r="E33" t="s">
        <v>789</v>
      </c>
      <c r="F33" t="s">
        <v>790</v>
      </c>
      <c r="G33" t="s">
        <v>791</v>
      </c>
      <c r="H33" t="s">
        <v>792</v>
      </c>
      <c r="I33" t="s">
        <v>793</v>
      </c>
      <c r="J33" t="s">
        <v>794</v>
      </c>
      <c r="K33" t="s">
        <v>795</v>
      </c>
      <c r="L33" t="s">
        <v>796</v>
      </c>
      <c r="M33" t="s">
        <v>797</v>
      </c>
      <c r="N33" t="s">
        <v>798</v>
      </c>
      <c r="O33" t="s">
        <v>799</v>
      </c>
      <c r="P33" t="s">
        <v>800</v>
      </c>
      <c r="Q33">
        <v>0.51685647912063004</v>
      </c>
      <c r="R33">
        <v>0.45811094112980899</v>
      </c>
      <c r="S33">
        <v>0.245532324777608</v>
      </c>
      <c r="T33">
        <v>0.17406085330613599</v>
      </c>
      <c r="U33">
        <v>0.16782820556405501</v>
      </c>
      <c r="V33">
        <v>0.130375658677546</v>
      </c>
      <c r="W33">
        <v>5.4144710748484301E-2</v>
      </c>
      <c r="X33">
        <v>4.2529321774604799E-2</v>
      </c>
      <c r="Y33">
        <v>3.3418323984361703E-2</v>
      </c>
      <c r="Z33">
        <v>3.2319111564394598E-2</v>
      </c>
      <c r="AA33">
        <v>2.8738172134398599E-2</v>
      </c>
      <c r="AB33">
        <v>2.3230777947759101E-2</v>
      </c>
      <c r="AC33">
        <v>2.2142897614595699E-2</v>
      </c>
      <c r="AD33">
        <v>2.1984248399342699E-2</v>
      </c>
      <c r="AE33">
        <v>1.4697716584509E-2</v>
      </c>
      <c r="AF33">
        <v>300.24099999999999</v>
      </c>
      <c r="AG33">
        <v>8824.5</v>
      </c>
      <c r="AH33">
        <v>0.245532324777608</v>
      </c>
      <c r="AI33" t="s">
        <v>28</v>
      </c>
      <c r="AJ33" t="s">
        <v>84</v>
      </c>
      <c r="AK33">
        <v>36</v>
      </c>
    </row>
    <row r="34" spans="1:37">
      <c r="A34" t="s">
        <v>801</v>
      </c>
      <c r="B34" t="s">
        <v>802</v>
      </c>
      <c r="C34" t="s">
        <v>803</v>
      </c>
      <c r="D34" t="s">
        <v>804</v>
      </c>
      <c r="E34" t="s">
        <v>805</v>
      </c>
      <c r="F34" t="s">
        <v>806</v>
      </c>
      <c r="G34" t="s">
        <v>807</v>
      </c>
      <c r="H34" t="s">
        <v>808</v>
      </c>
      <c r="I34" t="s">
        <v>809</v>
      </c>
      <c r="J34" t="s">
        <v>810</v>
      </c>
      <c r="K34" t="s">
        <v>811</v>
      </c>
      <c r="L34" t="s">
        <v>812</v>
      </c>
      <c r="M34" t="s">
        <v>813</v>
      </c>
      <c r="N34" t="s">
        <v>814</v>
      </c>
      <c r="O34" t="s">
        <v>815</v>
      </c>
      <c r="P34" t="s">
        <v>816</v>
      </c>
      <c r="Q34">
        <v>0.62616416138579101</v>
      </c>
      <c r="R34">
        <v>0.37626587746139001</v>
      </c>
      <c r="S34">
        <v>0.121501942359033</v>
      </c>
      <c r="T34">
        <v>5.4296877177142003E-2</v>
      </c>
      <c r="U34">
        <v>5.3003828983229397E-2</v>
      </c>
      <c r="V34">
        <v>5.2424186689406502E-2</v>
      </c>
      <c r="W34">
        <v>4.86955261647187E-2</v>
      </c>
      <c r="X34">
        <v>3.4137587016012598E-2</v>
      </c>
      <c r="Y34">
        <v>3.4003823409745802E-2</v>
      </c>
      <c r="Z34">
        <v>2.79621671933609E-2</v>
      </c>
      <c r="AA34">
        <v>2.5983580517330799E-2</v>
      </c>
      <c r="AB34">
        <v>2.4339402856967701E-2</v>
      </c>
      <c r="AC34">
        <v>2.3620423473283501E-2</v>
      </c>
      <c r="AD34">
        <v>1.92675327860172E-2</v>
      </c>
      <c r="AE34">
        <v>1.3337346241521299E-2</v>
      </c>
      <c r="AF34">
        <v>323.05799999999999</v>
      </c>
      <c r="AG34">
        <v>17942.099999999999</v>
      </c>
      <c r="AH34">
        <v>5.3003828983229397E-2</v>
      </c>
      <c r="AI34" t="s">
        <v>41</v>
      </c>
      <c r="AJ34" t="s">
        <v>84</v>
      </c>
      <c r="AK34">
        <v>39</v>
      </c>
    </row>
    <row r="35" spans="1:37">
      <c r="A35" t="s">
        <v>817</v>
      </c>
      <c r="B35" t="s">
        <v>818</v>
      </c>
      <c r="C35" t="s">
        <v>819</v>
      </c>
      <c r="D35" t="s">
        <v>820</v>
      </c>
      <c r="E35" t="s">
        <v>821</v>
      </c>
      <c r="F35" t="s">
        <v>822</v>
      </c>
      <c r="G35" t="s">
        <v>823</v>
      </c>
      <c r="H35" t="s">
        <v>824</v>
      </c>
      <c r="I35" t="s">
        <v>825</v>
      </c>
      <c r="J35" t="s">
        <v>826</v>
      </c>
      <c r="K35" t="s">
        <v>827</v>
      </c>
      <c r="L35" t="s">
        <v>828</v>
      </c>
      <c r="M35" t="s">
        <v>829</v>
      </c>
      <c r="N35" t="s">
        <v>830</v>
      </c>
      <c r="O35" t="s">
        <v>831</v>
      </c>
      <c r="P35" t="s">
        <v>832</v>
      </c>
      <c r="Q35">
        <v>0.379806098388491</v>
      </c>
      <c r="R35">
        <v>4.9057913311293E-2</v>
      </c>
      <c r="S35">
        <v>3.6128040750942697E-2</v>
      </c>
      <c r="T35">
        <v>3.5666370247349997E-2</v>
      </c>
      <c r="U35">
        <v>2.7842759364319999E-2</v>
      </c>
      <c r="V35">
        <v>2.5333006962239099E-2</v>
      </c>
      <c r="W35">
        <v>2.21725780114705E-2</v>
      </c>
      <c r="X35">
        <v>2.1803861300547501E-2</v>
      </c>
      <c r="Y35">
        <v>1.90865120948377E-2</v>
      </c>
      <c r="Z35">
        <v>1.5873409328222898E-2</v>
      </c>
      <c r="AA35">
        <v>1.40546134516532E-2</v>
      </c>
      <c r="AB35">
        <v>1.3580549109037899E-2</v>
      </c>
      <c r="AC35">
        <v>1.18671008641604E-2</v>
      </c>
      <c r="AD35">
        <v>1.1142061281337099E-2</v>
      </c>
      <c r="AE35">
        <v>1.01288649412377E-2</v>
      </c>
      <c r="AF35">
        <v>326.47800000000001</v>
      </c>
      <c r="AG35">
        <v>32274.1</v>
      </c>
      <c r="AH35">
        <v>2.1803861300547501E-2</v>
      </c>
      <c r="AI35" t="s">
        <v>64</v>
      </c>
      <c r="AJ35" t="s">
        <v>84</v>
      </c>
      <c r="AK35">
        <v>39</v>
      </c>
    </row>
    <row r="36" spans="1:37">
      <c r="A36" t="s">
        <v>833</v>
      </c>
      <c r="B36" t="s">
        <v>834</v>
      </c>
      <c r="C36" t="s">
        <v>835</v>
      </c>
      <c r="D36" t="s">
        <v>836</v>
      </c>
      <c r="E36" t="s">
        <v>837</v>
      </c>
      <c r="F36" t="s">
        <v>838</v>
      </c>
      <c r="G36" t="s">
        <v>839</v>
      </c>
      <c r="H36" t="s">
        <v>840</v>
      </c>
      <c r="I36" t="s">
        <v>841</v>
      </c>
      <c r="J36" t="s">
        <v>842</v>
      </c>
      <c r="K36" t="s">
        <v>843</v>
      </c>
      <c r="L36" t="s">
        <v>844</v>
      </c>
      <c r="M36" t="s">
        <v>845</v>
      </c>
      <c r="N36" t="s">
        <v>846</v>
      </c>
      <c r="O36" t="s">
        <v>847</v>
      </c>
      <c r="P36" t="s">
        <v>848</v>
      </c>
      <c r="Q36">
        <v>23.504513233719202</v>
      </c>
      <c r="R36">
        <v>19.5913356111989</v>
      </c>
      <c r="S36">
        <v>0.42888469580294802</v>
      </c>
      <c r="T36">
        <v>0.41985822836452702</v>
      </c>
      <c r="U36">
        <v>0.41710439084093998</v>
      </c>
      <c r="V36">
        <v>0.40384517313478502</v>
      </c>
      <c r="W36">
        <v>0.32538630220817</v>
      </c>
      <c r="X36">
        <v>0.28119740935284798</v>
      </c>
      <c r="Y36">
        <v>0.227727064103218</v>
      </c>
      <c r="Z36">
        <v>0.184099138150849</v>
      </c>
      <c r="AA36">
        <v>0.16382783415778501</v>
      </c>
      <c r="AB36">
        <v>0.15495435769289601</v>
      </c>
      <c r="AC36">
        <v>0.11127543474935001</v>
      </c>
      <c r="AD36">
        <v>0.105946249171299</v>
      </c>
      <c r="AE36">
        <v>8.4935488806160406E-2</v>
      </c>
      <c r="AF36">
        <v>337.27499999999998</v>
      </c>
      <c r="AG36">
        <v>3921.8</v>
      </c>
      <c r="AH36">
        <v>0.15495435769289601</v>
      </c>
      <c r="AI36" t="s">
        <v>41</v>
      </c>
      <c r="AJ36" t="s">
        <v>84</v>
      </c>
      <c r="AK36">
        <v>38</v>
      </c>
    </row>
    <row r="37" spans="1:37">
      <c r="A37" t="s">
        <v>849</v>
      </c>
      <c r="B37" t="s">
        <v>850</v>
      </c>
      <c r="C37" t="s">
        <v>851</v>
      </c>
      <c r="D37" t="s">
        <v>852</v>
      </c>
      <c r="E37" t="s">
        <v>853</v>
      </c>
      <c r="F37" t="s">
        <v>854</v>
      </c>
      <c r="G37" t="s">
        <v>855</v>
      </c>
      <c r="H37" t="s">
        <v>856</v>
      </c>
      <c r="I37" t="s">
        <v>857</v>
      </c>
      <c r="J37" t="s">
        <v>858</v>
      </c>
      <c r="K37" t="s">
        <v>859</v>
      </c>
      <c r="L37" t="s">
        <v>860</v>
      </c>
      <c r="M37" t="s">
        <v>861</v>
      </c>
      <c r="N37" t="s">
        <v>862</v>
      </c>
      <c r="O37" t="s">
        <v>863</v>
      </c>
      <c r="P37" t="s">
        <v>864</v>
      </c>
      <c r="Q37">
        <v>0.12728686466051201</v>
      </c>
      <c r="R37">
        <v>8.8297330389940004E-2</v>
      </c>
      <c r="S37">
        <v>6.5457730429264699E-2</v>
      </c>
      <c r="T37">
        <v>5.1640465103808202E-2</v>
      </c>
      <c r="U37">
        <v>2.0721429273655102E-2</v>
      </c>
      <c r="V37">
        <v>1.8525056082367399E-2</v>
      </c>
      <c r="W37">
        <v>1.6520837615851401E-2</v>
      </c>
      <c r="X37">
        <v>1.6254949101341499E-2</v>
      </c>
      <c r="Y37">
        <v>1.6241542957752798E-2</v>
      </c>
      <c r="Z37">
        <v>1.34396589477071E-2</v>
      </c>
      <c r="AA37">
        <v>1.19538113666223E-2</v>
      </c>
      <c r="AB37">
        <v>1.1098052534208E-2</v>
      </c>
      <c r="AC37">
        <v>9.6479546693598092E-3</v>
      </c>
      <c r="AD37">
        <v>9.4826122317654103E-3</v>
      </c>
      <c r="AE37">
        <v>9.4580343018527292E-3</v>
      </c>
      <c r="AF37">
        <v>349.91</v>
      </c>
      <c r="AG37">
        <v>44755.6</v>
      </c>
      <c r="AH37">
        <v>6.5457730429264699E-2</v>
      </c>
      <c r="AI37" t="s">
        <v>41</v>
      </c>
      <c r="AJ37" t="s">
        <v>84</v>
      </c>
      <c r="AK37">
        <v>39</v>
      </c>
    </row>
    <row r="38" spans="1:37">
      <c r="A38" t="s">
        <v>865</v>
      </c>
      <c r="B38" t="s">
        <v>866</v>
      </c>
      <c r="C38" t="s">
        <v>867</v>
      </c>
      <c r="D38" t="s">
        <v>868</v>
      </c>
      <c r="E38" t="s">
        <v>869</v>
      </c>
      <c r="F38" t="s">
        <v>870</v>
      </c>
      <c r="G38" t="s">
        <v>871</v>
      </c>
      <c r="H38" t="s">
        <v>872</v>
      </c>
      <c r="I38" t="s">
        <v>873</v>
      </c>
      <c r="J38" t="s">
        <v>874</v>
      </c>
      <c r="K38" t="s">
        <v>875</v>
      </c>
      <c r="L38" t="s">
        <v>876</v>
      </c>
      <c r="M38" t="s">
        <v>877</v>
      </c>
      <c r="N38" t="s">
        <v>878</v>
      </c>
      <c r="O38" t="s">
        <v>879</v>
      </c>
      <c r="P38" t="s">
        <v>880</v>
      </c>
      <c r="Q38">
        <v>0.18350439468156601</v>
      </c>
      <c r="R38">
        <v>0.110257607710012</v>
      </c>
      <c r="S38">
        <v>7.3632120022868702E-2</v>
      </c>
      <c r="T38">
        <v>4.6799117922384698E-2</v>
      </c>
      <c r="U38">
        <v>1.9557746555562298E-2</v>
      </c>
      <c r="V38">
        <v>1.77127551522589E-2</v>
      </c>
      <c r="W38">
        <v>1.6879263008655301E-2</v>
      </c>
      <c r="X38">
        <v>1.5342119206130199E-2</v>
      </c>
      <c r="Y38">
        <v>1.30133672873181E-2</v>
      </c>
      <c r="Z38">
        <v>1.2860490587611999E-2</v>
      </c>
      <c r="AA38">
        <v>1.0833303665480701E-2</v>
      </c>
      <c r="AB38">
        <v>7.9914724120383092E-3</v>
      </c>
      <c r="AC38">
        <v>7.2459367257999303E-3</v>
      </c>
      <c r="AD38">
        <v>6.6511835379018999E-3</v>
      </c>
      <c r="AE38">
        <v>6.4773648245373397E-3</v>
      </c>
      <c r="AF38">
        <v>369.26499999999999</v>
      </c>
      <c r="AG38">
        <v>47750.9</v>
      </c>
      <c r="AH38">
        <v>1.9557746555562298E-2</v>
      </c>
      <c r="AI38" t="s">
        <v>64</v>
      </c>
      <c r="AJ38" t="s">
        <v>84</v>
      </c>
      <c r="AK38">
        <v>40</v>
      </c>
    </row>
    <row r="39" spans="1:37">
      <c r="A39" t="s">
        <v>881</v>
      </c>
      <c r="B39" t="s">
        <v>708</v>
      </c>
      <c r="C39" t="s">
        <v>882</v>
      </c>
      <c r="D39" t="s">
        <v>883</v>
      </c>
      <c r="E39" t="s">
        <v>884</v>
      </c>
      <c r="F39" t="s">
        <v>885</v>
      </c>
      <c r="G39" t="s">
        <v>886</v>
      </c>
      <c r="H39" t="s">
        <v>711</v>
      </c>
      <c r="I39" t="s">
        <v>713</v>
      </c>
      <c r="J39" t="s">
        <v>887</v>
      </c>
      <c r="K39" t="s">
        <v>717</v>
      </c>
      <c r="L39" t="s">
        <v>888</v>
      </c>
      <c r="M39" t="s">
        <v>889</v>
      </c>
      <c r="N39" t="s">
        <v>890</v>
      </c>
      <c r="O39" t="s">
        <v>891</v>
      </c>
      <c r="P39" t="s">
        <v>892</v>
      </c>
      <c r="Q39">
        <v>0.23076571010114899</v>
      </c>
      <c r="R39">
        <v>9.3846928393131898E-2</v>
      </c>
      <c r="S39">
        <v>9.2903389347162496E-2</v>
      </c>
      <c r="T39">
        <v>8.9671416047909305E-2</v>
      </c>
      <c r="U39">
        <v>7.5092329520449794E-2</v>
      </c>
      <c r="V39">
        <v>6.2069378285223402E-2</v>
      </c>
      <c r="W39">
        <v>5.7886824603836803E-2</v>
      </c>
      <c r="X39">
        <v>4.9437221207096302E-2</v>
      </c>
      <c r="Y39">
        <v>3.9223763101286099E-2</v>
      </c>
      <c r="Z39">
        <v>2.76900544647352E-2</v>
      </c>
      <c r="AA39">
        <v>2.68943834782088E-2</v>
      </c>
      <c r="AB39">
        <v>2.4257403084809399E-2</v>
      </c>
      <c r="AC39">
        <v>2.0022039382193199E-2</v>
      </c>
      <c r="AD39">
        <v>1.67971074191039E-2</v>
      </c>
      <c r="AE39">
        <v>9.4846798128412797E-3</v>
      </c>
      <c r="AF39">
        <v>389.62299999999999</v>
      </c>
      <c r="AG39">
        <v>28403.7</v>
      </c>
      <c r="AH39">
        <v>9.3846928393131898E-2</v>
      </c>
      <c r="AI39" t="s">
        <v>41</v>
      </c>
      <c r="AJ39" t="s">
        <v>84</v>
      </c>
      <c r="AK39">
        <v>36</v>
      </c>
    </row>
    <row r="40" spans="1:37">
      <c r="A40" t="s">
        <v>893</v>
      </c>
      <c r="B40" t="s">
        <v>894</v>
      </c>
      <c r="C40" t="s">
        <v>895</v>
      </c>
      <c r="D40" t="s">
        <v>896</v>
      </c>
      <c r="E40" t="s">
        <v>897</v>
      </c>
      <c r="F40" t="s">
        <v>898</v>
      </c>
      <c r="G40" t="s">
        <v>899</v>
      </c>
      <c r="H40" t="s">
        <v>900</v>
      </c>
      <c r="I40" t="s">
        <v>901</v>
      </c>
      <c r="J40" t="s">
        <v>902</v>
      </c>
      <c r="K40" t="s">
        <v>903</v>
      </c>
      <c r="L40" t="s">
        <v>904</v>
      </c>
      <c r="M40" t="s">
        <v>905</v>
      </c>
      <c r="N40" t="s">
        <v>906</v>
      </c>
      <c r="O40" t="s">
        <v>907</v>
      </c>
      <c r="P40" t="s">
        <v>908</v>
      </c>
      <c r="Q40">
        <v>4.2225429226054096</v>
      </c>
      <c r="R40">
        <v>2.7477013717380299</v>
      </c>
      <c r="S40">
        <v>0.17380307673996501</v>
      </c>
      <c r="T40">
        <v>0.137745112625346</v>
      </c>
      <c r="U40">
        <v>0.101458029577171</v>
      </c>
      <c r="V40">
        <v>7.3434105989823598E-2</v>
      </c>
      <c r="W40">
        <v>6.9083821822834499E-2</v>
      </c>
      <c r="X40">
        <v>6.22519118040884E-2</v>
      </c>
      <c r="Y40">
        <v>2.48906477817121E-2</v>
      </c>
      <c r="Z40">
        <v>2.0308269110602E-2</v>
      </c>
      <c r="AA40">
        <v>1.6017496354926102E-2</v>
      </c>
      <c r="AB40">
        <v>1.3360311839795301E-2</v>
      </c>
      <c r="AC40">
        <v>1.03579611390484E-2</v>
      </c>
      <c r="AD40">
        <v>8.6113012170083592E-3</v>
      </c>
      <c r="AE40">
        <v>6.1921623471300601E-3</v>
      </c>
      <c r="AF40">
        <v>390.63099999999997</v>
      </c>
      <c r="AG40">
        <v>33607</v>
      </c>
      <c r="AH40">
        <v>0.137745112625346</v>
      </c>
      <c r="AI40" t="s">
        <v>41</v>
      </c>
      <c r="AJ40" t="s">
        <v>84</v>
      </c>
      <c r="AK40">
        <v>39</v>
      </c>
    </row>
    <row r="41" spans="1:37">
      <c r="A41" t="s">
        <v>909</v>
      </c>
      <c r="B41" t="s">
        <v>910</v>
      </c>
      <c r="C41" t="s">
        <v>911</v>
      </c>
      <c r="D41" t="s">
        <v>912</v>
      </c>
      <c r="E41" t="s">
        <v>913</v>
      </c>
      <c r="F41" t="s">
        <v>914</v>
      </c>
      <c r="G41" t="s">
        <v>915</v>
      </c>
      <c r="H41" t="s">
        <v>916</v>
      </c>
      <c r="I41" t="s">
        <v>917</v>
      </c>
      <c r="J41" t="s">
        <v>918</v>
      </c>
      <c r="K41" t="s">
        <v>919</v>
      </c>
      <c r="L41" t="s">
        <v>920</v>
      </c>
      <c r="M41" t="s">
        <v>921</v>
      </c>
      <c r="N41" t="s">
        <v>922</v>
      </c>
      <c r="O41" t="s">
        <v>923</v>
      </c>
      <c r="P41" t="s">
        <v>924</v>
      </c>
      <c r="Q41">
        <v>0.16331168831168799</v>
      </c>
      <c r="R41">
        <v>0.112857142857143</v>
      </c>
      <c r="S41">
        <v>5.9727272727272698E-2</v>
      </c>
      <c r="T41">
        <v>2.8766233766233801E-2</v>
      </c>
      <c r="U41">
        <v>1.52272727272727E-2</v>
      </c>
      <c r="V41">
        <v>1.06493506493507E-2</v>
      </c>
      <c r="W41">
        <v>1.0071428571428599E-2</v>
      </c>
      <c r="X41">
        <v>1.00584415584416E-2</v>
      </c>
      <c r="Y41">
        <v>8.59090909090909E-3</v>
      </c>
      <c r="Z41">
        <v>5.9915584415584401E-3</v>
      </c>
      <c r="AA41">
        <v>5.8896103896103899E-3</v>
      </c>
      <c r="AB41">
        <v>5.1493506493506501E-3</v>
      </c>
      <c r="AC41">
        <v>4.8051948051948097E-3</v>
      </c>
      <c r="AD41">
        <v>4.8051948051948097E-3</v>
      </c>
      <c r="AE41">
        <v>3.6363636363636398E-3</v>
      </c>
      <c r="AF41">
        <v>234.35</v>
      </c>
      <c r="AG41">
        <v>15400</v>
      </c>
      <c r="AH41">
        <v>5.77922077922078E-4</v>
      </c>
      <c r="AI41" t="s">
        <v>55</v>
      </c>
      <c r="AJ41" t="s">
        <v>97</v>
      </c>
      <c r="AK41">
        <v>40</v>
      </c>
    </row>
    <row r="42" spans="1:37">
      <c r="A42" t="s">
        <v>925</v>
      </c>
      <c r="B42" t="s">
        <v>926</v>
      </c>
      <c r="C42" t="s">
        <v>927</v>
      </c>
      <c r="D42" t="s">
        <v>928</v>
      </c>
      <c r="E42" t="s">
        <v>929</v>
      </c>
      <c r="F42" t="s">
        <v>930</v>
      </c>
      <c r="G42" t="s">
        <v>568</v>
      </c>
      <c r="H42" t="s">
        <v>931</v>
      </c>
      <c r="I42" t="s">
        <v>932</v>
      </c>
      <c r="J42" t="s">
        <v>933</v>
      </c>
      <c r="K42" t="s">
        <v>570</v>
      </c>
      <c r="L42" t="s">
        <v>934</v>
      </c>
      <c r="M42" t="s">
        <v>573</v>
      </c>
      <c r="N42" t="s">
        <v>935</v>
      </c>
      <c r="O42" t="s">
        <v>936</v>
      </c>
      <c r="P42" t="s">
        <v>937</v>
      </c>
      <c r="Q42">
        <v>3.4099719614775099E-2</v>
      </c>
      <c r="R42">
        <v>2.8257954406924302E-2</v>
      </c>
      <c r="S42">
        <v>1.8617578934536201E-2</v>
      </c>
      <c r="T42">
        <v>1.3297574058271399E-2</v>
      </c>
      <c r="U42">
        <v>1.3246373278069001E-2</v>
      </c>
      <c r="V42">
        <v>7.9873217115689395E-3</v>
      </c>
      <c r="W42">
        <v>7.6313543825429703E-3</v>
      </c>
      <c r="X42">
        <v>6.9681823723028204E-3</v>
      </c>
      <c r="Y42">
        <v>6.4708033646226999E-3</v>
      </c>
      <c r="Z42">
        <v>3.84981104473973E-3</v>
      </c>
      <c r="AA42">
        <v>2.9330732658783402E-3</v>
      </c>
      <c r="AB42">
        <v>2.8811410459588E-3</v>
      </c>
      <c r="AC42">
        <v>2.0480312080946002E-3</v>
      </c>
      <c r="AD42">
        <v>1.6237961721321499E-3</v>
      </c>
      <c r="AE42">
        <v>1.6042911130074401E-3</v>
      </c>
      <c r="AF42">
        <v>238.20400000000001</v>
      </c>
      <c r="AG42">
        <v>41015</v>
      </c>
      <c r="AH42">
        <v>6.9681823723028204E-3</v>
      </c>
      <c r="AI42" t="s">
        <v>55</v>
      </c>
      <c r="AJ42" t="s">
        <v>97</v>
      </c>
      <c r="AK42">
        <v>40</v>
      </c>
    </row>
    <row r="43" spans="1:37">
      <c r="A43" t="s">
        <v>938</v>
      </c>
      <c r="B43" t="s">
        <v>939</v>
      </c>
      <c r="C43" t="s">
        <v>940</v>
      </c>
      <c r="D43" t="s">
        <v>941</v>
      </c>
      <c r="E43" t="s">
        <v>942</v>
      </c>
      <c r="F43" t="s">
        <v>943</v>
      </c>
      <c r="G43" t="s">
        <v>944</v>
      </c>
      <c r="H43" t="s">
        <v>945</v>
      </c>
      <c r="I43" t="s">
        <v>946</v>
      </c>
      <c r="J43" t="s">
        <v>947</v>
      </c>
      <c r="K43" t="s">
        <v>948</v>
      </c>
      <c r="L43" t="s">
        <v>949</v>
      </c>
      <c r="M43" t="s">
        <v>950</v>
      </c>
      <c r="N43" t="s">
        <v>951</v>
      </c>
      <c r="O43" t="s">
        <v>952</v>
      </c>
      <c r="P43" t="s">
        <v>953</v>
      </c>
      <c r="Q43">
        <v>0.40426702987107499</v>
      </c>
      <c r="R43">
        <v>0.22112245088344501</v>
      </c>
      <c r="S43">
        <v>0.122880011940967</v>
      </c>
      <c r="T43">
        <v>2.3769987126145101E-2</v>
      </c>
      <c r="U43">
        <v>1.88536671828647E-2</v>
      </c>
      <c r="V43">
        <v>8.2187435863947597E-3</v>
      </c>
      <c r="W43">
        <v>6.5861895255331501E-3</v>
      </c>
      <c r="X43">
        <v>5.0842397895404599E-3</v>
      </c>
      <c r="Y43">
        <v>4.6364535328469901E-3</v>
      </c>
      <c r="Z43">
        <v>4.4778625669347196E-3</v>
      </c>
      <c r="AA43">
        <v>4.3286004813702303E-3</v>
      </c>
      <c r="AB43">
        <v>3.60094781424334E-3</v>
      </c>
      <c r="AC43">
        <v>3.18114819859321E-3</v>
      </c>
      <c r="AD43">
        <v>2.6960464205086098E-3</v>
      </c>
      <c r="AE43">
        <v>2.6214153777263699E-3</v>
      </c>
      <c r="AF43">
        <v>239.56299999999999</v>
      </c>
      <c r="AG43">
        <v>10719.4</v>
      </c>
      <c r="AH43">
        <v>0</v>
      </c>
      <c r="AI43" t="s">
        <v>55</v>
      </c>
      <c r="AJ43" t="s">
        <v>97</v>
      </c>
      <c r="AK43">
        <v>39</v>
      </c>
    </row>
    <row r="44" spans="1:37">
      <c r="A44" t="s">
        <v>954</v>
      </c>
      <c r="B44" t="s">
        <v>955</v>
      </c>
      <c r="C44" t="s">
        <v>956</v>
      </c>
      <c r="D44" t="s">
        <v>957</v>
      </c>
      <c r="E44" t="s">
        <v>958</v>
      </c>
      <c r="F44" t="s">
        <v>959</v>
      </c>
      <c r="G44" t="s">
        <v>960</v>
      </c>
      <c r="H44" t="s">
        <v>961</v>
      </c>
      <c r="I44" t="s">
        <v>962</v>
      </c>
      <c r="J44" t="s">
        <v>963</v>
      </c>
      <c r="K44" t="s">
        <v>964</v>
      </c>
      <c r="L44" t="s">
        <v>965</v>
      </c>
      <c r="M44" t="s">
        <v>966</v>
      </c>
      <c r="N44" t="s">
        <v>967</v>
      </c>
      <c r="O44" t="s">
        <v>968</v>
      </c>
      <c r="P44" t="s">
        <v>969</v>
      </c>
      <c r="Q44">
        <v>0.34751779781680098</v>
      </c>
      <c r="R44">
        <v>0.15486473659231101</v>
      </c>
      <c r="S44">
        <v>6.3236829615567203E-2</v>
      </c>
      <c r="T44">
        <v>4.2429995253915498E-2</v>
      </c>
      <c r="U44">
        <v>3.97721879449454E-2</v>
      </c>
      <c r="V44">
        <v>2.2534409112482199E-2</v>
      </c>
      <c r="W44">
        <v>1.9496915045087802E-2</v>
      </c>
      <c r="X44">
        <v>1.9145704793545298E-2</v>
      </c>
      <c r="Y44">
        <v>1.7294731846226898E-2</v>
      </c>
      <c r="Z44">
        <v>1.5690555291884199E-2</v>
      </c>
      <c r="AA44">
        <v>1.40294257237779E-2</v>
      </c>
      <c r="AB44">
        <v>1.3649738965353601E-2</v>
      </c>
      <c r="AC44">
        <v>1.36022781205506E-2</v>
      </c>
      <c r="AD44">
        <v>9.2833412434741303E-3</v>
      </c>
      <c r="AE44">
        <v>8.8561936402468001E-3</v>
      </c>
      <c r="AF44">
        <v>240.489</v>
      </c>
      <c r="AG44">
        <v>10535</v>
      </c>
      <c r="AH44">
        <v>4.9359278595159E-4</v>
      </c>
      <c r="AI44" t="s">
        <v>55</v>
      </c>
      <c r="AJ44" t="s">
        <v>97</v>
      </c>
      <c r="AK44">
        <v>40</v>
      </c>
    </row>
    <row r="45" spans="1:37">
      <c r="A45" t="s">
        <v>970</v>
      </c>
      <c r="B45" t="s">
        <v>971</v>
      </c>
      <c r="C45" t="s">
        <v>972</v>
      </c>
      <c r="D45" t="s">
        <v>973</v>
      </c>
      <c r="E45" t="s">
        <v>974</v>
      </c>
      <c r="F45" t="s">
        <v>975</v>
      </c>
      <c r="G45" t="s">
        <v>976</v>
      </c>
      <c r="H45" t="s">
        <v>977</v>
      </c>
      <c r="I45" t="s">
        <v>978</v>
      </c>
      <c r="J45" t="s">
        <v>979</v>
      </c>
      <c r="K45" t="s">
        <v>980</v>
      </c>
      <c r="L45" t="s">
        <v>981</v>
      </c>
      <c r="M45" t="s">
        <v>982</v>
      </c>
      <c r="N45" t="s">
        <v>983</v>
      </c>
      <c r="O45" t="s">
        <v>984</v>
      </c>
      <c r="P45" t="s">
        <v>985</v>
      </c>
      <c r="Q45">
        <v>0.220490797546012</v>
      </c>
      <c r="R45">
        <v>3.4768098159509202E-2</v>
      </c>
      <c r="S45">
        <v>3.4753374233128798E-2</v>
      </c>
      <c r="T45">
        <v>2.2763190184049101E-2</v>
      </c>
      <c r="U45">
        <v>1.7339877300613499E-2</v>
      </c>
      <c r="V45">
        <v>1.2485889570552199E-2</v>
      </c>
      <c r="W45">
        <v>1.09742331288344E-2</v>
      </c>
      <c r="X45">
        <v>1.0547239263803699E-2</v>
      </c>
      <c r="Y45">
        <v>7.6564417177914096E-3</v>
      </c>
      <c r="Z45">
        <v>5.5607361963190202E-3</v>
      </c>
      <c r="AA45">
        <v>5.0699386503067498E-3</v>
      </c>
      <c r="AB45">
        <v>4.3779141104294504E-3</v>
      </c>
      <c r="AC45">
        <v>4.2650306748466303E-3</v>
      </c>
      <c r="AD45">
        <v>4.20122699386503E-3</v>
      </c>
      <c r="AE45">
        <v>3.39631901840491E-3</v>
      </c>
      <c r="AF45">
        <v>258.58800000000002</v>
      </c>
      <c r="AG45">
        <v>20375</v>
      </c>
      <c r="AH45">
        <v>0</v>
      </c>
      <c r="AI45" t="s">
        <v>55</v>
      </c>
      <c r="AJ45" t="s">
        <v>97</v>
      </c>
      <c r="AK45">
        <v>36</v>
      </c>
    </row>
    <row r="46" spans="1:37">
      <c r="A46" t="s">
        <v>986</v>
      </c>
      <c r="B46" t="s">
        <v>987</v>
      </c>
      <c r="C46" t="s">
        <v>988</v>
      </c>
      <c r="D46" t="s">
        <v>989</v>
      </c>
      <c r="E46" t="s">
        <v>990</v>
      </c>
      <c r="F46" t="s">
        <v>991</v>
      </c>
      <c r="G46" t="s">
        <v>992</v>
      </c>
      <c r="H46" t="s">
        <v>993</v>
      </c>
      <c r="I46" t="s">
        <v>994</v>
      </c>
      <c r="J46" t="s">
        <v>995</v>
      </c>
      <c r="K46" t="s">
        <v>996</v>
      </c>
      <c r="L46" t="s">
        <v>997</v>
      </c>
      <c r="M46" t="s">
        <v>998</v>
      </c>
      <c r="N46" t="s">
        <v>999</v>
      </c>
      <c r="O46" t="s">
        <v>1000</v>
      </c>
      <c r="P46" t="s">
        <v>1001</v>
      </c>
      <c r="Q46">
        <v>8.8221649484536105E-2</v>
      </c>
      <c r="R46">
        <v>2.8692930780559602E-2</v>
      </c>
      <c r="S46">
        <v>2.5039396170839501E-2</v>
      </c>
      <c r="T46">
        <v>8.0191458026509597E-3</v>
      </c>
      <c r="U46">
        <v>6.8740795287186999E-3</v>
      </c>
      <c r="V46">
        <v>5.7069219440353501E-3</v>
      </c>
      <c r="W46">
        <v>5.3460972017673001E-3</v>
      </c>
      <c r="X46">
        <v>5.2835051546391799E-3</v>
      </c>
      <c r="Y46">
        <v>3.26215022091311E-3</v>
      </c>
      <c r="Z46">
        <v>3.2511045655375598E-3</v>
      </c>
      <c r="AA46">
        <v>2.8718703976435898E-3</v>
      </c>
      <c r="AB46">
        <v>2.8718703976435898E-3</v>
      </c>
      <c r="AC46">
        <v>1.7893961708394699E-3</v>
      </c>
      <c r="AD46">
        <v>1.7304860088365201E-3</v>
      </c>
      <c r="AE46">
        <v>1.4727540500736401E-3</v>
      </c>
      <c r="AF46">
        <v>259.94</v>
      </c>
      <c r="AG46">
        <v>27160</v>
      </c>
      <c r="AH46">
        <v>5.2835051546391799E-3</v>
      </c>
      <c r="AI46" t="s">
        <v>55</v>
      </c>
      <c r="AJ46" t="s">
        <v>97</v>
      </c>
      <c r="AK46">
        <v>40</v>
      </c>
    </row>
    <row r="47" spans="1:37">
      <c r="A47" t="s">
        <v>1002</v>
      </c>
      <c r="B47" t="s">
        <v>1003</v>
      </c>
      <c r="C47" t="s">
        <v>1004</v>
      </c>
      <c r="D47" t="s">
        <v>1005</v>
      </c>
      <c r="E47" t="s">
        <v>1006</v>
      </c>
      <c r="F47" t="s">
        <v>1006</v>
      </c>
      <c r="G47" t="s">
        <v>1007</v>
      </c>
      <c r="H47" t="s">
        <v>1008</v>
      </c>
      <c r="I47" t="s">
        <v>1009</v>
      </c>
      <c r="J47" t="s">
        <v>1010</v>
      </c>
      <c r="K47" t="s">
        <v>1011</v>
      </c>
      <c r="L47" t="s">
        <v>1012</v>
      </c>
      <c r="M47" t="s">
        <v>1013</v>
      </c>
      <c r="N47" t="s">
        <v>1014</v>
      </c>
      <c r="O47" t="s">
        <v>1015</v>
      </c>
      <c r="P47" t="s">
        <v>1016</v>
      </c>
      <c r="Q47">
        <v>0.60124172185430502</v>
      </c>
      <c r="R47">
        <v>0.39091059602648998</v>
      </c>
      <c r="S47">
        <v>6.9370860927152306E-2</v>
      </c>
      <c r="T47">
        <v>5.8758278145695397E-2</v>
      </c>
      <c r="U47">
        <v>4.7798013245033098E-2</v>
      </c>
      <c r="V47">
        <v>4.4519867549668898E-2</v>
      </c>
      <c r="W47">
        <v>2.22632450331126E-2</v>
      </c>
      <c r="X47">
        <v>2.1473509933774799E-2</v>
      </c>
      <c r="Y47">
        <v>1.50496688741722E-2</v>
      </c>
      <c r="Z47">
        <v>1.48675496688742E-2</v>
      </c>
      <c r="AA47">
        <v>1.43874172185431E-2</v>
      </c>
      <c r="AB47">
        <v>1.41225165562914E-2</v>
      </c>
      <c r="AC47">
        <v>1.28807947019868E-2</v>
      </c>
      <c r="AD47">
        <v>9.9006622516556297E-3</v>
      </c>
      <c r="AE47">
        <v>7.9635761589404008E-3</v>
      </c>
      <c r="AF47">
        <v>260.709</v>
      </c>
      <c r="AG47">
        <v>6040</v>
      </c>
      <c r="AH47">
        <v>0</v>
      </c>
      <c r="AI47" t="s">
        <v>55</v>
      </c>
      <c r="AJ47" t="s">
        <v>97</v>
      </c>
      <c r="AK47">
        <v>37</v>
      </c>
    </row>
    <row r="48" spans="1:37">
      <c r="A48" t="s">
        <v>1017</v>
      </c>
      <c r="B48" t="s">
        <v>1018</v>
      </c>
      <c r="C48" t="s">
        <v>1019</v>
      </c>
      <c r="D48" t="s">
        <v>1020</v>
      </c>
      <c r="E48" t="s">
        <v>1021</v>
      </c>
      <c r="F48" t="s">
        <v>1022</v>
      </c>
      <c r="G48" t="s">
        <v>1023</v>
      </c>
      <c r="H48" t="s">
        <v>1024</v>
      </c>
      <c r="I48" t="s">
        <v>1025</v>
      </c>
      <c r="J48" t="s">
        <v>1026</v>
      </c>
      <c r="K48" t="s">
        <v>1027</v>
      </c>
      <c r="L48" t="s">
        <v>1028</v>
      </c>
      <c r="M48" t="s">
        <v>1029</v>
      </c>
      <c r="N48" t="s">
        <v>1030</v>
      </c>
      <c r="O48" t="s">
        <v>1031</v>
      </c>
      <c r="P48" t="s">
        <v>1032</v>
      </c>
      <c r="Q48">
        <v>0.62882388224980401</v>
      </c>
      <c r="R48">
        <v>0.196627139759147</v>
      </c>
      <c r="S48">
        <v>0.10274304434088501</v>
      </c>
      <c r="T48">
        <v>4.5436718497669899E-2</v>
      </c>
      <c r="U48">
        <v>2.2089696857841599E-2</v>
      </c>
      <c r="V48">
        <v>2.12937756655747E-2</v>
      </c>
      <c r="W48">
        <v>1.9240529691321E-2</v>
      </c>
      <c r="X48">
        <v>1.6472108153001399E-2</v>
      </c>
      <c r="Y48">
        <v>1.2550177640382E-2</v>
      </c>
      <c r="Z48">
        <v>1.24002214737231E-2</v>
      </c>
      <c r="AA48">
        <v>1.0473861486642399E-2</v>
      </c>
      <c r="AB48">
        <v>7.9822821021547502E-3</v>
      </c>
      <c r="AC48">
        <v>5.3176763715221701E-3</v>
      </c>
      <c r="AD48">
        <v>4.8447376920592398E-3</v>
      </c>
      <c r="AE48">
        <v>4.6486411664282698E-3</v>
      </c>
      <c r="AF48">
        <v>261.18700000000001</v>
      </c>
      <c r="AG48">
        <v>8669.2000000000007</v>
      </c>
      <c r="AH48">
        <v>0.62882388224980401</v>
      </c>
      <c r="AI48" t="s">
        <v>28</v>
      </c>
      <c r="AJ48" t="s">
        <v>97</v>
      </c>
      <c r="AK48">
        <v>39</v>
      </c>
    </row>
    <row r="49" spans="1:37">
      <c r="A49" t="s">
        <v>1033</v>
      </c>
      <c r="B49" t="s">
        <v>1018</v>
      </c>
      <c r="C49" t="s">
        <v>1020</v>
      </c>
      <c r="D49" t="s">
        <v>1034</v>
      </c>
      <c r="E49" t="s">
        <v>1021</v>
      </c>
      <c r="F49" t="s">
        <v>1035</v>
      </c>
      <c r="G49" t="s">
        <v>1022</v>
      </c>
      <c r="H49" t="s">
        <v>1036</v>
      </c>
      <c r="I49" t="s">
        <v>1037</v>
      </c>
      <c r="J49" t="s">
        <v>1028</v>
      </c>
      <c r="K49" t="s">
        <v>1038</v>
      </c>
      <c r="L49" t="s">
        <v>1039</v>
      </c>
      <c r="M49" t="s">
        <v>1040</v>
      </c>
      <c r="N49" t="s">
        <v>1041</v>
      </c>
      <c r="O49" t="s">
        <v>1042</v>
      </c>
      <c r="P49" t="s">
        <v>1043</v>
      </c>
      <c r="Q49">
        <v>1.1605143270745499</v>
      </c>
      <c r="R49">
        <v>0.189615531996424</v>
      </c>
      <c r="S49">
        <v>0.186081662196109</v>
      </c>
      <c r="T49">
        <v>8.38548984544642E-2</v>
      </c>
      <c r="U49">
        <v>7.94269170179248E-2</v>
      </c>
      <c r="V49">
        <v>4.0767232937369599E-2</v>
      </c>
      <c r="W49">
        <v>3.08468514497382E-2</v>
      </c>
      <c r="X49">
        <v>2.6291139779452501E-2</v>
      </c>
      <c r="Y49">
        <v>1.9329842040277601E-2</v>
      </c>
      <c r="Z49">
        <v>1.8563460637799602E-2</v>
      </c>
      <c r="AA49">
        <v>1.8329288542598E-2</v>
      </c>
      <c r="AB49">
        <v>1.8158981564269601E-2</v>
      </c>
      <c r="AC49">
        <v>1.5689530378507299E-2</v>
      </c>
      <c r="AD49">
        <v>1.48379954868651E-2</v>
      </c>
      <c r="AE49">
        <v>1.1410567548005301E-2</v>
      </c>
      <c r="AF49">
        <v>261.38200000000001</v>
      </c>
      <c r="AG49">
        <v>4697.3999999999996</v>
      </c>
      <c r="AH49">
        <v>1.1605143270745499</v>
      </c>
      <c r="AI49" t="s">
        <v>28</v>
      </c>
      <c r="AJ49" t="s">
        <v>97</v>
      </c>
      <c r="AK49">
        <v>38</v>
      </c>
    </row>
    <row r="50" spans="1:37">
      <c r="A50" t="s">
        <v>1044</v>
      </c>
      <c r="B50" t="s">
        <v>1045</v>
      </c>
      <c r="C50" t="s">
        <v>1046</v>
      </c>
      <c r="D50" t="s">
        <v>1047</v>
      </c>
      <c r="E50" t="s">
        <v>1048</v>
      </c>
      <c r="F50" t="s">
        <v>1049</v>
      </c>
      <c r="G50" t="s">
        <v>1050</v>
      </c>
      <c r="H50" t="s">
        <v>1051</v>
      </c>
      <c r="I50" t="s">
        <v>1052</v>
      </c>
      <c r="J50" t="s">
        <v>1053</v>
      </c>
      <c r="K50" t="s">
        <v>1054</v>
      </c>
      <c r="L50" t="s">
        <v>1055</v>
      </c>
      <c r="M50" t="s">
        <v>1056</v>
      </c>
      <c r="N50" t="s">
        <v>1057</v>
      </c>
      <c r="O50" t="s">
        <v>1058</v>
      </c>
      <c r="P50" t="s">
        <v>1059</v>
      </c>
      <c r="Q50">
        <v>6.8239895118103203E-2</v>
      </c>
      <c r="R50">
        <v>6.0077476316393701E-2</v>
      </c>
      <c r="S50">
        <v>5.3663089127391497E-2</v>
      </c>
      <c r="T50">
        <v>4.9937411579968803E-2</v>
      </c>
      <c r="U50">
        <v>4.8041241694998099E-2</v>
      </c>
      <c r="V50">
        <v>4.0463969068728803E-2</v>
      </c>
      <c r="W50">
        <v>3.9471442644564397E-2</v>
      </c>
      <c r="X50">
        <v>3.2131191253916398E-2</v>
      </c>
      <c r="Y50">
        <v>2.7835181358279799E-2</v>
      </c>
      <c r="Z50">
        <v>2.7627787777111199E-2</v>
      </c>
      <c r="AA50">
        <v>2.5739024805753699E-2</v>
      </c>
      <c r="AB50">
        <v>1.89394781088668E-2</v>
      </c>
      <c r="AC50">
        <v>1.47619788310409E-2</v>
      </c>
      <c r="AD50">
        <v>1.2643601537675299E-2</v>
      </c>
      <c r="AE50">
        <v>1.2547311660704099E-2</v>
      </c>
      <c r="AF50">
        <v>301.01299999999998</v>
      </c>
      <c r="AG50">
        <v>13500.9</v>
      </c>
      <c r="AH50">
        <v>6.8239895118103203E-2</v>
      </c>
      <c r="AI50" t="s">
        <v>41</v>
      </c>
      <c r="AJ50" t="s">
        <v>36</v>
      </c>
      <c r="AK50">
        <v>40</v>
      </c>
    </row>
    <row r="51" spans="1:37">
      <c r="A51" t="s">
        <v>1060</v>
      </c>
      <c r="B51" t="s">
        <v>1061</v>
      </c>
      <c r="C51" t="s">
        <v>1062</v>
      </c>
      <c r="D51" t="s">
        <v>1063</v>
      </c>
      <c r="E51" t="s">
        <v>1064</v>
      </c>
      <c r="F51" t="s">
        <v>1065</v>
      </c>
      <c r="G51" t="s">
        <v>1066</v>
      </c>
      <c r="H51" t="s">
        <v>1067</v>
      </c>
      <c r="I51" t="s">
        <v>1068</v>
      </c>
      <c r="J51" t="s">
        <v>1069</v>
      </c>
      <c r="K51" t="s">
        <v>1070</v>
      </c>
      <c r="L51" t="s">
        <v>1071</v>
      </c>
      <c r="M51" t="s">
        <v>1072</v>
      </c>
      <c r="N51" t="s">
        <v>1073</v>
      </c>
      <c r="O51" t="s">
        <v>1074</v>
      </c>
      <c r="P51" t="s">
        <v>1075</v>
      </c>
      <c r="Q51">
        <v>0.35644125425009399</v>
      </c>
      <c r="R51">
        <v>0.31647462536204501</v>
      </c>
      <c r="S51">
        <v>0.227663392519834</v>
      </c>
      <c r="T51">
        <v>0.190057927213197</v>
      </c>
      <c r="U51">
        <v>0.12962788061956901</v>
      </c>
      <c r="V51">
        <v>7.5872056416068506E-2</v>
      </c>
      <c r="W51">
        <v>4.7805691978340302E-2</v>
      </c>
      <c r="X51">
        <v>3.7337866767409598E-2</v>
      </c>
      <c r="Y51">
        <v>3.40479788439743E-2</v>
      </c>
      <c r="Z51">
        <v>3.2662762876212101E-2</v>
      </c>
      <c r="AA51">
        <v>3.13562523611636E-2</v>
      </c>
      <c r="AB51">
        <v>2.3926457624984299E-2</v>
      </c>
      <c r="AC51">
        <v>2.3296814003274199E-2</v>
      </c>
      <c r="AD51">
        <v>2.18801158544264E-2</v>
      </c>
      <c r="AE51">
        <v>2.1565294043571302E-2</v>
      </c>
      <c r="AF51">
        <v>303.28399999999999</v>
      </c>
      <c r="AG51">
        <v>6352.8</v>
      </c>
      <c r="AH51">
        <v>0.190057927213197</v>
      </c>
      <c r="AI51" t="s">
        <v>41</v>
      </c>
      <c r="AJ51" t="s">
        <v>36</v>
      </c>
      <c r="AK51">
        <v>40</v>
      </c>
    </row>
    <row r="52" spans="1:37">
      <c r="A52" t="s">
        <v>1076</v>
      </c>
      <c r="B52" t="s">
        <v>1077</v>
      </c>
      <c r="C52" t="s">
        <v>1078</v>
      </c>
      <c r="D52" t="s">
        <v>1079</v>
      </c>
      <c r="E52" t="s">
        <v>1080</v>
      </c>
      <c r="F52" t="s">
        <v>1081</v>
      </c>
      <c r="G52" t="s">
        <v>1082</v>
      </c>
      <c r="H52" t="s">
        <v>1083</v>
      </c>
      <c r="I52" t="s">
        <v>1084</v>
      </c>
      <c r="J52" t="s">
        <v>1085</v>
      </c>
      <c r="K52" t="s">
        <v>1086</v>
      </c>
      <c r="L52" t="s">
        <v>1087</v>
      </c>
      <c r="M52" t="s">
        <v>1088</v>
      </c>
      <c r="N52" t="s">
        <v>1089</v>
      </c>
      <c r="O52" t="s">
        <v>1090</v>
      </c>
      <c r="P52" t="s">
        <v>1091</v>
      </c>
      <c r="Q52">
        <v>2.6301426684568501</v>
      </c>
      <c r="R52">
        <v>0.23381471657333699</v>
      </c>
      <c r="S52">
        <v>0.21614216633373701</v>
      </c>
      <c r="T52">
        <v>0.16668304024625899</v>
      </c>
      <c r="U52">
        <v>0.15225245876586899</v>
      </c>
      <c r="V52">
        <v>0.151914071454301</v>
      </c>
      <c r="W52">
        <v>0.13856414622698199</v>
      </c>
      <c r="X52">
        <v>0.129209374420102</v>
      </c>
      <c r="Y52">
        <v>0.121350056215957</v>
      </c>
      <c r="Z52">
        <v>7.9772079772079799E-2</v>
      </c>
      <c r="AA52">
        <v>6.2503411162415007E-2</v>
      </c>
      <c r="AB52">
        <v>5.9970964185523598E-2</v>
      </c>
      <c r="AC52">
        <v>3.7943041774459403E-2</v>
      </c>
      <c r="AD52">
        <v>2.8882994400235801E-2</v>
      </c>
      <c r="AE52">
        <v>2.1012760476362E-2</v>
      </c>
      <c r="AF52">
        <v>310.05</v>
      </c>
      <c r="AG52">
        <v>9161.1</v>
      </c>
      <c r="AH52">
        <v>0.21614216633373701</v>
      </c>
      <c r="AI52" t="s">
        <v>28</v>
      </c>
      <c r="AJ52" t="s">
        <v>36</v>
      </c>
      <c r="AK52">
        <v>40</v>
      </c>
    </row>
    <row r="53" spans="1:37">
      <c r="A53" t="s">
        <v>1092</v>
      </c>
      <c r="B53" t="s">
        <v>1093</v>
      </c>
      <c r="C53" t="s">
        <v>1094</v>
      </c>
      <c r="D53" t="s">
        <v>1095</v>
      </c>
      <c r="E53" t="s">
        <v>1096</v>
      </c>
      <c r="F53" t="s">
        <v>1097</v>
      </c>
      <c r="G53" t="s">
        <v>1098</v>
      </c>
      <c r="H53" t="s">
        <v>1099</v>
      </c>
      <c r="I53" t="s">
        <v>1100</v>
      </c>
      <c r="J53" t="s">
        <v>1101</v>
      </c>
      <c r="K53" t="s">
        <v>1102</v>
      </c>
      <c r="L53" t="s">
        <v>1103</v>
      </c>
      <c r="M53" t="s">
        <v>1104</v>
      </c>
      <c r="N53" t="s">
        <v>1105</v>
      </c>
      <c r="O53" t="s">
        <v>1106</v>
      </c>
      <c r="P53" t="s">
        <v>1107</v>
      </c>
      <c r="Q53">
        <v>6.2558333053860098</v>
      </c>
      <c r="R53">
        <v>0.1748105171373</v>
      </c>
      <c r="S53">
        <v>0.13030510094573799</v>
      </c>
      <c r="T53">
        <v>0.12427895901804301</v>
      </c>
      <c r="U53">
        <v>6.6968777248641795E-2</v>
      </c>
      <c r="V53">
        <v>6.6905895767657098E-2</v>
      </c>
      <c r="W53">
        <v>4.2340197196324397E-2</v>
      </c>
      <c r="X53">
        <v>1.81958045475887E-2</v>
      </c>
      <c r="Y53">
        <v>1.12306325038567E-2</v>
      </c>
      <c r="Z53">
        <v>8.0278690723723893E-3</v>
      </c>
      <c r="AA53">
        <v>4.8796029244080798E-3</v>
      </c>
      <c r="AB53">
        <v>4.4939298410356203E-3</v>
      </c>
      <c r="AC53">
        <v>3.5402273794352401E-3</v>
      </c>
      <c r="AD53">
        <v>3.3306224428197701E-3</v>
      </c>
      <c r="AE53">
        <v>3.2740291099335999E-3</v>
      </c>
      <c r="AF53">
        <v>335.048</v>
      </c>
      <c r="AG53">
        <v>47708.800000000003</v>
      </c>
      <c r="AH53">
        <v>0.12427895901804301</v>
      </c>
      <c r="AI53" t="s">
        <v>41</v>
      </c>
      <c r="AJ53" t="s">
        <v>36</v>
      </c>
      <c r="AK53">
        <v>40</v>
      </c>
    </row>
    <row r="54" spans="1:37">
      <c r="A54" t="s">
        <v>1108</v>
      </c>
      <c r="B54" t="s">
        <v>1109</v>
      </c>
      <c r="C54" t="s">
        <v>1110</v>
      </c>
      <c r="D54" t="s">
        <v>1111</v>
      </c>
      <c r="E54" t="s">
        <v>1112</v>
      </c>
      <c r="F54" t="s">
        <v>1113</v>
      </c>
      <c r="G54" t="s">
        <v>1114</v>
      </c>
      <c r="H54" t="s">
        <v>1115</v>
      </c>
      <c r="I54" t="s">
        <v>1116</v>
      </c>
      <c r="J54" t="s">
        <v>1117</v>
      </c>
      <c r="K54" t="s">
        <v>1118</v>
      </c>
      <c r="L54" t="s">
        <v>1119</v>
      </c>
      <c r="M54" t="s">
        <v>1120</v>
      </c>
      <c r="N54" t="s">
        <v>1121</v>
      </c>
      <c r="O54" t="s">
        <v>1122</v>
      </c>
      <c r="P54" t="s">
        <v>1123</v>
      </c>
      <c r="Q54">
        <v>1.41861738637941</v>
      </c>
      <c r="R54">
        <v>0.122012970207531</v>
      </c>
      <c r="S54">
        <v>9.3008165454538605E-2</v>
      </c>
      <c r="T54">
        <v>8.9519937286908602E-2</v>
      </c>
      <c r="U54">
        <v>8.8495973534475303E-2</v>
      </c>
      <c r="V54">
        <v>8.6999411127072795E-2</v>
      </c>
      <c r="W54">
        <v>8.4805203086144199E-2</v>
      </c>
      <c r="X54">
        <v>4.9469076669754801E-2</v>
      </c>
      <c r="Y54">
        <v>4.3239026146708097E-2</v>
      </c>
      <c r="Z54">
        <v>3.0355086624332801E-2</v>
      </c>
      <c r="AA54">
        <v>1.97553739343088E-2</v>
      </c>
      <c r="AB54">
        <v>1.91214916113739E-2</v>
      </c>
      <c r="AC54">
        <v>1.6762249119503699E-2</v>
      </c>
      <c r="AD54">
        <v>1.6222136370967401E-2</v>
      </c>
      <c r="AE54">
        <v>1.2775166816072899E-2</v>
      </c>
      <c r="AF54">
        <v>335.863</v>
      </c>
      <c r="AG54">
        <v>26661.1</v>
      </c>
      <c r="AH54">
        <v>9.3008165454538605E-2</v>
      </c>
      <c r="AI54" t="s">
        <v>41</v>
      </c>
      <c r="AJ54" t="s">
        <v>36</v>
      </c>
      <c r="AK54">
        <v>40</v>
      </c>
    </row>
    <row r="55" spans="1:37">
      <c r="A55" t="s">
        <v>1124</v>
      </c>
      <c r="B55" t="s">
        <v>1125</v>
      </c>
      <c r="C55" t="s">
        <v>1126</v>
      </c>
      <c r="D55" t="s">
        <v>1127</v>
      </c>
      <c r="E55" t="s">
        <v>1128</v>
      </c>
      <c r="F55" t="s">
        <v>1129</v>
      </c>
      <c r="G55" t="s">
        <v>1130</v>
      </c>
      <c r="H55" t="s">
        <v>1131</v>
      </c>
      <c r="I55" t="s">
        <v>1132</v>
      </c>
      <c r="J55" t="s">
        <v>1133</v>
      </c>
      <c r="K55" t="s">
        <v>1134</v>
      </c>
      <c r="L55" t="s">
        <v>1135</v>
      </c>
      <c r="M55" t="s">
        <v>1136</v>
      </c>
      <c r="N55" t="s">
        <v>1137</v>
      </c>
      <c r="O55" t="s">
        <v>1138</v>
      </c>
      <c r="P55" t="s">
        <v>1139</v>
      </c>
      <c r="Q55">
        <v>4.8232577521140696</v>
      </c>
      <c r="R55">
        <v>1.4690683050778399</v>
      </c>
      <c r="S55">
        <v>1.16438523550072</v>
      </c>
      <c r="T55">
        <v>1.0850421874167799</v>
      </c>
      <c r="U55">
        <v>6.9423600515084394E-2</v>
      </c>
      <c r="V55">
        <v>3.3994316526250803E-2</v>
      </c>
      <c r="W55">
        <v>1.8516719877432499E-2</v>
      </c>
      <c r="X55">
        <v>1.8062417951505601E-2</v>
      </c>
      <c r="Y55">
        <v>1.3939236334128099E-2</v>
      </c>
      <c r="Z55">
        <v>1.3638457127997199E-2</v>
      </c>
      <c r="AA55">
        <v>1.26358597742276E-2</v>
      </c>
      <c r="AB55">
        <v>1.19497072102415E-2</v>
      </c>
      <c r="AC55">
        <v>9.4776781098533398E-3</v>
      </c>
      <c r="AD55">
        <v>8.6004054253049304E-3</v>
      </c>
      <c r="AE55">
        <v>8.3152918028266999E-3</v>
      </c>
      <c r="AF55">
        <v>336.22399999999999</v>
      </c>
      <c r="AG55">
        <v>31917.1</v>
      </c>
      <c r="AH55">
        <v>1.4690683050778399</v>
      </c>
      <c r="AI55" t="s">
        <v>28</v>
      </c>
      <c r="AJ55" t="s">
        <v>36</v>
      </c>
      <c r="AK55">
        <v>40</v>
      </c>
    </row>
    <row r="56" spans="1:37">
      <c r="A56" t="s">
        <v>1140</v>
      </c>
      <c r="B56" t="s">
        <v>1141</v>
      </c>
      <c r="C56" t="s">
        <v>1142</v>
      </c>
      <c r="D56" t="s">
        <v>1143</v>
      </c>
      <c r="E56" t="s">
        <v>1144</v>
      </c>
      <c r="F56" t="s">
        <v>1145</v>
      </c>
      <c r="G56" t="s">
        <v>1146</v>
      </c>
      <c r="H56" t="s">
        <v>1147</v>
      </c>
      <c r="I56" t="s">
        <v>1148</v>
      </c>
      <c r="J56" t="s">
        <v>1149</v>
      </c>
      <c r="K56" t="s">
        <v>1150</v>
      </c>
      <c r="L56" t="s">
        <v>1151</v>
      </c>
      <c r="M56" t="s">
        <v>1152</v>
      </c>
      <c r="N56" t="s">
        <v>1153</v>
      </c>
      <c r="O56" t="s">
        <v>1154</v>
      </c>
      <c r="P56" t="s">
        <v>1155</v>
      </c>
      <c r="Q56">
        <v>0.12737031047290701</v>
      </c>
      <c r="R56">
        <v>0.108119923936804</v>
      </c>
      <c r="S56">
        <v>7.7085073486289096E-2</v>
      </c>
      <c r="T56">
        <v>3.5881213456787901E-2</v>
      </c>
      <c r="U56">
        <v>2.2427979882350901E-2</v>
      </c>
      <c r="V56">
        <v>2.05779381186799E-2</v>
      </c>
      <c r="W56">
        <v>1.4364925625122199E-2</v>
      </c>
      <c r="X56">
        <v>9.0262844550285208E-3</v>
      </c>
      <c r="Y56">
        <v>8.8610069487639696E-3</v>
      </c>
      <c r="Z56">
        <v>7.5156835913202701E-3</v>
      </c>
      <c r="AA56">
        <v>7.26687874318008E-3</v>
      </c>
      <c r="AB56">
        <v>6.6359807353960397E-3</v>
      </c>
      <c r="AC56">
        <v>6.5702251683875702E-3</v>
      </c>
      <c r="AD56">
        <v>4.9245588156889199E-3</v>
      </c>
      <c r="AE56">
        <v>4.4145088770015497E-3</v>
      </c>
      <c r="AF56">
        <v>342.24599999999998</v>
      </c>
      <c r="AG56">
        <v>56269</v>
      </c>
      <c r="AH56">
        <v>0.12737031047290701</v>
      </c>
      <c r="AI56" t="s">
        <v>41</v>
      </c>
      <c r="AJ56" t="s">
        <v>36</v>
      </c>
      <c r="AK56">
        <v>40</v>
      </c>
    </row>
    <row r="57" spans="1:37">
      <c r="A57" t="s">
        <v>1156</v>
      </c>
      <c r="B57" t="s">
        <v>1157</v>
      </c>
      <c r="C57" t="s">
        <v>1158</v>
      </c>
      <c r="D57" t="s">
        <v>1159</v>
      </c>
      <c r="E57" t="s">
        <v>1160</v>
      </c>
      <c r="F57" t="s">
        <v>1161</v>
      </c>
      <c r="G57" t="s">
        <v>1162</v>
      </c>
      <c r="H57" t="s">
        <v>1163</v>
      </c>
      <c r="I57" t="s">
        <v>1164</v>
      </c>
      <c r="J57" t="s">
        <v>1165</v>
      </c>
      <c r="K57" t="s">
        <v>1166</v>
      </c>
      <c r="L57" t="s">
        <v>1167</v>
      </c>
      <c r="M57" t="s">
        <v>1168</v>
      </c>
      <c r="N57" t="s">
        <v>1169</v>
      </c>
      <c r="O57" t="s">
        <v>1170</v>
      </c>
      <c r="P57" t="s">
        <v>1171</v>
      </c>
      <c r="Q57">
        <v>0.192782014032506</v>
      </c>
      <c r="R57">
        <v>0.184668282223378</v>
      </c>
      <c r="S57">
        <v>0.13196391641397201</v>
      </c>
      <c r="T57">
        <v>0.117233591737823</v>
      </c>
      <c r="U57">
        <v>0.10728015529644599</v>
      </c>
      <c r="V57">
        <v>8.3915906466879006E-2</v>
      </c>
      <c r="W57">
        <v>7.2389205374475102E-2</v>
      </c>
      <c r="X57">
        <v>7.2103733966022598E-2</v>
      </c>
      <c r="Y57">
        <v>6.4116878338429495E-2</v>
      </c>
      <c r="Z57">
        <v>6.2771990814164499E-2</v>
      </c>
      <c r="AA57">
        <v>5.5628861793775498E-2</v>
      </c>
      <c r="AB57">
        <v>4.5637362497938302E-2</v>
      </c>
      <c r="AC57">
        <v>3.76187878249616E-2</v>
      </c>
      <c r="AD57">
        <v>2.8940457008005901E-2</v>
      </c>
      <c r="AE57">
        <v>2.4214319245848E-2</v>
      </c>
      <c r="AF57">
        <v>343.99900000000002</v>
      </c>
      <c r="AG57">
        <v>15763.4</v>
      </c>
      <c r="AH57">
        <v>0.13196391641397201</v>
      </c>
      <c r="AI57" t="s">
        <v>41</v>
      </c>
      <c r="AJ57" t="s">
        <v>36</v>
      </c>
      <c r="AK57">
        <v>40</v>
      </c>
    </row>
    <row r="58" spans="1:37">
      <c r="A58" t="s">
        <v>1172</v>
      </c>
      <c r="B58" t="s">
        <v>1173</v>
      </c>
      <c r="C58" t="s">
        <v>1174</v>
      </c>
      <c r="D58" t="s">
        <v>1175</v>
      </c>
      <c r="E58" t="s">
        <v>1176</v>
      </c>
      <c r="F58" t="s">
        <v>1177</v>
      </c>
      <c r="G58" t="s">
        <v>1178</v>
      </c>
      <c r="H58" t="s">
        <v>1179</v>
      </c>
      <c r="I58" t="s">
        <v>1180</v>
      </c>
      <c r="J58" t="s">
        <v>1181</v>
      </c>
      <c r="K58" t="s">
        <v>1182</v>
      </c>
      <c r="L58" t="s">
        <v>1183</v>
      </c>
      <c r="M58" t="s">
        <v>1184</v>
      </c>
      <c r="N58" t="s">
        <v>1185</v>
      </c>
      <c r="O58" t="s">
        <v>1186</v>
      </c>
      <c r="P58" t="s">
        <v>1187</v>
      </c>
      <c r="Q58">
        <v>2.0125479860195998</v>
      </c>
      <c r="R58">
        <v>0.30105998968658698</v>
      </c>
      <c r="S58">
        <v>0.181971580817052</v>
      </c>
      <c r="T58">
        <v>0.16772474646192601</v>
      </c>
      <c r="U58">
        <v>0.116810863461869</v>
      </c>
      <c r="V58">
        <v>6.70858878129834E-2</v>
      </c>
      <c r="W58">
        <v>5.8961210107144897E-2</v>
      </c>
      <c r="X58">
        <v>4.6937489256861302E-2</v>
      </c>
      <c r="Y58">
        <v>4.0388471895949102E-2</v>
      </c>
      <c r="Z58">
        <v>3.0957428522317101E-2</v>
      </c>
      <c r="AA58">
        <v>3.00635993811952E-2</v>
      </c>
      <c r="AB58">
        <v>1.6848106342749102E-2</v>
      </c>
      <c r="AC58">
        <v>1.54070933363892E-2</v>
      </c>
      <c r="AD58">
        <v>1.38715407093336E-2</v>
      </c>
      <c r="AE58">
        <v>1.3507706411505199E-2</v>
      </c>
      <c r="AF58">
        <v>358.49599999999998</v>
      </c>
      <c r="AG58">
        <v>34906</v>
      </c>
      <c r="AH58">
        <v>2.0125479860195998</v>
      </c>
      <c r="AI58" t="s">
        <v>28</v>
      </c>
      <c r="AJ58" t="s">
        <v>36</v>
      </c>
      <c r="AK58">
        <v>40</v>
      </c>
    </row>
    <row r="59" spans="1:37">
      <c r="A59" t="s">
        <v>676</v>
      </c>
      <c r="B59" t="s">
        <v>675</v>
      </c>
      <c r="C59" t="s">
        <v>674</v>
      </c>
      <c r="D59" t="s">
        <v>677</v>
      </c>
      <c r="E59" t="s">
        <v>679</v>
      </c>
      <c r="F59" t="s">
        <v>680</v>
      </c>
      <c r="G59" t="s">
        <v>1188</v>
      </c>
      <c r="H59" t="s">
        <v>682</v>
      </c>
      <c r="I59" t="s">
        <v>1189</v>
      </c>
      <c r="J59" t="s">
        <v>1190</v>
      </c>
      <c r="K59" t="s">
        <v>1191</v>
      </c>
      <c r="L59" t="s">
        <v>1192</v>
      </c>
      <c r="M59" t="s">
        <v>683</v>
      </c>
      <c r="N59" t="s">
        <v>1193</v>
      </c>
      <c r="O59" t="s">
        <v>1194</v>
      </c>
      <c r="P59" t="s">
        <v>684</v>
      </c>
      <c r="Q59">
        <v>2.6802612188717898</v>
      </c>
      <c r="R59">
        <v>1.2350072186773</v>
      </c>
      <c r="S59">
        <v>0.56609391012933796</v>
      </c>
      <c r="T59">
        <v>0.16827372625878001</v>
      </c>
      <c r="U59">
        <v>0.15491356288477801</v>
      </c>
      <c r="V59">
        <v>0.109656570492441</v>
      </c>
      <c r="W59">
        <v>8.7791084746523404E-2</v>
      </c>
      <c r="X59">
        <v>7.8859374181820902E-2</v>
      </c>
      <c r="Y59">
        <v>6.7960293534608501E-2</v>
      </c>
      <c r="Z59">
        <v>6.6905543794555697E-2</v>
      </c>
      <c r="AA59">
        <v>4.7590906710751703E-2</v>
      </c>
      <c r="AB59">
        <v>4.4927850629483602E-2</v>
      </c>
      <c r="AC59">
        <v>4.4815643210329097E-2</v>
      </c>
      <c r="AD59">
        <v>4.0895864034530001E-2</v>
      </c>
      <c r="AE59">
        <v>3.4253184820580297E-2</v>
      </c>
      <c r="AF59">
        <v>364.62</v>
      </c>
      <c r="AG59">
        <v>13368.1</v>
      </c>
      <c r="AH59">
        <v>1.2350072186773</v>
      </c>
      <c r="AI59" t="s">
        <v>28</v>
      </c>
      <c r="AJ59" t="s">
        <v>36</v>
      </c>
      <c r="AK59">
        <v>40</v>
      </c>
    </row>
    <row r="60" spans="1:37">
      <c r="A60" t="s">
        <v>1195</v>
      </c>
      <c r="B60" t="s">
        <v>1196</v>
      </c>
      <c r="C60" t="s">
        <v>1197</v>
      </c>
      <c r="D60" t="s">
        <v>1198</v>
      </c>
      <c r="E60" t="s">
        <v>1199</v>
      </c>
      <c r="F60" t="s">
        <v>1200</v>
      </c>
      <c r="G60" t="s">
        <v>1201</v>
      </c>
      <c r="H60" t="s">
        <v>1202</v>
      </c>
      <c r="I60" t="s">
        <v>1203</v>
      </c>
      <c r="J60" t="s">
        <v>1204</v>
      </c>
      <c r="K60" t="s">
        <v>1205</v>
      </c>
      <c r="L60" t="s">
        <v>1206</v>
      </c>
      <c r="M60" t="s">
        <v>1207</v>
      </c>
      <c r="N60" t="s">
        <v>1208</v>
      </c>
      <c r="O60" t="s">
        <v>1209</v>
      </c>
      <c r="P60" t="s">
        <v>1210</v>
      </c>
      <c r="Q60">
        <v>8.1248326077072094E-2</v>
      </c>
      <c r="R60">
        <v>7.1594072911411302E-2</v>
      </c>
      <c r="S60">
        <v>5.59697541591146E-2</v>
      </c>
      <c r="T60">
        <v>4.3388082291608301E-2</v>
      </c>
      <c r="U60">
        <v>3.4926596533188803E-2</v>
      </c>
      <c r="V60">
        <v>3.1781178566312303E-2</v>
      </c>
      <c r="W60">
        <v>2.8532989517349599E-2</v>
      </c>
      <c r="X60">
        <v>1.84022522438353E-2</v>
      </c>
      <c r="Y60">
        <v>1.8199824354877901E-2</v>
      </c>
      <c r="Z60">
        <v>1.7626797715367699E-2</v>
      </c>
      <c r="AA60">
        <v>1.67392292791699E-2</v>
      </c>
      <c r="AB60">
        <v>1.5543347596713801E-2</v>
      </c>
      <c r="AC60">
        <v>1.18903027698364E-2</v>
      </c>
      <c r="AD60">
        <v>1.16660749543759E-2</v>
      </c>
      <c r="AE60">
        <v>9.6947387434522404E-3</v>
      </c>
      <c r="AF60">
        <v>376.84</v>
      </c>
      <c r="AG60">
        <v>32110.2</v>
      </c>
      <c r="AH60">
        <v>5.59697541591146E-2</v>
      </c>
      <c r="AI60" t="s">
        <v>41</v>
      </c>
      <c r="AJ60" t="s">
        <v>36</v>
      </c>
      <c r="AK60">
        <v>40</v>
      </c>
    </row>
    <row r="61" spans="1:37">
      <c r="A61" t="s">
        <v>1211</v>
      </c>
      <c r="B61" t="s">
        <v>1212</v>
      </c>
      <c r="C61" t="s">
        <v>1213</v>
      </c>
      <c r="D61" t="s">
        <v>1214</v>
      </c>
      <c r="E61" t="s">
        <v>1215</v>
      </c>
      <c r="F61" t="s">
        <v>1216</v>
      </c>
      <c r="G61" t="s">
        <v>1217</v>
      </c>
      <c r="H61" t="s">
        <v>1218</v>
      </c>
      <c r="I61" t="s">
        <v>1219</v>
      </c>
      <c r="J61" t="s">
        <v>1220</v>
      </c>
      <c r="K61" t="s">
        <v>1221</v>
      </c>
      <c r="L61" t="s">
        <v>1222</v>
      </c>
      <c r="M61" t="s">
        <v>1223</v>
      </c>
      <c r="N61" t="s">
        <v>1224</v>
      </c>
      <c r="O61" t="s">
        <v>1225</v>
      </c>
      <c r="P61" t="s">
        <v>1226</v>
      </c>
      <c r="Q61">
        <v>2.4823577828387302</v>
      </c>
      <c r="R61">
        <v>1.3183097510872701</v>
      </c>
      <c r="S61">
        <v>0.116658005698801</v>
      </c>
      <c r="T61">
        <v>0.108995664865883</v>
      </c>
      <c r="U61">
        <v>7.7443003274892203E-2</v>
      </c>
      <c r="V61">
        <v>6.7653203221182498E-2</v>
      </c>
      <c r="W61">
        <v>4.8624649928329003E-2</v>
      </c>
      <c r="X61">
        <v>2.7273329682938802E-2</v>
      </c>
      <c r="Y61">
        <v>2.4117017232419699E-2</v>
      </c>
      <c r="Z61">
        <v>1.38005838306124E-2</v>
      </c>
      <c r="AA61">
        <v>1.29809888848975E-2</v>
      </c>
      <c r="AB61">
        <v>1.1401088840604499E-2</v>
      </c>
      <c r="AC61">
        <v>1.09825722725798E-2</v>
      </c>
      <c r="AD61">
        <v>8.56912673030444E-3</v>
      </c>
      <c r="AE61">
        <v>8.0494686583405094E-3</v>
      </c>
      <c r="AF61">
        <v>379.63799999999998</v>
      </c>
      <c r="AG61">
        <v>28672.7</v>
      </c>
      <c r="AH61">
        <v>2.4823577828387302</v>
      </c>
      <c r="AI61" t="s">
        <v>28</v>
      </c>
      <c r="AJ61" t="s">
        <v>36</v>
      </c>
      <c r="AK61">
        <v>40</v>
      </c>
    </row>
    <row r="62" spans="1:37">
      <c r="A62" t="s">
        <v>1227</v>
      </c>
      <c r="B62" t="s">
        <v>1228</v>
      </c>
      <c r="C62" t="s">
        <v>1229</v>
      </c>
      <c r="D62" t="s">
        <v>1230</v>
      </c>
      <c r="E62" t="s">
        <v>1231</v>
      </c>
      <c r="F62" t="s">
        <v>1232</v>
      </c>
      <c r="G62" t="s">
        <v>1233</v>
      </c>
      <c r="H62" t="s">
        <v>1234</v>
      </c>
      <c r="I62" t="s">
        <v>1235</v>
      </c>
      <c r="J62" t="s">
        <v>1236</v>
      </c>
      <c r="K62" t="s">
        <v>1237</v>
      </c>
      <c r="L62" t="s">
        <v>1238</v>
      </c>
      <c r="M62" t="s">
        <v>1239</v>
      </c>
      <c r="N62" t="s">
        <v>1240</v>
      </c>
      <c r="O62" t="s">
        <v>1241</v>
      </c>
      <c r="P62" t="s">
        <v>1242</v>
      </c>
      <c r="Q62">
        <v>0.61317255088797296</v>
      </c>
      <c r="R62">
        <v>0.24360511919039299</v>
      </c>
      <c r="S62">
        <v>0.13115050354039001</v>
      </c>
      <c r="T62">
        <v>6.8405920912122803E-2</v>
      </c>
      <c r="U62">
        <v>3.1372291314133598E-2</v>
      </c>
      <c r="V62">
        <v>1.9905041975389798E-2</v>
      </c>
      <c r="W62">
        <v>1.3701555800161001E-2</v>
      </c>
      <c r="X62">
        <v>1.27388325748739E-2</v>
      </c>
      <c r="Y62">
        <v>9.8703773677898399E-3</v>
      </c>
      <c r="Z62">
        <v>6.6996336394552197E-3</v>
      </c>
      <c r="AA62">
        <v>6.5386321444413399E-3</v>
      </c>
      <c r="AB62">
        <v>5.78619658611116E-3</v>
      </c>
      <c r="AC62">
        <v>5.5594801951732399E-3</v>
      </c>
      <c r="AD62">
        <v>5.3064778458657104E-3</v>
      </c>
      <c r="AE62">
        <v>4.0907522712710902E-3</v>
      </c>
      <c r="AF62">
        <v>339.89499999999998</v>
      </c>
      <c r="AG62">
        <v>30434.5</v>
      </c>
      <c r="AH62">
        <v>0.24360511919039299</v>
      </c>
      <c r="AI62" t="s">
        <v>28</v>
      </c>
      <c r="AJ62" t="s">
        <v>94</v>
      </c>
      <c r="AK62">
        <v>36</v>
      </c>
    </row>
    <row r="63" spans="1:37">
      <c r="A63" t="s">
        <v>1243</v>
      </c>
      <c r="B63" t="s">
        <v>1244</v>
      </c>
      <c r="C63" t="s">
        <v>1245</v>
      </c>
      <c r="D63" t="s">
        <v>1246</v>
      </c>
      <c r="E63" t="s">
        <v>1247</v>
      </c>
      <c r="F63" t="s">
        <v>1248</v>
      </c>
      <c r="G63" t="s">
        <v>1249</v>
      </c>
      <c r="H63" t="s">
        <v>1250</v>
      </c>
      <c r="I63" t="s">
        <v>1251</v>
      </c>
      <c r="J63" t="s">
        <v>1252</v>
      </c>
      <c r="K63" t="s">
        <v>1253</v>
      </c>
      <c r="L63" t="s">
        <v>1254</v>
      </c>
      <c r="M63" t="s">
        <v>1255</v>
      </c>
      <c r="N63" t="s">
        <v>1256</v>
      </c>
      <c r="O63" t="s">
        <v>1257</v>
      </c>
      <c r="P63" t="s">
        <v>1258</v>
      </c>
      <c r="Q63">
        <v>0.31776148568238299</v>
      </c>
      <c r="R63">
        <v>3.8852239836621998E-2</v>
      </c>
      <c r="S63">
        <v>3.8840486020304703E-2</v>
      </c>
      <c r="T63">
        <v>2.9604924849036901E-2</v>
      </c>
      <c r="U63">
        <v>2.8185651528730701E-2</v>
      </c>
      <c r="V63">
        <v>2.5629196479732001E-2</v>
      </c>
      <c r="W63">
        <v>2.0739608891762001E-2</v>
      </c>
      <c r="X63">
        <v>1.4895023728016699E-2</v>
      </c>
      <c r="Y63">
        <v>1.2253353510718001E-2</v>
      </c>
      <c r="Z63">
        <v>1.21593229801801E-2</v>
      </c>
      <c r="AA63">
        <v>9.4941451302469806E-3</v>
      </c>
      <c r="AB63">
        <v>8.6537472635646404E-3</v>
      </c>
      <c r="AC63">
        <v>7.3725812849859702E-3</v>
      </c>
      <c r="AD63">
        <v>7.2726738462894703E-3</v>
      </c>
      <c r="AE63">
        <v>6.9611977138827304E-3</v>
      </c>
      <c r="AF63">
        <v>341.64400000000001</v>
      </c>
      <c r="AG63">
        <v>34031.5</v>
      </c>
      <c r="AH63">
        <v>3.8840486020304703E-2</v>
      </c>
      <c r="AI63" t="s">
        <v>64</v>
      </c>
      <c r="AJ63" t="s">
        <v>94</v>
      </c>
      <c r="AK63">
        <v>36</v>
      </c>
    </row>
    <row r="64" spans="1:37">
      <c r="A64" t="s">
        <v>1259</v>
      </c>
      <c r="B64" t="s">
        <v>1260</v>
      </c>
      <c r="C64" t="s">
        <v>1261</v>
      </c>
      <c r="D64" t="s">
        <v>1262</v>
      </c>
      <c r="E64" t="s">
        <v>1263</v>
      </c>
      <c r="F64" t="s">
        <v>1264</v>
      </c>
      <c r="G64" t="s">
        <v>1265</v>
      </c>
      <c r="H64" t="s">
        <v>1266</v>
      </c>
      <c r="I64" t="s">
        <v>1267</v>
      </c>
      <c r="J64" t="s">
        <v>1268</v>
      </c>
      <c r="K64" t="s">
        <v>1269</v>
      </c>
      <c r="L64" t="s">
        <v>1270</v>
      </c>
      <c r="M64" t="s">
        <v>1271</v>
      </c>
      <c r="N64" t="s">
        <v>1272</v>
      </c>
      <c r="O64" t="s">
        <v>1273</v>
      </c>
      <c r="P64" t="s">
        <v>1274</v>
      </c>
      <c r="Q64">
        <v>0.38938763036253199</v>
      </c>
      <c r="R64">
        <v>0.248202620621156</v>
      </c>
      <c r="S64">
        <v>0.22857470298353499</v>
      </c>
      <c r="T64">
        <v>0.13663139397180701</v>
      </c>
      <c r="U64">
        <v>0.10859151163234899</v>
      </c>
      <c r="V64">
        <v>9.8269473201665597E-2</v>
      </c>
      <c r="W64">
        <v>6.4835542651946396E-2</v>
      </c>
      <c r="X64">
        <v>5.1014249150017198E-2</v>
      </c>
      <c r="Y64">
        <v>5.0318982312717302E-2</v>
      </c>
      <c r="Z64">
        <v>5.0219658478817299E-2</v>
      </c>
      <c r="AA64">
        <v>4.6949612255033003E-2</v>
      </c>
      <c r="AB64">
        <v>3.6444206746380402E-2</v>
      </c>
      <c r="AC64">
        <v>3.4259082400580697E-2</v>
      </c>
      <c r="AD64">
        <v>2.5319937349581701E-2</v>
      </c>
      <c r="AE64">
        <v>2.3203575658020399E-2</v>
      </c>
      <c r="AF64">
        <v>345.31400000000002</v>
      </c>
      <c r="AG64">
        <v>13088.5</v>
      </c>
      <c r="AH64">
        <v>0.22857470298353499</v>
      </c>
      <c r="AI64" t="s">
        <v>28</v>
      </c>
      <c r="AJ64" t="s">
        <v>94</v>
      </c>
      <c r="AK64">
        <v>39</v>
      </c>
    </row>
    <row r="65" spans="1:37">
      <c r="A65" t="s">
        <v>1275</v>
      </c>
      <c r="B65" t="s">
        <v>1276</v>
      </c>
      <c r="C65" t="s">
        <v>1277</v>
      </c>
      <c r="D65" t="s">
        <v>1278</v>
      </c>
      <c r="E65" t="s">
        <v>1279</v>
      </c>
      <c r="F65" t="s">
        <v>1280</v>
      </c>
      <c r="G65" t="s">
        <v>1281</v>
      </c>
      <c r="H65" t="s">
        <v>1282</v>
      </c>
      <c r="I65" t="s">
        <v>1283</v>
      </c>
      <c r="J65" t="s">
        <v>1284</v>
      </c>
      <c r="K65" t="s">
        <v>1285</v>
      </c>
      <c r="L65" t="s">
        <v>1286</v>
      </c>
      <c r="M65" t="s">
        <v>1287</v>
      </c>
      <c r="N65" t="s">
        <v>1288</v>
      </c>
      <c r="O65" t="s">
        <v>1289</v>
      </c>
      <c r="P65" t="s">
        <v>1290</v>
      </c>
      <c r="Q65">
        <v>0.11049664919634</v>
      </c>
      <c r="R65">
        <v>5.6430424232281798E-2</v>
      </c>
      <c r="S65">
        <v>4.7676497212100898E-2</v>
      </c>
      <c r="T65">
        <v>2.3200797194605199E-2</v>
      </c>
      <c r="U65">
        <v>6.8157096020873102E-3</v>
      </c>
      <c r="V65">
        <v>5.6107895117183098E-3</v>
      </c>
      <c r="W65">
        <v>4.6994926251892203E-3</v>
      </c>
      <c r="X65">
        <v>4.6873217151854902E-3</v>
      </c>
      <c r="Y65">
        <v>4.6827576239340998E-3</v>
      </c>
      <c r="Z65">
        <v>4.1974425875354699E-3</v>
      </c>
      <c r="AA65">
        <v>3.48848707981835E-3</v>
      </c>
      <c r="AB65">
        <v>3.2131202409840199E-3</v>
      </c>
      <c r="AC65">
        <v>2.79778793710682E-3</v>
      </c>
      <c r="AD65">
        <v>2.6456515620602301E-3</v>
      </c>
      <c r="AE65">
        <v>2.25009698693909E-3</v>
      </c>
      <c r="AF65">
        <v>345.6</v>
      </c>
      <c r="AG65">
        <v>65730.5</v>
      </c>
      <c r="AH65">
        <v>0.11049664919634</v>
      </c>
      <c r="AI65" t="s">
        <v>41</v>
      </c>
      <c r="AJ65" t="s">
        <v>94</v>
      </c>
      <c r="AK65">
        <v>37</v>
      </c>
    </row>
    <row r="66" spans="1:37">
      <c r="A66" t="s">
        <v>1291</v>
      </c>
      <c r="B66" t="s">
        <v>1292</v>
      </c>
      <c r="C66" t="s">
        <v>1293</v>
      </c>
      <c r="D66" t="s">
        <v>1294</v>
      </c>
      <c r="E66" t="s">
        <v>1295</v>
      </c>
      <c r="F66" t="s">
        <v>1296</v>
      </c>
      <c r="G66" t="s">
        <v>1297</v>
      </c>
      <c r="H66" t="s">
        <v>1298</v>
      </c>
      <c r="I66" t="s">
        <v>1299</v>
      </c>
      <c r="J66" t="s">
        <v>1300</v>
      </c>
      <c r="K66" t="s">
        <v>1301</v>
      </c>
      <c r="L66" t="s">
        <v>1302</v>
      </c>
      <c r="M66" t="s">
        <v>1303</v>
      </c>
      <c r="N66" t="s">
        <v>1304</v>
      </c>
      <c r="O66" t="s">
        <v>1305</v>
      </c>
      <c r="P66" t="s">
        <v>1306</v>
      </c>
      <c r="Q66">
        <v>1.0900040273862299</v>
      </c>
      <c r="R66">
        <v>0.196012887635924</v>
      </c>
      <c r="S66">
        <v>0.13485300040273901</v>
      </c>
      <c r="T66">
        <v>0.12803866290777299</v>
      </c>
      <c r="U66">
        <v>0.121643173580346</v>
      </c>
      <c r="V66">
        <v>0.116987515102698</v>
      </c>
      <c r="W66">
        <v>0.115972613773661</v>
      </c>
      <c r="X66">
        <v>6.2263391059202602E-2</v>
      </c>
      <c r="Y66">
        <v>5.1196133709222699E-2</v>
      </c>
      <c r="Z66">
        <v>4.0571888844140203E-2</v>
      </c>
      <c r="AA66">
        <v>4.0563834071687503E-2</v>
      </c>
      <c r="AB66">
        <v>3.0978654853000401E-2</v>
      </c>
      <c r="AC66">
        <v>2.73378977043899E-2</v>
      </c>
      <c r="AD66">
        <v>1.92186870720902E-2</v>
      </c>
      <c r="AE66">
        <v>1.9113975030205399E-2</v>
      </c>
      <c r="AF66">
        <v>347.42500000000001</v>
      </c>
      <c r="AG66">
        <v>12415</v>
      </c>
      <c r="AH66">
        <v>1.0900040273862299</v>
      </c>
      <c r="AI66" t="s">
        <v>28</v>
      </c>
      <c r="AJ66" t="s">
        <v>94</v>
      </c>
      <c r="AK66">
        <v>40</v>
      </c>
    </row>
    <row r="67" spans="1:37">
      <c r="A67" t="s">
        <v>1307</v>
      </c>
      <c r="B67" t="s">
        <v>1308</v>
      </c>
      <c r="C67" t="s">
        <v>1309</v>
      </c>
      <c r="D67" t="s">
        <v>1310</v>
      </c>
      <c r="E67" t="s">
        <v>1311</v>
      </c>
      <c r="F67" t="s">
        <v>1312</v>
      </c>
      <c r="G67" t="s">
        <v>1313</v>
      </c>
      <c r="H67" t="s">
        <v>1314</v>
      </c>
      <c r="I67" t="s">
        <v>1315</v>
      </c>
      <c r="J67" t="s">
        <v>1316</v>
      </c>
      <c r="K67" t="s">
        <v>1317</v>
      </c>
      <c r="L67" t="s">
        <v>1318</v>
      </c>
      <c r="M67" t="s">
        <v>1319</v>
      </c>
      <c r="N67" t="s">
        <v>1320</v>
      </c>
      <c r="O67" t="s">
        <v>1321</v>
      </c>
      <c r="P67" t="s">
        <v>1322</v>
      </c>
      <c r="Q67">
        <v>0.17306018768963</v>
      </c>
      <c r="R67">
        <v>0.171253851400616</v>
      </c>
      <c r="S67">
        <v>0.13920549427287901</v>
      </c>
      <c r="T67">
        <v>6.9736811157889794E-2</v>
      </c>
      <c r="U67">
        <v>3.17802290848367E-2</v>
      </c>
      <c r="V67">
        <v>2.5622692099630699E-2</v>
      </c>
      <c r="W67">
        <v>2.2809699649551901E-2</v>
      </c>
      <c r="X67">
        <v>2.2757955641272899E-2</v>
      </c>
      <c r="Y67">
        <v>2.1760707481713201E-2</v>
      </c>
      <c r="Z67">
        <v>2.1088035374085701E-2</v>
      </c>
      <c r="AA67">
        <v>1.8110402897664499E-2</v>
      </c>
      <c r="AB67">
        <v>1.66333466613355E-2</v>
      </c>
      <c r="AC67">
        <v>1.5678434508549499E-2</v>
      </c>
      <c r="AD67">
        <v>1.25784980125597E-2</v>
      </c>
      <c r="AE67">
        <v>8.6177293788366992E-3</v>
      </c>
      <c r="AF67">
        <v>348.48399999999998</v>
      </c>
      <c r="AG67">
        <v>21258.5</v>
      </c>
      <c r="AH67">
        <v>0.171253851400616</v>
      </c>
      <c r="AI67" t="s">
        <v>41</v>
      </c>
      <c r="AJ67" t="s">
        <v>94</v>
      </c>
      <c r="AK67">
        <v>39</v>
      </c>
    </row>
    <row r="68" spans="1:37">
      <c r="A68" t="s">
        <v>1323</v>
      </c>
      <c r="B68" t="s">
        <v>1324</v>
      </c>
      <c r="C68" t="s">
        <v>1325</v>
      </c>
      <c r="D68" t="s">
        <v>1326</v>
      </c>
      <c r="E68" t="s">
        <v>1327</v>
      </c>
      <c r="F68" t="s">
        <v>1328</v>
      </c>
      <c r="G68" t="s">
        <v>1329</v>
      </c>
      <c r="H68" t="s">
        <v>1330</v>
      </c>
      <c r="I68" t="s">
        <v>1331</v>
      </c>
      <c r="J68" t="s">
        <v>1332</v>
      </c>
      <c r="K68" t="s">
        <v>1333</v>
      </c>
      <c r="L68" t="s">
        <v>1334</v>
      </c>
      <c r="M68" t="s">
        <v>1335</v>
      </c>
      <c r="N68" t="s">
        <v>1336</v>
      </c>
      <c r="O68" t="s">
        <v>1337</v>
      </c>
      <c r="P68" t="s">
        <v>1338</v>
      </c>
      <c r="Q68">
        <v>6.6263795423956902</v>
      </c>
      <c r="R68">
        <v>2.2741221093845598</v>
      </c>
      <c r="S68">
        <v>0.96096904441453601</v>
      </c>
      <c r="T68">
        <v>0.34613972837391399</v>
      </c>
      <c r="U68">
        <v>0.21121579183490399</v>
      </c>
      <c r="V68">
        <v>0.10872384681267599</v>
      </c>
      <c r="W68">
        <v>8.9196133610669304E-2</v>
      </c>
      <c r="X68">
        <v>8.5076879154941096E-2</v>
      </c>
      <c r="Y68">
        <v>8.4465108691219107E-2</v>
      </c>
      <c r="Z68">
        <v>7.7735633590276895E-2</v>
      </c>
      <c r="AA68">
        <v>6.7376320404584203E-2</v>
      </c>
      <c r="AB68">
        <v>3.9487744198376799E-2</v>
      </c>
      <c r="AC68">
        <v>3.6461519637831903E-2</v>
      </c>
      <c r="AD68">
        <v>2.8891879766711499E-2</v>
      </c>
      <c r="AE68">
        <v>2.2390798972225599E-2</v>
      </c>
      <c r="AF68">
        <v>349.476</v>
      </c>
      <c r="AG68">
        <v>12259.5</v>
      </c>
      <c r="AH68">
        <v>0.96096904441453601</v>
      </c>
      <c r="AI68" t="s">
        <v>28</v>
      </c>
      <c r="AJ68" t="s">
        <v>94</v>
      </c>
      <c r="AK68">
        <v>41</v>
      </c>
    </row>
    <row r="69" spans="1:37">
      <c r="A69" t="s">
        <v>1339</v>
      </c>
      <c r="B69" t="s">
        <v>1340</v>
      </c>
      <c r="C69" t="s">
        <v>1341</v>
      </c>
      <c r="D69" t="s">
        <v>1342</v>
      </c>
      <c r="E69" t="s">
        <v>1343</v>
      </c>
      <c r="F69" t="s">
        <v>1344</v>
      </c>
      <c r="G69" t="s">
        <v>1345</v>
      </c>
      <c r="H69" t="s">
        <v>1346</v>
      </c>
      <c r="I69" t="s">
        <v>1347</v>
      </c>
      <c r="J69" t="s">
        <v>1348</v>
      </c>
      <c r="K69" t="s">
        <v>1349</v>
      </c>
      <c r="L69" t="s">
        <v>1350</v>
      </c>
      <c r="M69" t="s">
        <v>1351</v>
      </c>
      <c r="N69" t="s">
        <v>1352</v>
      </c>
      <c r="O69" t="s">
        <v>1353</v>
      </c>
      <c r="P69" t="s">
        <v>1354</v>
      </c>
      <c r="Q69">
        <v>0.35596980229803599</v>
      </c>
      <c r="R69">
        <v>0.30988509818680998</v>
      </c>
      <c r="S69">
        <v>0.230574066284399</v>
      </c>
      <c r="T69">
        <v>0.123562620381235</v>
      </c>
      <c r="U69">
        <v>0.10259691381257099</v>
      </c>
      <c r="V69">
        <v>7.9071929863401905E-2</v>
      </c>
      <c r="W69">
        <v>7.6468374327525498E-2</v>
      </c>
      <c r="X69">
        <v>3.0729039828200799E-2</v>
      </c>
      <c r="Y69">
        <v>2.2542008899909202E-2</v>
      </c>
      <c r="Z69">
        <v>2.07531714228785E-2</v>
      </c>
      <c r="AA69">
        <v>2.0155416325355901E-2</v>
      </c>
      <c r="AB69">
        <v>1.47579091855033E-2</v>
      </c>
      <c r="AC69">
        <v>1.46560694281476E-2</v>
      </c>
      <c r="AD69">
        <v>1.21809205428502E-2</v>
      </c>
      <c r="AE69">
        <v>9.3692576767251904E-3</v>
      </c>
      <c r="AF69">
        <v>351.55900000000003</v>
      </c>
      <c r="AG69">
        <v>22584.5</v>
      </c>
      <c r="AH69">
        <v>0.123562620381235</v>
      </c>
      <c r="AI69" t="s">
        <v>41</v>
      </c>
      <c r="AJ69" t="s">
        <v>94</v>
      </c>
      <c r="AK69">
        <v>39</v>
      </c>
    </row>
    <row r="70" spans="1:37">
      <c r="A70" t="s">
        <v>1213</v>
      </c>
      <c r="B70" t="s">
        <v>1355</v>
      </c>
      <c r="C70" t="s">
        <v>1356</v>
      </c>
      <c r="D70" t="s">
        <v>1216</v>
      </c>
      <c r="E70" t="s">
        <v>1217</v>
      </c>
      <c r="F70" t="s">
        <v>1218</v>
      </c>
      <c r="G70" t="s">
        <v>1357</v>
      </c>
      <c r="H70" t="s">
        <v>1220</v>
      </c>
      <c r="I70" t="s">
        <v>1358</v>
      </c>
      <c r="J70" t="s">
        <v>1359</v>
      </c>
      <c r="K70" t="s">
        <v>1360</v>
      </c>
      <c r="L70" t="s">
        <v>1221</v>
      </c>
      <c r="M70" t="s">
        <v>1222</v>
      </c>
      <c r="N70" t="s">
        <v>1223</v>
      </c>
      <c r="O70" t="s">
        <v>1225</v>
      </c>
      <c r="P70" t="s">
        <v>1361</v>
      </c>
      <c r="Q70">
        <v>0.42727549306207802</v>
      </c>
      <c r="R70">
        <v>0.190227383960105</v>
      </c>
      <c r="S70">
        <v>5.8744163282583098E-2</v>
      </c>
      <c r="T70">
        <v>5.1159406870461298E-2</v>
      </c>
      <c r="U70">
        <v>3.6884085768330299E-2</v>
      </c>
      <c r="V70">
        <v>2.0354766597441801E-2</v>
      </c>
      <c r="W70">
        <v>1.82938927763595E-2</v>
      </c>
      <c r="X70">
        <v>1.71854125054564E-2</v>
      </c>
      <c r="Y70">
        <v>1.2836148626304601E-2</v>
      </c>
      <c r="Z70">
        <v>1.10318919562428E-2</v>
      </c>
      <c r="AA70">
        <v>1.04683924390534E-2</v>
      </c>
      <c r="AB70">
        <v>9.8466910937975403E-3</v>
      </c>
      <c r="AC70">
        <v>8.6482625431553301E-3</v>
      </c>
      <c r="AD70">
        <v>6.5000859799732797E-3</v>
      </c>
      <c r="AE70">
        <v>5.3439860315612599E-3</v>
      </c>
      <c r="AF70">
        <v>379.67500000000001</v>
      </c>
      <c r="AG70">
        <v>37799.5</v>
      </c>
      <c r="AH70">
        <v>5.1159406870461298E-2</v>
      </c>
      <c r="AI70" t="s">
        <v>41</v>
      </c>
      <c r="AJ70" t="s">
        <v>94</v>
      </c>
      <c r="AK70">
        <v>36</v>
      </c>
    </row>
    <row r="71" spans="1:37">
      <c r="A71" t="s">
        <v>1362</v>
      </c>
      <c r="B71" t="s">
        <v>1363</v>
      </c>
      <c r="C71" t="s">
        <v>1364</v>
      </c>
      <c r="D71" t="s">
        <v>1365</v>
      </c>
      <c r="E71" t="s">
        <v>1366</v>
      </c>
      <c r="F71" t="s">
        <v>1367</v>
      </c>
      <c r="G71" t="s">
        <v>1368</v>
      </c>
      <c r="H71" t="s">
        <v>1369</v>
      </c>
      <c r="I71" t="s">
        <v>1370</v>
      </c>
      <c r="J71" t="s">
        <v>1371</v>
      </c>
      <c r="K71" t="s">
        <v>1372</v>
      </c>
      <c r="L71" t="s">
        <v>1373</v>
      </c>
      <c r="M71" t="s">
        <v>1374</v>
      </c>
      <c r="N71" t="s">
        <v>1375</v>
      </c>
      <c r="O71" t="s">
        <v>1376</v>
      </c>
      <c r="P71" t="s">
        <v>1377</v>
      </c>
      <c r="Q71">
        <v>6.7454596781782297E-2</v>
      </c>
      <c r="R71">
        <v>3.5855838900912797E-2</v>
      </c>
      <c r="S71">
        <v>3.5652583043191903E-2</v>
      </c>
      <c r="T71">
        <v>2.9321539474922401E-2</v>
      </c>
      <c r="U71">
        <v>2.8474640067752001E-2</v>
      </c>
      <c r="V71">
        <v>2.59188858567799E-2</v>
      </c>
      <c r="W71">
        <v>2.4883786581349401E-2</v>
      </c>
      <c r="X71">
        <v>2.1676860826197401E-2</v>
      </c>
      <c r="Y71">
        <v>1.9121106615225401E-2</v>
      </c>
      <c r="Z71">
        <v>1.50446974687118E-2</v>
      </c>
      <c r="AA71">
        <v>1.0742448480286101E-2</v>
      </c>
      <c r="AB71">
        <v>9.8390891126376202E-3</v>
      </c>
      <c r="AC71">
        <v>9.5304413286910698E-3</v>
      </c>
      <c r="AD71">
        <v>9.4476333866566307E-3</v>
      </c>
      <c r="AE71">
        <v>6.45525548132116E-3</v>
      </c>
      <c r="AF71">
        <v>381.07400000000001</v>
      </c>
      <c r="AG71">
        <v>26567.5</v>
      </c>
      <c r="AH71">
        <v>6.7454596781782297E-2</v>
      </c>
      <c r="AI71" t="s">
        <v>41</v>
      </c>
      <c r="AJ71" t="s">
        <v>94</v>
      </c>
      <c r="AK71">
        <v>38</v>
      </c>
    </row>
    <row r="72" spans="1:37">
      <c r="A72" t="s">
        <v>1378</v>
      </c>
      <c r="B72" t="s">
        <v>1379</v>
      </c>
      <c r="C72" t="s">
        <v>1380</v>
      </c>
      <c r="D72" t="s">
        <v>1381</v>
      </c>
      <c r="E72" t="s">
        <v>1382</v>
      </c>
      <c r="F72" t="s">
        <v>1383</v>
      </c>
      <c r="G72" t="s">
        <v>1384</v>
      </c>
      <c r="H72" t="s">
        <v>1385</v>
      </c>
      <c r="I72" t="s">
        <v>1386</v>
      </c>
      <c r="J72" t="s">
        <v>1387</v>
      </c>
      <c r="K72" t="s">
        <v>1388</v>
      </c>
      <c r="L72" t="s">
        <v>1389</v>
      </c>
      <c r="M72" t="s">
        <v>1390</v>
      </c>
      <c r="N72" t="s">
        <v>1391</v>
      </c>
      <c r="O72" t="s">
        <v>1392</v>
      </c>
      <c r="P72" t="s">
        <v>1393</v>
      </c>
      <c r="Q72">
        <v>0.32630081553451701</v>
      </c>
      <c r="R72">
        <v>0.12737944797773701</v>
      </c>
      <c r="S72">
        <v>0.123313514670644</v>
      </c>
      <c r="T72">
        <v>0.108325909966647</v>
      </c>
      <c r="U72">
        <v>8.8659167339948802E-2</v>
      </c>
      <c r="V72">
        <v>4.9639189851739797E-2</v>
      </c>
      <c r="W72">
        <v>4.7948733884388799E-2</v>
      </c>
      <c r="X72">
        <v>3.3978993598640997E-2</v>
      </c>
      <c r="Y72">
        <v>3.1542748233929302E-2</v>
      </c>
      <c r="Z72">
        <v>1.96308342483064E-2</v>
      </c>
      <c r="AA72">
        <v>1.89361452355797E-2</v>
      </c>
      <c r="AB72">
        <v>1.8333989351784701E-2</v>
      </c>
      <c r="AC72">
        <v>1.7515002106164499E-2</v>
      </c>
      <c r="AD72">
        <v>1.23248603371244E-2</v>
      </c>
      <c r="AE72">
        <v>1.2085931511673699E-2</v>
      </c>
      <c r="AF72">
        <v>389.09399999999999</v>
      </c>
      <c r="AG72">
        <v>72406.5</v>
      </c>
      <c r="AH72">
        <v>0.12737944797773701</v>
      </c>
      <c r="AI72" t="s">
        <v>41</v>
      </c>
      <c r="AJ72" t="s">
        <v>94</v>
      </c>
      <c r="AK72">
        <v>37</v>
      </c>
    </row>
    <row r="73" spans="1:37">
      <c r="A73" t="s">
        <v>1394</v>
      </c>
      <c r="B73" t="s">
        <v>1395</v>
      </c>
      <c r="C73" t="s">
        <v>1396</v>
      </c>
      <c r="D73" t="s">
        <v>1397</v>
      </c>
      <c r="E73" t="s">
        <v>1398</v>
      </c>
      <c r="F73" t="s">
        <v>1399</v>
      </c>
      <c r="G73" t="s">
        <v>1400</v>
      </c>
      <c r="H73" t="s">
        <v>1401</v>
      </c>
      <c r="I73" t="s">
        <v>1402</v>
      </c>
      <c r="J73" t="s">
        <v>1403</v>
      </c>
      <c r="K73" t="s">
        <v>1404</v>
      </c>
      <c r="L73" t="s">
        <v>1405</v>
      </c>
      <c r="M73" t="s">
        <v>1406</v>
      </c>
      <c r="N73" t="s">
        <v>1407</v>
      </c>
      <c r="O73" t="s">
        <v>1408</v>
      </c>
      <c r="P73" t="s">
        <v>1409</v>
      </c>
      <c r="Q73">
        <v>2.5275323416470901</v>
      </c>
      <c r="R73">
        <v>0.225552697312008</v>
      </c>
      <c r="S73">
        <v>0.206442232412482</v>
      </c>
      <c r="T73">
        <v>0.14018566155911</v>
      </c>
      <c r="U73">
        <v>0.130895127316109</v>
      </c>
      <c r="V73">
        <v>9.3285613093240904E-2</v>
      </c>
      <c r="W73">
        <v>6.4638556462737196E-2</v>
      </c>
      <c r="X73">
        <v>5.9158185139618999E-2</v>
      </c>
      <c r="Y73">
        <v>5.7085337210602799E-2</v>
      </c>
      <c r="Z73">
        <v>5.7003318047943903E-2</v>
      </c>
      <c r="AA73">
        <v>5.0911531148641102E-2</v>
      </c>
      <c r="AB73">
        <v>4.8741751481937198E-2</v>
      </c>
      <c r="AC73">
        <v>4.34552436341945E-2</v>
      </c>
      <c r="AD73">
        <v>3.1532639898594499E-2</v>
      </c>
      <c r="AE73">
        <v>2.6052268575476299E-2</v>
      </c>
      <c r="AF73">
        <v>404.54700000000003</v>
      </c>
      <c r="AG73">
        <v>13411.5</v>
      </c>
      <c r="AH73">
        <v>0.130895127316109</v>
      </c>
      <c r="AI73" t="s">
        <v>41</v>
      </c>
      <c r="AJ73" t="s">
        <v>94</v>
      </c>
      <c r="AK73">
        <v>40</v>
      </c>
    </row>
    <row r="74" spans="1:37">
      <c r="A74" t="s">
        <v>1410</v>
      </c>
      <c r="B74" t="s">
        <v>1411</v>
      </c>
      <c r="C74" t="s">
        <v>1412</v>
      </c>
      <c r="D74" t="s">
        <v>1413</v>
      </c>
      <c r="E74" t="s">
        <v>1414</v>
      </c>
      <c r="F74" t="s">
        <v>1415</v>
      </c>
      <c r="G74" t="s">
        <v>1416</v>
      </c>
      <c r="H74" t="s">
        <v>1417</v>
      </c>
      <c r="I74" t="s">
        <v>1418</v>
      </c>
      <c r="J74" t="s">
        <v>1419</v>
      </c>
      <c r="K74" t="s">
        <v>1420</v>
      </c>
      <c r="L74" t="s">
        <v>1421</v>
      </c>
      <c r="M74" t="s">
        <v>1422</v>
      </c>
      <c r="N74" t="s">
        <v>1423</v>
      </c>
      <c r="O74" t="s">
        <v>1424</v>
      </c>
      <c r="P74" t="s">
        <v>1425</v>
      </c>
      <c r="Q74">
        <v>4.60003199421802E-2</v>
      </c>
      <c r="R74">
        <v>4.0805287562420398E-2</v>
      </c>
      <c r="S74">
        <v>3.7357277591272699E-2</v>
      </c>
      <c r="T74">
        <v>3.6247837800823302E-2</v>
      </c>
      <c r="U74">
        <v>2.2596204196766698E-2</v>
      </c>
      <c r="V74">
        <v>1.98743939224796E-2</v>
      </c>
      <c r="W74">
        <v>1.14085857289675E-2</v>
      </c>
      <c r="X74">
        <v>1.04069825654529E-2</v>
      </c>
      <c r="Y74">
        <v>1.0353236882658301E-2</v>
      </c>
      <c r="Z74">
        <v>7.9433126905411097E-3</v>
      </c>
      <c r="AA74">
        <v>7.41391196065862E-3</v>
      </c>
      <c r="AB74">
        <v>4.5079623020645504E-3</v>
      </c>
      <c r="AC74">
        <v>3.40427686737476E-3</v>
      </c>
      <c r="AD74">
        <v>2.9692475719495901E-3</v>
      </c>
      <c r="AE74">
        <v>2.8645182971250099E-3</v>
      </c>
      <c r="AF74">
        <v>333.74900000000002</v>
      </c>
      <c r="AG74">
        <v>86890.7</v>
      </c>
      <c r="AH74">
        <v>4.60003199421802E-2</v>
      </c>
      <c r="AI74" t="s">
        <v>64</v>
      </c>
      <c r="AJ74" t="s">
        <v>133</v>
      </c>
      <c r="AK74">
        <v>38</v>
      </c>
    </row>
    <row r="75" spans="1:37">
      <c r="A75" t="s">
        <v>1426</v>
      </c>
      <c r="B75" t="s">
        <v>1427</v>
      </c>
      <c r="C75" t="s">
        <v>1428</v>
      </c>
      <c r="D75" t="s">
        <v>1429</v>
      </c>
      <c r="E75" t="s">
        <v>1430</v>
      </c>
      <c r="F75" t="s">
        <v>1431</v>
      </c>
      <c r="G75" t="s">
        <v>1432</v>
      </c>
      <c r="H75" t="s">
        <v>1433</v>
      </c>
      <c r="I75" t="s">
        <v>1434</v>
      </c>
      <c r="J75" t="s">
        <v>1435</v>
      </c>
      <c r="K75" t="s">
        <v>1436</v>
      </c>
      <c r="L75" t="s">
        <v>1437</v>
      </c>
      <c r="M75" t="s">
        <v>1438</v>
      </c>
      <c r="N75" t="s">
        <v>1439</v>
      </c>
      <c r="O75" t="s">
        <v>1440</v>
      </c>
      <c r="P75" t="s">
        <v>1441</v>
      </c>
      <c r="Q75">
        <v>1.36218182988328</v>
      </c>
      <c r="R75">
        <v>7.66803197675755E-2</v>
      </c>
      <c r="S75">
        <v>7.5850560604597897E-2</v>
      </c>
      <c r="T75">
        <v>6.7732252118069505E-2</v>
      </c>
      <c r="U75">
        <v>5.5961624213337703E-2</v>
      </c>
      <c r="V75">
        <v>5.2226558729020399E-2</v>
      </c>
      <c r="W75">
        <v>4.3574997816423301E-2</v>
      </c>
      <c r="X75">
        <v>3.7695430118648697E-2</v>
      </c>
      <c r="Y75">
        <v>3.2498517466315498E-2</v>
      </c>
      <c r="Z75">
        <v>3.1259624976440401E-2</v>
      </c>
      <c r="AA75">
        <v>3.1112520858904199E-2</v>
      </c>
      <c r="AB75">
        <v>3.0806820114649299E-2</v>
      </c>
      <c r="AC75">
        <v>2.1026694800329201E-2</v>
      </c>
      <c r="AD75">
        <v>1.7098555161745601E-2</v>
      </c>
      <c r="AE75">
        <v>1.5698767543315301E-2</v>
      </c>
      <c r="AF75">
        <v>375.90800000000002</v>
      </c>
      <c r="AG75">
        <v>43506.6</v>
      </c>
      <c r="AH75">
        <v>7.66803197675755E-2</v>
      </c>
      <c r="AI75" t="s">
        <v>41</v>
      </c>
      <c r="AJ75" t="s">
        <v>133</v>
      </c>
      <c r="AK75">
        <v>39</v>
      </c>
    </row>
    <row r="76" spans="1:37">
      <c r="A76" t="s">
        <v>1442</v>
      </c>
      <c r="B76" t="s">
        <v>1443</v>
      </c>
      <c r="C76" t="s">
        <v>1444</v>
      </c>
      <c r="D76" t="s">
        <v>1445</v>
      </c>
      <c r="E76" t="s">
        <v>1446</v>
      </c>
      <c r="F76" t="s">
        <v>1447</v>
      </c>
      <c r="G76" t="s">
        <v>1448</v>
      </c>
      <c r="H76" t="s">
        <v>1449</v>
      </c>
      <c r="I76" t="s">
        <v>1450</v>
      </c>
      <c r="J76" t="s">
        <v>1451</v>
      </c>
      <c r="K76" t="s">
        <v>1452</v>
      </c>
      <c r="L76" t="s">
        <v>1453</v>
      </c>
      <c r="M76" t="s">
        <v>1454</v>
      </c>
      <c r="N76" t="s">
        <v>1455</v>
      </c>
      <c r="O76" t="s">
        <v>1456</v>
      </c>
      <c r="P76" t="s">
        <v>1457</v>
      </c>
      <c r="Q76">
        <v>0.47534541499856198</v>
      </c>
      <c r="R76">
        <v>5.16929049635853E-2</v>
      </c>
      <c r="S76">
        <v>2.1705477005177401E-2</v>
      </c>
      <c r="T76">
        <v>1.98012289618529E-2</v>
      </c>
      <c r="U76">
        <v>1.3680657497752701E-2</v>
      </c>
      <c r="V76">
        <v>1.35162619832211E-2</v>
      </c>
      <c r="W76">
        <v>1.26605622537361E-2</v>
      </c>
      <c r="X76">
        <v>9.7962865582429098E-3</v>
      </c>
      <c r="Y76">
        <v>5.6252772857036002E-3</v>
      </c>
      <c r="Z76">
        <v>5.22693430818468E-3</v>
      </c>
      <c r="AA76">
        <v>5.0235475498218501E-3</v>
      </c>
      <c r="AB76">
        <v>3.66306928533265E-3</v>
      </c>
      <c r="AC76">
        <v>3.5471493712398499E-3</v>
      </c>
      <c r="AD76">
        <v>3.3753771349023299E-3</v>
      </c>
      <c r="AE76">
        <v>3.1625060199319001E-3</v>
      </c>
      <c r="AF76">
        <v>379.08199999999999</v>
      </c>
      <c r="AG76">
        <v>94893.1</v>
      </c>
      <c r="AH76">
        <v>0.47534541499856198</v>
      </c>
      <c r="AI76" t="s">
        <v>28</v>
      </c>
      <c r="AJ76" t="s">
        <v>133</v>
      </c>
      <c r="AK76">
        <v>38</v>
      </c>
    </row>
    <row r="77" spans="1:37">
      <c r="A77" t="s">
        <v>1458</v>
      </c>
      <c r="B77" t="s">
        <v>1459</v>
      </c>
      <c r="C77" t="s">
        <v>1217</v>
      </c>
      <c r="D77" t="s">
        <v>1460</v>
      </c>
      <c r="E77" t="s">
        <v>1461</v>
      </c>
      <c r="F77" t="s">
        <v>1462</v>
      </c>
      <c r="G77" t="s">
        <v>1219</v>
      </c>
      <c r="H77" t="s">
        <v>1463</v>
      </c>
      <c r="I77" t="s">
        <v>1464</v>
      </c>
      <c r="J77" t="s">
        <v>1360</v>
      </c>
      <c r="K77" t="s">
        <v>1224</v>
      </c>
      <c r="L77" t="s">
        <v>1465</v>
      </c>
      <c r="M77" t="s">
        <v>1226</v>
      </c>
      <c r="N77" t="s">
        <v>1466</v>
      </c>
      <c r="O77" t="s">
        <v>1467</v>
      </c>
      <c r="P77" t="s">
        <v>1468</v>
      </c>
      <c r="Q77">
        <v>5.9262279530345803E-2</v>
      </c>
      <c r="R77">
        <v>1.76393966592964E-2</v>
      </c>
      <c r="S77">
        <v>9.4572998533242799E-3</v>
      </c>
      <c r="T77">
        <v>9.2547997985945405E-3</v>
      </c>
      <c r="U77">
        <v>7.4432452549311502E-3</v>
      </c>
      <c r="V77">
        <v>7.1331100359756901E-3</v>
      </c>
      <c r="W77">
        <v>6.1014543517444201E-3</v>
      </c>
      <c r="X77">
        <v>6.0777381291184096E-3</v>
      </c>
      <c r="Y77">
        <v>3.8037172442479E-3</v>
      </c>
      <c r="Z77">
        <v>2.8723994249728198E-3</v>
      </c>
      <c r="AA77">
        <v>2.83500076621642E-3</v>
      </c>
      <c r="AB77">
        <v>2.1052708392623899E-3</v>
      </c>
      <c r="AC77">
        <v>2.0441559578799899E-3</v>
      </c>
      <c r="AD77">
        <v>1.6254734122901099E-3</v>
      </c>
      <c r="AE77">
        <v>1.51966257288178E-3</v>
      </c>
      <c r="AF77">
        <v>379.47699999999998</v>
      </c>
      <c r="AG77">
        <v>109629.6</v>
      </c>
      <c r="AH77">
        <v>1.76393966592964E-2</v>
      </c>
      <c r="AI77" t="s">
        <v>64</v>
      </c>
      <c r="AJ77" t="s">
        <v>133</v>
      </c>
      <c r="AK77">
        <v>38</v>
      </c>
    </row>
    <row r="78" spans="1:37">
      <c r="A78" t="s">
        <v>691</v>
      </c>
      <c r="B78" t="s">
        <v>690</v>
      </c>
      <c r="C78" t="s">
        <v>692</v>
      </c>
      <c r="D78" t="s">
        <v>693</v>
      </c>
      <c r="E78" t="s">
        <v>694</v>
      </c>
      <c r="F78" t="s">
        <v>695</v>
      </c>
      <c r="G78" t="s">
        <v>696</v>
      </c>
      <c r="H78" t="s">
        <v>697</v>
      </c>
      <c r="I78" t="s">
        <v>698</v>
      </c>
      <c r="J78" t="s">
        <v>1469</v>
      </c>
      <c r="K78" t="s">
        <v>699</v>
      </c>
      <c r="L78" t="s">
        <v>701</v>
      </c>
      <c r="M78" t="s">
        <v>703</v>
      </c>
      <c r="N78" t="s">
        <v>705</v>
      </c>
      <c r="O78" t="s">
        <v>1470</v>
      </c>
      <c r="P78" t="s">
        <v>1471</v>
      </c>
      <c r="Q78">
        <v>0.46772878158595499</v>
      </c>
      <c r="R78">
        <v>7.6664825401126596E-2</v>
      </c>
      <c r="S78">
        <v>4.3786510471763497E-2</v>
      </c>
      <c r="T78">
        <v>3.2262098938493002E-2</v>
      </c>
      <c r="U78">
        <v>2.3599899946325401E-2</v>
      </c>
      <c r="V78">
        <v>1.9638139210097098E-2</v>
      </c>
      <c r="W78">
        <v>1.61518939847939E-2</v>
      </c>
      <c r="X78">
        <v>1.51878351407265E-2</v>
      </c>
      <c r="Y78">
        <v>1.4316273834400799E-2</v>
      </c>
      <c r="Z78">
        <v>9.4060876407656199E-3</v>
      </c>
      <c r="AA78">
        <v>5.3909128334471102E-3</v>
      </c>
      <c r="AB78">
        <v>4.3356592338598303E-3</v>
      </c>
      <c r="AC78">
        <v>3.9226772695769097E-3</v>
      </c>
      <c r="AD78">
        <v>3.6972959452206099E-3</v>
      </c>
      <c r="AE78">
        <v>3.5774399808230499E-3</v>
      </c>
      <c r="AF78">
        <v>387.16399999999999</v>
      </c>
      <c r="AG78">
        <v>76758.8</v>
      </c>
      <c r="AH78">
        <v>0.46772878158595499</v>
      </c>
      <c r="AI78" t="s">
        <v>28</v>
      </c>
      <c r="AJ78" t="s">
        <v>133</v>
      </c>
      <c r="AK78">
        <v>37</v>
      </c>
    </row>
    <row r="79" spans="1:37">
      <c r="A79" t="s">
        <v>1472</v>
      </c>
      <c r="B79" t="s">
        <v>1473</v>
      </c>
      <c r="C79" t="s">
        <v>1474</v>
      </c>
      <c r="D79" t="s">
        <v>1475</v>
      </c>
      <c r="E79" t="s">
        <v>1476</v>
      </c>
      <c r="F79" t="s">
        <v>1477</v>
      </c>
      <c r="G79" t="s">
        <v>1478</v>
      </c>
      <c r="H79" t="s">
        <v>1479</v>
      </c>
      <c r="I79" t="s">
        <v>1480</v>
      </c>
      <c r="J79" t="s">
        <v>1481</v>
      </c>
      <c r="K79" t="s">
        <v>1482</v>
      </c>
      <c r="L79" t="s">
        <v>1483</v>
      </c>
      <c r="M79" t="s">
        <v>1484</v>
      </c>
      <c r="N79" t="s">
        <v>1485</v>
      </c>
      <c r="O79" t="s">
        <v>1486</v>
      </c>
      <c r="P79" t="s">
        <v>1487</v>
      </c>
      <c r="Q79">
        <v>0.42956674788730698</v>
      </c>
      <c r="R79">
        <v>0.39462448063139899</v>
      </c>
      <c r="S79">
        <v>0.11969174419150699</v>
      </c>
      <c r="T79">
        <v>8.6968435259149504E-2</v>
      </c>
      <c r="U79">
        <v>3.3439598453503402E-2</v>
      </c>
      <c r="V79">
        <v>2.72741344436386E-2</v>
      </c>
      <c r="W79">
        <v>2.7168043243468901E-2</v>
      </c>
      <c r="X79">
        <v>1.7869410428591099E-2</v>
      </c>
      <c r="Y79">
        <v>1.3023999220838399E-2</v>
      </c>
      <c r="Z79">
        <v>9.7925656156681098E-3</v>
      </c>
      <c r="AA79">
        <v>7.4272536118836097E-3</v>
      </c>
      <c r="AB79">
        <v>6.9176680110682696E-3</v>
      </c>
      <c r="AC79">
        <v>6.6933112107093002E-3</v>
      </c>
      <c r="AD79">
        <v>5.8402336093443799E-3</v>
      </c>
      <c r="AE79">
        <v>5.8002320092803697E-3</v>
      </c>
      <c r="AF79">
        <v>394.91</v>
      </c>
      <c r="AG79">
        <v>114995.4</v>
      </c>
      <c r="AH79">
        <v>0.42956674788730698</v>
      </c>
      <c r="AI79" t="s">
        <v>28</v>
      </c>
      <c r="AJ79" t="s">
        <v>133</v>
      </c>
      <c r="AK79">
        <v>40</v>
      </c>
    </row>
    <row r="80" spans="1:37">
      <c r="A80" t="s">
        <v>1488</v>
      </c>
      <c r="B80" t="s">
        <v>1489</v>
      </c>
      <c r="C80" t="s">
        <v>1490</v>
      </c>
      <c r="D80" t="s">
        <v>1491</v>
      </c>
      <c r="E80" t="s">
        <v>1492</v>
      </c>
      <c r="F80" t="s">
        <v>1493</v>
      </c>
      <c r="G80" t="s">
        <v>1494</v>
      </c>
      <c r="H80" t="s">
        <v>1495</v>
      </c>
      <c r="I80" t="s">
        <v>1496</v>
      </c>
      <c r="J80" t="s">
        <v>1497</v>
      </c>
      <c r="K80" t="s">
        <v>1498</v>
      </c>
      <c r="L80" t="s">
        <v>1499</v>
      </c>
      <c r="M80" t="s">
        <v>1500</v>
      </c>
      <c r="N80" t="s">
        <v>1501</v>
      </c>
      <c r="O80" t="s">
        <v>1502</v>
      </c>
      <c r="P80" t="s">
        <v>1503</v>
      </c>
      <c r="Q80">
        <v>0.267626127613596</v>
      </c>
      <c r="R80">
        <v>0.11984004835421801</v>
      </c>
      <c r="S80">
        <v>6.6003974287317899E-2</v>
      </c>
      <c r="T80">
        <v>4.10427428416738E-2</v>
      </c>
      <c r="U80">
        <v>3.7682218039717198E-2</v>
      </c>
      <c r="V80">
        <v>2.74699565582158E-2</v>
      </c>
      <c r="W80">
        <v>2.2660205435415502E-2</v>
      </c>
      <c r="X80">
        <v>2.2207468066263E-2</v>
      </c>
      <c r="Y80">
        <v>1.5274051964448501E-2</v>
      </c>
      <c r="Z80">
        <v>1.3572786283457899E-2</v>
      </c>
      <c r="AA80">
        <v>1.1032556250867799E-2</v>
      </c>
      <c r="AB80">
        <v>9.5343222766622101E-3</v>
      </c>
      <c r="AC80">
        <v>6.8062295728516303E-3</v>
      </c>
      <c r="AD80">
        <v>6.4246699859628097E-3</v>
      </c>
      <c r="AE80">
        <v>5.8039063767124999E-3</v>
      </c>
      <c r="AF80">
        <v>398.85199999999998</v>
      </c>
      <c r="AG80">
        <v>85700.9</v>
      </c>
      <c r="AH80">
        <v>0.11984004835421801</v>
      </c>
      <c r="AI80" t="s">
        <v>41</v>
      </c>
      <c r="AJ80" t="s">
        <v>133</v>
      </c>
      <c r="AK80">
        <v>41</v>
      </c>
    </row>
    <row r="81" spans="1:37">
      <c r="A81" t="s">
        <v>1504</v>
      </c>
      <c r="B81" t="s">
        <v>1505</v>
      </c>
      <c r="C81" t="s">
        <v>1506</v>
      </c>
      <c r="D81" t="s">
        <v>1507</v>
      </c>
      <c r="E81" t="s">
        <v>1508</v>
      </c>
      <c r="F81" t="s">
        <v>1509</v>
      </c>
      <c r="G81" t="s">
        <v>1510</v>
      </c>
      <c r="H81" t="s">
        <v>1511</v>
      </c>
      <c r="I81" t="s">
        <v>1512</v>
      </c>
      <c r="J81" t="s">
        <v>1513</v>
      </c>
      <c r="K81" t="s">
        <v>1514</v>
      </c>
      <c r="L81" t="s">
        <v>1515</v>
      </c>
      <c r="M81" t="s">
        <v>1516</v>
      </c>
      <c r="N81" t="s">
        <v>1517</v>
      </c>
      <c r="O81" t="s">
        <v>1518</v>
      </c>
      <c r="P81" t="s">
        <v>1519</v>
      </c>
      <c r="Q81">
        <v>0.15956212133134001</v>
      </c>
      <c r="R81">
        <v>9.7514556613423606E-2</v>
      </c>
      <c r="S81">
        <v>5.6424908857240302E-2</v>
      </c>
      <c r="T81">
        <v>4.5694324232171402E-2</v>
      </c>
      <c r="U81">
        <v>3.7950468172161501E-2</v>
      </c>
      <c r="V81">
        <v>2.71461169250138E-2</v>
      </c>
      <c r="W81">
        <v>2.6167479738767801E-2</v>
      </c>
      <c r="X81">
        <v>2.3523356151808401E-2</v>
      </c>
      <c r="Y81">
        <v>2.1423466309964102E-2</v>
      </c>
      <c r="Z81">
        <v>1.46861148267632E-2</v>
      </c>
      <c r="AA81">
        <v>1.2966532903192E-2</v>
      </c>
      <c r="AB81">
        <v>7.5438665512628901E-3</v>
      </c>
      <c r="AC81">
        <v>7.3274844598316203E-3</v>
      </c>
      <c r="AD81">
        <v>6.7373514832008803E-3</v>
      </c>
      <c r="AE81">
        <v>5.1554672541768301E-3</v>
      </c>
      <c r="AF81">
        <v>399.57499999999999</v>
      </c>
      <c r="AG81">
        <v>61003.199999999997</v>
      </c>
      <c r="AH81">
        <v>0.15956212133134001</v>
      </c>
      <c r="AI81" t="s">
        <v>41</v>
      </c>
      <c r="AJ81" t="s">
        <v>133</v>
      </c>
      <c r="AK81">
        <v>37</v>
      </c>
    </row>
    <row r="82" spans="1:37">
      <c r="A82" t="s">
        <v>380</v>
      </c>
      <c r="B82" t="s">
        <v>738</v>
      </c>
      <c r="C82" t="s">
        <v>737</v>
      </c>
      <c r="D82" t="s">
        <v>379</v>
      </c>
      <c r="E82" t="s">
        <v>739</v>
      </c>
      <c r="F82" t="s">
        <v>740</v>
      </c>
      <c r="G82" t="s">
        <v>366</v>
      </c>
      <c r="H82" t="s">
        <v>381</v>
      </c>
      <c r="I82" t="s">
        <v>367</v>
      </c>
      <c r="J82" t="s">
        <v>382</v>
      </c>
      <c r="K82" t="s">
        <v>741</v>
      </c>
      <c r="L82" t="s">
        <v>745</v>
      </c>
      <c r="M82" t="s">
        <v>1520</v>
      </c>
      <c r="N82" t="s">
        <v>384</v>
      </c>
      <c r="O82" t="s">
        <v>1521</v>
      </c>
      <c r="P82" t="s">
        <v>376</v>
      </c>
      <c r="Q82">
        <v>59.247548100112603</v>
      </c>
      <c r="R82">
        <v>0.44109698115807799</v>
      </c>
      <c r="S82">
        <v>0.17702985154617101</v>
      </c>
      <c r="T82">
        <v>0.10378446249607599</v>
      </c>
      <c r="U82">
        <v>0.10128088321989399</v>
      </c>
      <c r="V82">
        <v>8.8883954889635797E-2</v>
      </c>
      <c r="W82">
        <v>7.7565020327226203E-2</v>
      </c>
      <c r="X82">
        <v>7.5306439634645894E-2</v>
      </c>
      <c r="Y82">
        <v>7.2381769042897698E-2</v>
      </c>
      <c r="Z82">
        <v>6.0454931744925902E-2</v>
      </c>
      <c r="AA82">
        <v>2.9920452022386801E-2</v>
      </c>
      <c r="AB82">
        <v>2.8781208608637698E-2</v>
      </c>
      <c r="AC82">
        <v>2.6161255005244501E-2</v>
      </c>
      <c r="AD82">
        <v>7.8032048877217401E-3</v>
      </c>
      <c r="AE82">
        <v>7.2259269751096802E-3</v>
      </c>
      <c r="AF82">
        <v>407.73399999999998</v>
      </c>
      <c r="AG82">
        <v>65306.5</v>
      </c>
      <c r="AH82">
        <v>0.44109698115807799</v>
      </c>
      <c r="AI82" t="s">
        <v>28</v>
      </c>
      <c r="AJ82" t="s">
        <v>133</v>
      </c>
      <c r="AK82">
        <v>40</v>
      </c>
    </row>
    <row r="83" spans="1:37">
      <c r="A83" t="s">
        <v>1522</v>
      </c>
      <c r="B83" t="s">
        <v>1523</v>
      </c>
      <c r="C83" t="s">
        <v>1524</v>
      </c>
      <c r="D83" t="s">
        <v>1525</v>
      </c>
      <c r="E83" t="s">
        <v>1526</v>
      </c>
      <c r="F83" t="s">
        <v>1527</v>
      </c>
      <c r="G83" t="s">
        <v>1528</v>
      </c>
      <c r="H83" t="s">
        <v>1529</v>
      </c>
      <c r="I83" t="s">
        <v>1530</v>
      </c>
      <c r="J83" t="s">
        <v>1531</v>
      </c>
      <c r="K83" t="s">
        <v>1532</v>
      </c>
      <c r="L83" t="s">
        <v>1533</v>
      </c>
      <c r="M83" t="s">
        <v>1534</v>
      </c>
      <c r="N83" t="s">
        <v>1535</v>
      </c>
      <c r="O83" t="s">
        <v>1536</v>
      </c>
      <c r="P83" t="s">
        <v>1537</v>
      </c>
      <c r="Q83">
        <v>5.1712488711679598E-2</v>
      </c>
      <c r="R83">
        <v>4.7554252067137003E-2</v>
      </c>
      <c r="S83">
        <v>3.6719343928927499E-2</v>
      </c>
      <c r="T83">
        <v>3.00182398583662E-2</v>
      </c>
      <c r="U83">
        <v>1.9766894422136701E-2</v>
      </c>
      <c r="V83">
        <v>1.8939005951211899E-2</v>
      </c>
      <c r="W83">
        <v>1.6497627690754999E-2</v>
      </c>
      <c r="X83">
        <v>1.3138148367762901E-2</v>
      </c>
      <c r="Y83">
        <v>9.8529064899502208E-3</v>
      </c>
      <c r="Z83">
        <v>8.8210999734060803E-3</v>
      </c>
      <c r="AA83">
        <v>8.71867109334842E-3</v>
      </c>
      <c r="AB83">
        <v>6.5996149049995598E-3</v>
      </c>
      <c r="AC83">
        <v>6.2387645385578996E-3</v>
      </c>
      <c r="AD83">
        <v>4.8855756644016401E-3</v>
      </c>
      <c r="AE83">
        <v>4.8263736511573096E-3</v>
      </c>
      <c r="AF83">
        <v>408.67099999999999</v>
      </c>
      <c r="AG83">
        <v>106415.3</v>
      </c>
      <c r="AH83">
        <v>3.6719343928927499E-2</v>
      </c>
      <c r="AI83" t="s">
        <v>64</v>
      </c>
      <c r="AJ83" t="s">
        <v>133</v>
      </c>
      <c r="AK83">
        <v>39</v>
      </c>
    </row>
    <row r="84" spans="1:37">
      <c r="A84" t="s">
        <v>1538</v>
      </c>
      <c r="B84" t="s">
        <v>1539</v>
      </c>
      <c r="C84" t="s">
        <v>1540</v>
      </c>
      <c r="D84" t="s">
        <v>1541</v>
      </c>
      <c r="E84" t="s">
        <v>1542</v>
      </c>
      <c r="F84" t="s">
        <v>1543</v>
      </c>
      <c r="G84" t="s">
        <v>1544</v>
      </c>
      <c r="H84" t="s">
        <v>1545</v>
      </c>
      <c r="I84" t="s">
        <v>1546</v>
      </c>
      <c r="J84" t="s">
        <v>1547</v>
      </c>
      <c r="K84" t="s">
        <v>1548</v>
      </c>
      <c r="L84" t="s">
        <v>1549</v>
      </c>
      <c r="M84" t="s">
        <v>1550</v>
      </c>
      <c r="N84" t="s">
        <v>1551</v>
      </c>
      <c r="O84" t="s">
        <v>1552</v>
      </c>
      <c r="P84" t="s">
        <v>1553</v>
      </c>
      <c r="Q84">
        <v>8.3323352886777294E-2</v>
      </c>
      <c r="R84">
        <v>6.09556287866534E-2</v>
      </c>
      <c r="S84">
        <v>4.8187653796623597E-2</v>
      </c>
      <c r="T84">
        <v>4.8187653796623597E-2</v>
      </c>
      <c r="U84">
        <v>3.8324914775217697E-2</v>
      </c>
      <c r="V84">
        <v>3.5838240214738103E-2</v>
      </c>
      <c r="W84">
        <v>3.3070055326656897E-2</v>
      </c>
      <c r="X84">
        <v>2.8099175594536199E-2</v>
      </c>
      <c r="Y84">
        <v>2.7481828384883899E-2</v>
      </c>
      <c r="Z84">
        <v>1.61164662551842E-2</v>
      </c>
      <c r="AA84">
        <v>1.5953486591836E-2</v>
      </c>
      <c r="AB84">
        <v>1.5663333403299399E-2</v>
      </c>
      <c r="AC84">
        <v>1.23963319698191E-2</v>
      </c>
      <c r="AD84">
        <v>1.1094964051872E-2</v>
      </c>
      <c r="AE84">
        <v>1.00121370461418E-2</v>
      </c>
      <c r="AF84">
        <v>412.322</v>
      </c>
      <c r="AG84">
        <v>80991.7</v>
      </c>
      <c r="AH84">
        <v>8.3323352886777294E-2</v>
      </c>
      <c r="AI84" t="s">
        <v>41</v>
      </c>
      <c r="AJ84" t="s">
        <v>133</v>
      </c>
      <c r="AK84">
        <v>38</v>
      </c>
    </row>
    <row r="85" spans="1:37">
      <c r="A85" t="s">
        <v>1554</v>
      </c>
      <c r="B85" t="s">
        <v>1555</v>
      </c>
      <c r="C85" t="s">
        <v>1556</v>
      </c>
      <c r="D85" t="s">
        <v>1557</v>
      </c>
      <c r="E85" t="s">
        <v>1558</v>
      </c>
      <c r="F85" t="s">
        <v>1559</v>
      </c>
      <c r="G85" t="s">
        <v>1560</v>
      </c>
      <c r="H85" t="s">
        <v>1561</v>
      </c>
      <c r="I85" t="s">
        <v>1562</v>
      </c>
      <c r="J85" t="s">
        <v>1563</v>
      </c>
      <c r="K85" t="s">
        <v>1564</v>
      </c>
      <c r="L85" t="s">
        <v>1565</v>
      </c>
      <c r="M85" t="s">
        <v>1566</v>
      </c>
      <c r="N85" t="s">
        <v>1567</v>
      </c>
      <c r="O85" t="s">
        <v>1568</v>
      </c>
      <c r="P85" t="s">
        <v>1569</v>
      </c>
      <c r="Q85">
        <v>0.14304306038518799</v>
      </c>
      <c r="R85">
        <v>0.114080733581656</v>
      </c>
      <c r="S85">
        <v>2.3263704125365599E-2</v>
      </c>
      <c r="T85">
        <v>2.2269590433408801E-2</v>
      </c>
      <c r="U85">
        <v>1.3950591312023799E-2</v>
      </c>
      <c r="V85">
        <v>9.0913965853638406E-3</v>
      </c>
      <c r="W85">
        <v>8.5025595333853097E-3</v>
      </c>
      <c r="X85">
        <v>7.1557623532032301E-3</v>
      </c>
      <c r="Y85">
        <v>6.83710972787685E-3</v>
      </c>
      <c r="Z85">
        <v>6.8257661069105304E-3</v>
      </c>
      <c r="AA85">
        <v>6.2606475351342896E-3</v>
      </c>
      <c r="AB85">
        <v>4.0826723096024798E-3</v>
      </c>
      <c r="AC85">
        <v>3.3535868529495499E-3</v>
      </c>
      <c r="AD85">
        <v>3.2545879790617399E-3</v>
      </c>
      <c r="AE85">
        <v>2.89571706121843E-3</v>
      </c>
      <c r="AF85">
        <v>492.178</v>
      </c>
      <c r="AG85">
        <v>96970.8</v>
      </c>
      <c r="AH85">
        <v>0.114080733581656</v>
      </c>
      <c r="AI85" t="s">
        <v>41</v>
      </c>
      <c r="AJ85" t="s">
        <v>133</v>
      </c>
      <c r="AK85">
        <v>41</v>
      </c>
    </row>
    <row r="86" spans="1:37">
      <c r="A86" t="s">
        <v>1570</v>
      </c>
      <c r="B86" t="s">
        <v>1571</v>
      </c>
      <c r="C86" t="s">
        <v>1572</v>
      </c>
      <c r="D86" t="s">
        <v>1573</v>
      </c>
      <c r="E86" t="s">
        <v>1574</v>
      </c>
      <c r="F86" t="s">
        <v>1575</v>
      </c>
      <c r="G86" t="s">
        <v>1576</v>
      </c>
      <c r="H86" t="s">
        <v>1577</v>
      </c>
      <c r="I86" t="s">
        <v>1578</v>
      </c>
      <c r="J86" t="s">
        <v>1579</v>
      </c>
      <c r="K86" t="s">
        <v>1580</v>
      </c>
      <c r="L86" t="s">
        <v>1581</v>
      </c>
      <c r="M86" t="s">
        <v>1582</v>
      </c>
      <c r="N86" t="s">
        <v>1583</v>
      </c>
      <c r="O86" t="s">
        <v>1584</v>
      </c>
      <c r="P86" t="s">
        <v>1585</v>
      </c>
      <c r="Q86">
        <v>0.42617190974590102</v>
      </c>
      <c r="R86">
        <v>0.24210573131319099</v>
      </c>
      <c r="S86">
        <v>0.22744388768642301</v>
      </c>
      <c r="T86">
        <v>8.0425178640258596E-2</v>
      </c>
      <c r="U86">
        <v>6.1567883298247701E-2</v>
      </c>
      <c r="V86">
        <v>5.9210721380496302E-2</v>
      </c>
      <c r="W86">
        <v>3.7833190025795403E-2</v>
      </c>
      <c r="X86">
        <v>3.2525869481424399E-2</v>
      </c>
      <c r="Y86">
        <v>2.8997539063658199E-2</v>
      </c>
      <c r="Z86">
        <v>2.88344649687194E-2</v>
      </c>
      <c r="AA86">
        <v>2.49206866901889E-2</v>
      </c>
      <c r="AB86">
        <v>1.8116049455925501E-2</v>
      </c>
      <c r="AC86">
        <v>1.7448928158448701E-2</v>
      </c>
      <c r="AD86">
        <v>1.6351884247042401E-2</v>
      </c>
      <c r="AE86">
        <v>1.5343789841966399E-2</v>
      </c>
      <c r="AF86">
        <v>219.55600000000001</v>
      </c>
      <c r="AG86">
        <v>6745.4</v>
      </c>
      <c r="AH86">
        <v>0</v>
      </c>
      <c r="AI86" t="s">
        <v>55</v>
      </c>
      <c r="AJ86" t="s">
        <v>85</v>
      </c>
      <c r="AK86">
        <v>39</v>
      </c>
    </row>
    <row r="87" spans="1:37">
      <c r="A87" t="s">
        <v>1586</v>
      </c>
      <c r="B87" t="s">
        <v>1034</v>
      </c>
      <c r="C87" t="s">
        <v>1587</v>
      </c>
      <c r="D87" t="s">
        <v>1035</v>
      </c>
      <c r="E87" t="s">
        <v>1588</v>
      </c>
      <c r="F87" t="s">
        <v>1589</v>
      </c>
      <c r="G87" t="s">
        <v>1590</v>
      </c>
      <c r="H87" t="s">
        <v>1591</v>
      </c>
      <c r="I87" t="s">
        <v>1592</v>
      </c>
      <c r="J87" t="s">
        <v>1040</v>
      </c>
      <c r="K87" t="s">
        <v>1593</v>
      </c>
      <c r="L87" t="s">
        <v>1594</v>
      </c>
      <c r="M87" t="s">
        <v>1041</v>
      </c>
      <c r="N87" t="s">
        <v>1595</v>
      </c>
      <c r="O87" t="s">
        <v>1596</v>
      </c>
      <c r="P87" t="s">
        <v>1043</v>
      </c>
      <c r="Q87">
        <v>4.5393596392193196E-3</v>
      </c>
      <c r="R87">
        <v>2.1343974507712399E-3</v>
      </c>
      <c r="S87">
        <v>1.9375758853594899E-3</v>
      </c>
      <c r="T87">
        <v>8.3921807310129496E-4</v>
      </c>
      <c r="U87">
        <v>8.2675443835226602E-4</v>
      </c>
      <c r="V87">
        <v>8.1325216737415098E-4</v>
      </c>
      <c r="W87">
        <v>6.1435332950422804E-4</v>
      </c>
      <c r="X87">
        <v>6.1123742081697105E-4</v>
      </c>
      <c r="Y87">
        <v>4.4297835170507702E-4</v>
      </c>
      <c r="Z87">
        <v>4.3414994375784801E-4</v>
      </c>
      <c r="AA87">
        <v>4.2116699089427597E-4</v>
      </c>
      <c r="AB87">
        <v>3.8273745041810301E-4</v>
      </c>
      <c r="AC87">
        <v>3.29611207300366E-4</v>
      </c>
      <c r="AD87">
        <v>2.78873827509527E-4</v>
      </c>
      <c r="AE87">
        <v>2.7835450939498401E-4</v>
      </c>
      <c r="AF87">
        <v>261.541</v>
      </c>
      <c r="AG87">
        <v>192560.2</v>
      </c>
      <c r="AH87">
        <v>8.3921807310129496E-4</v>
      </c>
      <c r="AI87" t="s">
        <v>55</v>
      </c>
      <c r="AJ87" t="s">
        <v>85</v>
      </c>
      <c r="AK87">
        <v>38</v>
      </c>
    </row>
    <row r="88" spans="1:37">
      <c r="A88" t="s">
        <v>1597</v>
      </c>
      <c r="B88" t="s">
        <v>1598</v>
      </c>
      <c r="C88" t="s">
        <v>1599</v>
      </c>
      <c r="D88" t="s">
        <v>1600</v>
      </c>
      <c r="E88" t="s">
        <v>1601</v>
      </c>
      <c r="F88" t="s">
        <v>1602</v>
      </c>
      <c r="G88" t="s">
        <v>1603</v>
      </c>
      <c r="H88" t="s">
        <v>1604</v>
      </c>
      <c r="I88" t="s">
        <v>1605</v>
      </c>
      <c r="J88" t="s">
        <v>1606</v>
      </c>
      <c r="K88" t="s">
        <v>1607</v>
      </c>
      <c r="L88" t="s">
        <v>1608</v>
      </c>
      <c r="M88" t="s">
        <v>1609</v>
      </c>
      <c r="N88" t="s">
        <v>1610</v>
      </c>
      <c r="O88" t="s">
        <v>1611</v>
      </c>
      <c r="P88" t="s">
        <v>1612</v>
      </c>
      <c r="Q88">
        <v>0.14607324276738701</v>
      </c>
      <c r="R88">
        <v>3.4292841417973299E-2</v>
      </c>
      <c r="S88">
        <v>1.50966293183698E-2</v>
      </c>
      <c r="T88">
        <v>1.33852285368301E-2</v>
      </c>
      <c r="U88">
        <v>1.14300827954954E-2</v>
      </c>
      <c r="V88">
        <v>1.11189190170336E-2</v>
      </c>
      <c r="W88">
        <v>7.2864184789795897E-3</v>
      </c>
      <c r="X88">
        <v>5.1290162816447103E-3</v>
      </c>
      <c r="Y88">
        <v>5.0278880536446403E-3</v>
      </c>
      <c r="Z88">
        <v>4.3562928984646702E-3</v>
      </c>
      <c r="AA88">
        <v>4.2266413241055997E-3</v>
      </c>
      <c r="AB88">
        <v>2.94309073795083E-3</v>
      </c>
      <c r="AC88">
        <v>2.86789282482257E-3</v>
      </c>
      <c r="AD88">
        <v>2.3181701495401299E-3</v>
      </c>
      <c r="AE88">
        <v>1.82549416697567E-3</v>
      </c>
      <c r="AF88">
        <v>289.48399999999998</v>
      </c>
      <c r="AG88">
        <v>38564.9</v>
      </c>
      <c r="AH88">
        <v>2.86789282482257E-3</v>
      </c>
      <c r="AI88" t="s">
        <v>55</v>
      </c>
      <c r="AJ88" t="s">
        <v>85</v>
      </c>
      <c r="AK88">
        <v>35</v>
      </c>
    </row>
    <row r="89" spans="1:37">
      <c r="A89" t="s">
        <v>1613</v>
      </c>
      <c r="B89" t="s">
        <v>1614</v>
      </c>
      <c r="C89" t="s">
        <v>1615</v>
      </c>
      <c r="D89" t="s">
        <v>1616</v>
      </c>
      <c r="E89" t="s">
        <v>1617</v>
      </c>
      <c r="F89" t="s">
        <v>1618</v>
      </c>
      <c r="G89" t="s">
        <v>1619</v>
      </c>
      <c r="H89" t="s">
        <v>1620</v>
      </c>
      <c r="I89" t="s">
        <v>1621</v>
      </c>
      <c r="J89" t="s">
        <v>1622</v>
      </c>
      <c r="K89" t="s">
        <v>1623</v>
      </c>
      <c r="L89" t="s">
        <v>1624</v>
      </c>
      <c r="M89" t="s">
        <v>1625</v>
      </c>
      <c r="N89" t="s">
        <v>1626</v>
      </c>
      <c r="O89" t="s">
        <v>1627</v>
      </c>
      <c r="P89" t="s">
        <v>1628</v>
      </c>
      <c r="Q89">
        <v>0.20671141588258901</v>
      </c>
      <c r="R89">
        <v>0.12040245299157699</v>
      </c>
      <c r="S89">
        <v>2.3983840023969302E-2</v>
      </c>
      <c r="T89">
        <v>2.27998704882304E-2</v>
      </c>
      <c r="U89">
        <v>1.9861693028110802E-2</v>
      </c>
      <c r="V89">
        <v>1.7358443152548399E-2</v>
      </c>
      <c r="W89">
        <v>1.6295286834742E-2</v>
      </c>
      <c r="X89">
        <v>1.51306474138723E-2</v>
      </c>
      <c r="Y89">
        <v>1.1293619612334599E-2</v>
      </c>
      <c r="Z89">
        <v>1.0776539039583199E-2</v>
      </c>
      <c r="AA89">
        <v>9.8535260545785808E-3</v>
      </c>
      <c r="AB89">
        <v>9.74721042279794E-3</v>
      </c>
      <c r="AC89">
        <v>8.4859204275821408E-3</v>
      </c>
      <c r="AD89">
        <v>7.6740556030754203E-3</v>
      </c>
      <c r="AE89">
        <v>7.1666400877587197E-3</v>
      </c>
      <c r="AF89">
        <v>290.02999999999997</v>
      </c>
      <c r="AG89">
        <v>20693.099999999999</v>
      </c>
      <c r="AH89">
        <v>1.0776539039583199E-2</v>
      </c>
      <c r="AI89" t="s">
        <v>64</v>
      </c>
      <c r="AJ89" t="s">
        <v>85</v>
      </c>
      <c r="AK89">
        <v>38</v>
      </c>
    </row>
    <row r="90" spans="1:37">
      <c r="A90" t="s">
        <v>754</v>
      </c>
      <c r="B90" t="s">
        <v>755</v>
      </c>
      <c r="C90" t="s">
        <v>753</v>
      </c>
      <c r="D90" t="s">
        <v>756</v>
      </c>
      <c r="E90" t="s">
        <v>757</v>
      </c>
      <c r="F90" t="s">
        <v>758</v>
      </c>
      <c r="G90" t="s">
        <v>759</v>
      </c>
      <c r="H90" t="s">
        <v>760</v>
      </c>
      <c r="I90" t="s">
        <v>763</v>
      </c>
      <c r="J90" t="s">
        <v>764</v>
      </c>
      <c r="K90" t="s">
        <v>765</v>
      </c>
      <c r="L90" t="s">
        <v>766</v>
      </c>
      <c r="M90" t="s">
        <v>1629</v>
      </c>
      <c r="N90" t="s">
        <v>1630</v>
      </c>
      <c r="O90" t="s">
        <v>767</v>
      </c>
      <c r="P90" t="s">
        <v>768</v>
      </c>
      <c r="Q90">
        <v>0.24217884238342899</v>
      </c>
      <c r="R90">
        <v>0.227319224122566</v>
      </c>
      <c r="S90">
        <v>0.184348385396889</v>
      </c>
      <c r="T90">
        <v>0.170810052618935</v>
      </c>
      <c r="U90">
        <v>0.16237474911074801</v>
      </c>
      <c r="V90">
        <v>0.12574685565053001</v>
      </c>
      <c r="W90">
        <v>0.110697375252827</v>
      </c>
      <c r="X90">
        <v>2.65419517827667E-2</v>
      </c>
      <c r="Y90">
        <v>2.3849009229624699E-2</v>
      </c>
      <c r="Z90">
        <v>1.21356778078285E-2</v>
      </c>
      <c r="AA90">
        <v>1.19574398834479E-2</v>
      </c>
      <c r="AB90">
        <v>9.4001131423346092E-3</v>
      </c>
      <c r="AC90">
        <v>8.8305267318139202E-3</v>
      </c>
      <c r="AD90">
        <v>8.6174161700544802E-3</v>
      </c>
      <c r="AE90">
        <v>8.5941677451352692E-3</v>
      </c>
      <c r="AF90">
        <v>291.13900000000001</v>
      </c>
      <c r="AG90">
        <v>25808.2</v>
      </c>
      <c r="AH90">
        <v>0.227319224122566</v>
      </c>
      <c r="AI90" t="s">
        <v>28</v>
      </c>
      <c r="AJ90" t="s">
        <v>85</v>
      </c>
      <c r="AK90">
        <v>39</v>
      </c>
    </row>
    <row r="91" spans="1:37">
      <c r="A91" t="s">
        <v>1631</v>
      </c>
      <c r="B91" t="s">
        <v>1632</v>
      </c>
      <c r="C91" t="s">
        <v>1633</v>
      </c>
      <c r="D91" t="s">
        <v>1634</v>
      </c>
      <c r="E91" t="s">
        <v>1635</v>
      </c>
      <c r="F91" t="s">
        <v>1636</v>
      </c>
      <c r="G91" t="s">
        <v>1637</v>
      </c>
      <c r="H91" t="s">
        <v>1638</v>
      </c>
      <c r="I91" t="s">
        <v>1639</v>
      </c>
      <c r="J91" t="s">
        <v>1640</v>
      </c>
      <c r="K91" t="s">
        <v>1641</v>
      </c>
      <c r="L91" t="s">
        <v>1642</v>
      </c>
      <c r="M91" t="s">
        <v>1643</v>
      </c>
      <c r="N91" t="s">
        <v>1644</v>
      </c>
      <c r="O91" t="s">
        <v>1645</v>
      </c>
      <c r="P91" t="s">
        <v>1646</v>
      </c>
      <c r="Q91">
        <v>0.96856424898149995</v>
      </c>
      <c r="R91">
        <v>8.4652374273692696E-2</v>
      </c>
      <c r="S91">
        <v>7.6731171664551803E-2</v>
      </c>
      <c r="T91">
        <v>7.5627796700728001E-2</v>
      </c>
      <c r="U91">
        <v>6.2811672120928794E-2</v>
      </c>
      <c r="V91">
        <v>5.5474854738529401E-2</v>
      </c>
      <c r="W91">
        <v>2.4071105768160499E-2</v>
      </c>
      <c r="X91">
        <v>2.3323927513969601E-2</v>
      </c>
      <c r="Y91">
        <v>2.0926556690932602E-2</v>
      </c>
      <c r="Z91">
        <v>1.68901244462254E-2</v>
      </c>
      <c r="AA91">
        <v>1.6746810926334101E-2</v>
      </c>
      <c r="AB91">
        <v>1.3719138894454501E-2</v>
      </c>
      <c r="AC91">
        <v>1.1040706605222699E-2</v>
      </c>
      <c r="AD91">
        <v>7.63318417596118E-3</v>
      </c>
      <c r="AE91">
        <v>6.9806206727665403E-3</v>
      </c>
      <c r="AF91">
        <v>307.76</v>
      </c>
      <c r="AG91">
        <v>71870.399999999994</v>
      </c>
      <c r="AH91">
        <v>7.5627796700728001E-2</v>
      </c>
      <c r="AI91" t="s">
        <v>41</v>
      </c>
      <c r="AJ91" t="s">
        <v>85</v>
      </c>
      <c r="AK91">
        <v>41</v>
      </c>
    </row>
    <row r="92" spans="1:37">
      <c r="A92" t="s">
        <v>1647</v>
      </c>
      <c r="B92" t="s">
        <v>1648</v>
      </c>
      <c r="C92" t="s">
        <v>1649</v>
      </c>
      <c r="D92" t="s">
        <v>1650</v>
      </c>
      <c r="E92" t="s">
        <v>1651</v>
      </c>
      <c r="F92" t="s">
        <v>1652</v>
      </c>
      <c r="G92" t="s">
        <v>1653</v>
      </c>
      <c r="H92" t="s">
        <v>1654</v>
      </c>
      <c r="I92" t="s">
        <v>1655</v>
      </c>
      <c r="J92" t="s">
        <v>1233</v>
      </c>
      <c r="K92" t="s">
        <v>1234</v>
      </c>
      <c r="L92" t="s">
        <v>1656</v>
      </c>
      <c r="M92" t="s">
        <v>1657</v>
      </c>
      <c r="N92" t="s">
        <v>1236</v>
      </c>
      <c r="O92" t="s">
        <v>1239</v>
      </c>
      <c r="P92" t="s">
        <v>1658</v>
      </c>
      <c r="Q92">
        <v>0.26069100345290802</v>
      </c>
      <c r="R92">
        <v>0.120021941082567</v>
      </c>
      <c r="S92">
        <v>0.111558449778128</v>
      </c>
      <c r="T92">
        <v>6.7866159396338901E-2</v>
      </c>
      <c r="U92">
        <v>4.9128334235824501E-2</v>
      </c>
      <c r="V92">
        <v>4.6185275564525799E-2</v>
      </c>
      <c r="W92">
        <v>4.5204256007426197E-2</v>
      </c>
      <c r="X92">
        <v>4.2936307568970301E-2</v>
      </c>
      <c r="Y92">
        <v>2.1301134325839102E-2</v>
      </c>
      <c r="Z92">
        <v>1.46625503695525E-2</v>
      </c>
      <c r="AA92">
        <v>1.27954486318469E-2</v>
      </c>
      <c r="AB92">
        <v>1.06927615524722E-2</v>
      </c>
      <c r="AC92">
        <v>1.0562662184684799E-2</v>
      </c>
      <c r="AD92">
        <v>6.1920266668542001E-3</v>
      </c>
      <c r="AE92">
        <v>6.0056681129965796E-3</v>
      </c>
      <c r="AF92">
        <v>339.70699999999999</v>
      </c>
      <c r="AG92">
        <v>28439.8</v>
      </c>
      <c r="AH92">
        <v>0.26069100345290802</v>
      </c>
      <c r="AI92" t="s">
        <v>28</v>
      </c>
      <c r="AJ92" t="s">
        <v>85</v>
      </c>
      <c r="AK92">
        <v>37</v>
      </c>
    </row>
    <row r="93" spans="1:37">
      <c r="A93" t="s">
        <v>1659</v>
      </c>
      <c r="B93" t="s">
        <v>1660</v>
      </c>
      <c r="C93" t="s">
        <v>1661</v>
      </c>
      <c r="D93" t="s">
        <v>1662</v>
      </c>
      <c r="E93" t="s">
        <v>1663</v>
      </c>
      <c r="F93" t="s">
        <v>1664</v>
      </c>
      <c r="G93" t="s">
        <v>1665</v>
      </c>
      <c r="H93" t="s">
        <v>1666</v>
      </c>
      <c r="I93" t="s">
        <v>1667</v>
      </c>
      <c r="J93" t="s">
        <v>1668</v>
      </c>
      <c r="K93" t="s">
        <v>1669</v>
      </c>
      <c r="L93" t="s">
        <v>1670</v>
      </c>
      <c r="M93" t="s">
        <v>1671</v>
      </c>
      <c r="N93" t="s">
        <v>1672</v>
      </c>
      <c r="O93" t="s">
        <v>1673</v>
      </c>
      <c r="P93" t="s">
        <v>1674</v>
      </c>
      <c r="Q93">
        <v>0.398261452513967</v>
      </c>
      <c r="R93">
        <v>0.10171843575419</v>
      </c>
      <c r="S93">
        <v>7.7094972067039094E-2</v>
      </c>
      <c r="T93">
        <v>6.0972067039106202E-2</v>
      </c>
      <c r="U93">
        <v>5.5897206703910601E-2</v>
      </c>
      <c r="V93">
        <v>5.2435754189944103E-2</v>
      </c>
      <c r="W93">
        <v>2.9970949720670399E-2</v>
      </c>
      <c r="X93">
        <v>2.8426815642458102E-2</v>
      </c>
      <c r="Y93">
        <v>2.5452513966480499E-2</v>
      </c>
      <c r="Z93">
        <v>1.9608938547486E-2</v>
      </c>
      <c r="AA93">
        <v>1.11240223463687E-2</v>
      </c>
      <c r="AB93">
        <v>1.1117318435754199E-2</v>
      </c>
      <c r="AC93">
        <v>9.9687150837988805E-3</v>
      </c>
      <c r="AD93">
        <v>9.3497206703910592E-3</v>
      </c>
      <c r="AE93">
        <v>5.8100558659217897E-3</v>
      </c>
      <c r="AF93">
        <v>350.738</v>
      </c>
      <c r="AG93">
        <v>44750</v>
      </c>
      <c r="AH93">
        <v>0.10171843575419</v>
      </c>
      <c r="AI93" t="s">
        <v>41</v>
      </c>
      <c r="AJ93" t="s">
        <v>85</v>
      </c>
      <c r="AK93">
        <v>37</v>
      </c>
    </row>
    <row r="94" spans="1:37">
      <c r="A94" t="s">
        <v>1675</v>
      </c>
      <c r="B94" t="s">
        <v>1676</v>
      </c>
      <c r="C94" t="s">
        <v>1677</v>
      </c>
      <c r="D94" t="s">
        <v>1678</v>
      </c>
      <c r="E94" t="s">
        <v>1679</v>
      </c>
      <c r="F94" t="s">
        <v>1680</v>
      </c>
      <c r="G94" t="s">
        <v>1681</v>
      </c>
      <c r="H94" t="s">
        <v>1682</v>
      </c>
      <c r="I94" t="s">
        <v>1683</v>
      </c>
      <c r="J94" t="s">
        <v>1684</v>
      </c>
      <c r="K94" t="s">
        <v>1685</v>
      </c>
      <c r="L94" t="s">
        <v>1686</v>
      </c>
      <c r="M94" t="s">
        <v>1687</v>
      </c>
      <c r="N94" t="s">
        <v>1688</v>
      </c>
      <c r="O94" t="s">
        <v>1689</v>
      </c>
      <c r="P94" t="s">
        <v>1690</v>
      </c>
      <c r="Q94">
        <v>3.5030348634476502E-2</v>
      </c>
      <c r="R94">
        <v>3.4059116895754797E-2</v>
      </c>
      <c r="S94">
        <v>9.5906776840177701E-3</v>
      </c>
      <c r="T94">
        <v>7.9905026737161107E-3</v>
      </c>
      <c r="U94">
        <v>7.4982862003056998E-3</v>
      </c>
      <c r="V94">
        <v>6.0782133862136E-3</v>
      </c>
      <c r="W94">
        <v>5.1918465567005996E-3</v>
      </c>
      <c r="X94">
        <v>4.9315941684606197E-3</v>
      </c>
      <c r="Y94">
        <v>4.5204708305162898E-3</v>
      </c>
      <c r="Z94">
        <v>4.0254255267989196E-3</v>
      </c>
      <c r="AA94">
        <v>3.53509494025982E-3</v>
      </c>
      <c r="AB94">
        <v>3.1060556770381E-3</v>
      </c>
      <c r="AC94">
        <v>2.8307161938276801E-3</v>
      </c>
      <c r="AD94">
        <v>1.8198808308085999E-3</v>
      </c>
      <c r="AE94">
        <v>1.3861268504086299E-3</v>
      </c>
      <c r="AF94">
        <v>547.66800000000001</v>
      </c>
      <c r="AG94">
        <v>106050.9</v>
      </c>
      <c r="AH94">
        <v>3.4059116895754797E-2</v>
      </c>
      <c r="AI94" t="s">
        <v>64</v>
      </c>
      <c r="AJ94" t="s">
        <v>85</v>
      </c>
      <c r="AK94">
        <v>36</v>
      </c>
    </row>
    <row r="95" spans="1:37">
      <c r="A95" t="s">
        <v>1691</v>
      </c>
      <c r="B95" t="s">
        <v>1692</v>
      </c>
      <c r="C95" t="s">
        <v>1693</v>
      </c>
      <c r="D95" t="s">
        <v>1694</v>
      </c>
      <c r="E95" t="s">
        <v>1695</v>
      </c>
      <c r="F95" t="s">
        <v>1696</v>
      </c>
      <c r="G95" t="s">
        <v>1697</v>
      </c>
      <c r="H95" t="s">
        <v>1698</v>
      </c>
      <c r="I95" t="s">
        <v>1699</v>
      </c>
      <c r="J95" t="s">
        <v>1700</v>
      </c>
      <c r="K95" t="s">
        <v>1701</v>
      </c>
      <c r="L95" t="s">
        <v>1702</v>
      </c>
      <c r="M95" t="s">
        <v>1703</v>
      </c>
      <c r="N95" t="s">
        <v>1704</v>
      </c>
      <c r="O95" t="s">
        <v>1705</v>
      </c>
      <c r="P95" t="s">
        <v>1706</v>
      </c>
      <c r="Q95">
        <v>0.93955792822275497</v>
      </c>
      <c r="R95">
        <v>0.22702341993162301</v>
      </c>
      <c r="S95">
        <v>8.8697734793498698E-2</v>
      </c>
      <c r="T95">
        <v>8.6156461963178999E-2</v>
      </c>
      <c r="U95">
        <v>8.1247600416841897E-2</v>
      </c>
      <c r="V95">
        <v>6.9555917143536206E-2</v>
      </c>
      <c r="W95">
        <v>6.6164506280051896E-2</v>
      </c>
      <c r="X95">
        <v>6.1968663729272198E-2</v>
      </c>
      <c r="Y95">
        <v>6.1301351079583899E-2</v>
      </c>
      <c r="Z95">
        <v>5.2690275517852901E-2</v>
      </c>
      <c r="AA95">
        <v>5.2397754904290897E-2</v>
      </c>
      <c r="AB95">
        <v>4.6501636287182103E-2</v>
      </c>
      <c r="AC95">
        <v>4.5770334753277103E-2</v>
      </c>
      <c r="AD95">
        <v>4.09711684370258E-2</v>
      </c>
      <c r="AE95">
        <v>4.0002193904601697E-2</v>
      </c>
      <c r="AF95">
        <v>378.42500000000001</v>
      </c>
      <c r="AG95">
        <v>10939.4</v>
      </c>
      <c r="AH95">
        <v>0.93955792822275497</v>
      </c>
      <c r="AI95" t="s">
        <v>28</v>
      </c>
      <c r="AJ95" t="s">
        <v>27</v>
      </c>
      <c r="AK95">
        <v>36</v>
      </c>
    </row>
    <row r="96" spans="1:37">
      <c r="A96" t="s">
        <v>1707</v>
      </c>
      <c r="B96" t="s">
        <v>1708</v>
      </c>
      <c r="C96" t="s">
        <v>1709</v>
      </c>
      <c r="D96" t="s">
        <v>1710</v>
      </c>
      <c r="E96" t="s">
        <v>1711</v>
      </c>
      <c r="F96" t="s">
        <v>1712</v>
      </c>
      <c r="G96" t="s">
        <v>1713</v>
      </c>
      <c r="H96" t="s">
        <v>1714</v>
      </c>
      <c r="I96" t="s">
        <v>1715</v>
      </c>
      <c r="J96" t="s">
        <v>1716</v>
      </c>
      <c r="K96" t="s">
        <v>1717</v>
      </c>
      <c r="L96" t="s">
        <v>1718</v>
      </c>
      <c r="M96" t="s">
        <v>326</v>
      </c>
      <c r="N96" t="s">
        <v>1719</v>
      </c>
      <c r="O96" t="s">
        <v>1720</v>
      </c>
      <c r="P96" t="s">
        <v>1721</v>
      </c>
      <c r="Q96">
        <v>0.27525843967048902</v>
      </c>
      <c r="R96">
        <v>0.20386448069778701</v>
      </c>
      <c r="S96">
        <v>0.19821111290583099</v>
      </c>
      <c r="T96">
        <v>0.142020675173639</v>
      </c>
      <c r="U96">
        <v>0.11223954126958501</v>
      </c>
      <c r="V96">
        <v>0.102810531416572</v>
      </c>
      <c r="W96">
        <v>0.101326522371184</v>
      </c>
      <c r="X96">
        <v>8.7607010176061997E-2</v>
      </c>
      <c r="Y96">
        <v>7.0949765789048602E-2</v>
      </c>
      <c r="Z96">
        <v>6.99907123243418E-2</v>
      </c>
      <c r="AA96">
        <v>5.7543207882409998E-2</v>
      </c>
      <c r="AB96">
        <v>5.0728880633177202E-2</v>
      </c>
      <c r="AC96">
        <v>5.0032304958811197E-2</v>
      </c>
      <c r="AD96">
        <v>2.7479405588757898E-2</v>
      </c>
      <c r="AE96">
        <v>2.5652156356000599E-2</v>
      </c>
      <c r="AF96">
        <v>380.53300000000002</v>
      </c>
      <c r="AG96">
        <v>9905.6</v>
      </c>
      <c r="AH96">
        <v>0.27525843967048902</v>
      </c>
      <c r="AI96" t="s">
        <v>28</v>
      </c>
      <c r="AJ96" t="s">
        <v>27</v>
      </c>
      <c r="AK96">
        <v>37</v>
      </c>
    </row>
    <row r="97" spans="1:37">
      <c r="A97" t="s">
        <v>1722</v>
      </c>
      <c r="B97" t="s">
        <v>1723</v>
      </c>
      <c r="C97" t="s">
        <v>1724</v>
      </c>
      <c r="D97" t="s">
        <v>1725</v>
      </c>
      <c r="E97" t="s">
        <v>1726</v>
      </c>
      <c r="F97" t="s">
        <v>1727</v>
      </c>
      <c r="G97" t="s">
        <v>1728</v>
      </c>
      <c r="H97" t="s">
        <v>1729</v>
      </c>
      <c r="I97" t="s">
        <v>1730</v>
      </c>
      <c r="J97" t="s">
        <v>1731</v>
      </c>
      <c r="K97" t="s">
        <v>1732</v>
      </c>
      <c r="L97" t="s">
        <v>1733</v>
      </c>
      <c r="M97" t="s">
        <v>1734</v>
      </c>
      <c r="N97" t="s">
        <v>1735</v>
      </c>
      <c r="O97" t="s">
        <v>1736</v>
      </c>
      <c r="P97" t="s">
        <v>1737</v>
      </c>
      <c r="Q97">
        <v>0.80098488912462995</v>
      </c>
      <c r="R97">
        <v>0.209171403256041</v>
      </c>
      <c r="S97">
        <v>0.18531466423960399</v>
      </c>
      <c r="T97">
        <v>0.15501455634783301</v>
      </c>
      <c r="U97">
        <v>0.14232069774030001</v>
      </c>
      <c r="V97">
        <v>8.3161048057043996E-2</v>
      </c>
      <c r="W97">
        <v>7.7000970423188903E-2</v>
      </c>
      <c r="X97">
        <v>7.3209689765953198E-2</v>
      </c>
      <c r="Y97">
        <v>4.9141989186713003E-2</v>
      </c>
      <c r="Z97">
        <v>3.7834449420458501E-2</v>
      </c>
      <c r="AA97">
        <v>3.2759316966734398E-2</v>
      </c>
      <c r="AB97">
        <v>3.0492987034905099E-2</v>
      </c>
      <c r="AC97">
        <v>2.8552140657115099E-2</v>
      </c>
      <c r="AD97">
        <v>2.7425003164423398E-2</v>
      </c>
      <c r="AE97">
        <v>2.51104534468106E-2</v>
      </c>
      <c r="AF97">
        <v>386.34100000000001</v>
      </c>
      <c r="AG97">
        <v>16590.7</v>
      </c>
      <c r="AH97">
        <v>0.15501455634783301</v>
      </c>
      <c r="AI97" t="s">
        <v>41</v>
      </c>
      <c r="AJ97" t="s">
        <v>27</v>
      </c>
      <c r="AK97">
        <v>37</v>
      </c>
    </row>
    <row r="98" spans="1:37">
      <c r="A98" t="s">
        <v>1476</v>
      </c>
      <c r="B98" t="s">
        <v>1472</v>
      </c>
      <c r="C98" t="s">
        <v>1473</v>
      </c>
      <c r="D98" t="s">
        <v>1738</v>
      </c>
      <c r="E98" t="s">
        <v>1477</v>
      </c>
      <c r="F98" t="s">
        <v>1481</v>
      </c>
      <c r="G98" t="s">
        <v>1739</v>
      </c>
      <c r="H98" t="s">
        <v>1740</v>
      </c>
      <c r="I98" t="s">
        <v>1741</v>
      </c>
      <c r="J98" t="s">
        <v>1742</v>
      </c>
      <c r="K98" t="s">
        <v>1486</v>
      </c>
      <c r="L98" t="s">
        <v>1743</v>
      </c>
      <c r="M98" t="s">
        <v>1744</v>
      </c>
      <c r="N98" t="s">
        <v>1745</v>
      </c>
      <c r="O98" t="s">
        <v>1746</v>
      </c>
      <c r="P98" t="s">
        <v>1747</v>
      </c>
      <c r="Q98">
        <v>11.498505134537901</v>
      </c>
      <c r="R98">
        <v>4.93937545620894</v>
      </c>
      <c r="S98">
        <v>0.79077882990530901</v>
      </c>
      <c r="T98">
        <v>0.384505394514494</v>
      </c>
      <c r="U98">
        <v>0.14975652191302799</v>
      </c>
      <c r="V98">
        <v>0.14621684048435599</v>
      </c>
      <c r="W98">
        <v>0.120339169474747</v>
      </c>
      <c r="X98">
        <v>0.112319891209791</v>
      </c>
      <c r="Y98">
        <v>0.110630043296103</v>
      </c>
      <c r="Z98">
        <v>6.7153956143947105E-2</v>
      </c>
      <c r="AA98">
        <v>6.5894069533741995E-2</v>
      </c>
      <c r="AB98">
        <v>5.0365467107960298E-2</v>
      </c>
      <c r="AC98">
        <v>4.3056124948754597E-2</v>
      </c>
      <c r="AD98">
        <v>3.5726784589387002E-2</v>
      </c>
      <c r="AE98">
        <v>3.5106840384365401E-2</v>
      </c>
      <c r="AF98">
        <v>395.11399999999998</v>
      </c>
      <c r="AG98">
        <v>10000.9</v>
      </c>
      <c r="AH98">
        <v>4.93937545620894</v>
      </c>
      <c r="AI98" t="s">
        <v>28</v>
      </c>
      <c r="AJ98" t="s">
        <v>27</v>
      </c>
      <c r="AK98">
        <v>39</v>
      </c>
    </row>
    <row r="99" spans="1:37">
      <c r="A99" t="s">
        <v>1748</v>
      </c>
      <c r="B99" t="s">
        <v>1749</v>
      </c>
      <c r="C99" t="s">
        <v>1750</v>
      </c>
      <c r="D99" t="s">
        <v>1751</v>
      </c>
      <c r="E99" t="s">
        <v>1752</v>
      </c>
      <c r="F99" t="s">
        <v>1753</v>
      </c>
      <c r="G99" t="s">
        <v>1754</v>
      </c>
      <c r="H99" t="s">
        <v>1755</v>
      </c>
      <c r="I99" t="s">
        <v>1756</v>
      </c>
      <c r="J99" t="s">
        <v>1757</v>
      </c>
      <c r="K99" t="s">
        <v>1758</v>
      </c>
      <c r="L99" t="s">
        <v>1759</v>
      </c>
      <c r="M99" t="s">
        <v>1760</v>
      </c>
      <c r="N99" t="s">
        <v>1761</v>
      </c>
      <c r="O99" t="s">
        <v>1762</v>
      </c>
      <c r="P99" t="s">
        <v>1763</v>
      </c>
      <c r="Q99">
        <v>0.408831318445879</v>
      </c>
      <c r="R99">
        <v>0.35493864017926802</v>
      </c>
      <c r="S99">
        <v>0.29145739233054901</v>
      </c>
      <c r="T99">
        <v>0.14446075711064399</v>
      </c>
      <c r="U99">
        <v>0.112653399551831</v>
      </c>
      <c r="V99">
        <v>8.5587642335817699E-2</v>
      </c>
      <c r="W99">
        <v>7.2774784520606595E-2</v>
      </c>
      <c r="X99">
        <v>7.2107448176064404E-2</v>
      </c>
      <c r="Y99">
        <v>6.2111452194131701E-2</v>
      </c>
      <c r="Z99">
        <v>4.2990509774721297E-2</v>
      </c>
      <c r="AA99">
        <v>3.5607662426153999E-2</v>
      </c>
      <c r="AB99">
        <v>3.2608161172264102E-2</v>
      </c>
      <c r="AC99">
        <v>2.97561763734836E-2</v>
      </c>
      <c r="AD99">
        <v>2.7353765533131499E-2</v>
      </c>
      <c r="AE99">
        <v>2.6110412554352799E-2</v>
      </c>
      <c r="AF99">
        <v>396.31</v>
      </c>
      <c r="AG99">
        <v>14235.7</v>
      </c>
      <c r="AH99">
        <v>0.14446075711064399</v>
      </c>
      <c r="AI99" t="s">
        <v>41</v>
      </c>
      <c r="AJ99" t="s">
        <v>27</v>
      </c>
      <c r="AK99">
        <v>40</v>
      </c>
    </row>
    <row r="100" spans="1:37">
      <c r="A100" t="s">
        <v>1505</v>
      </c>
      <c r="B100" t="s">
        <v>1504</v>
      </c>
      <c r="C100" t="s">
        <v>1764</v>
      </c>
      <c r="D100" t="s">
        <v>1765</v>
      </c>
      <c r="E100" t="s">
        <v>1508</v>
      </c>
      <c r="F100" t="s">
        <v>1509</v>
      </c>
      <c r="G100" t="s">
        <v>1510</v>
      </c>
      <c r="H100" t="s">
        <v>1511</v>
      </c>
      <c r="I100" t="s">
        <v>1512</v>
      </c>
      <c r="J100" t="s">
        <v>1515</v>
      </c>
      <c r="K100" t="s">
        <v>1766</v>
      </c>
      <c r="L100" t="s">
        <v>1516</v>
      </c>
      <c r="M100" t="s">
        <v>1517</v>
      </c>
      <c r="N100" t="s">
        <v>1519</v>
      </c>
      <c r="O100" t="s">
        <v>1767</v>
      </c>
      <c r="P100" t="s">
        <v>1768</v>
      </c>
      <c r="Q100">
        <v>6.2671515749244904</v>
      </c>
      <c r="R100">
        <v>0.51423904333353898</v>
      </c>
      <c r="S100">
        <v>0.37735519529885603</v>
      </c>
      <c r="T100">
        <v>0.28637325607676301</v>
      </c>
      <c r="U100">
        <v>0.23814954077544201</v>
      </c>
      <c r="V100">
        <v>0.17012882943968399</v>
      </c>
      <c r="W100">
        <v>0.16399556185662301</v>
      </c>
      <c r="X100">
        <v>0.147424438554316</v>
      </c>
      <c r="Y100">
        <v>8.1263227105549701E-2</v>
      </c>
      <c r="Z100">
        <v>6.5329059565637296E-2</v>
      </c>
      <c r="AA100">
        <v>4.7278555137767402E-2</v>
      </c>
      <c r="AB100">
        <v>4.5922455772668402E-2</v>
      </c>
      <c r="AC100">
        <v>3.2310094721486E-2</v>
      </c>
      <c r="AD100">
        <v>3.2279274281370098E-2</v>
      </c>
      <c r="AE100">
        <v>3.1673138959090998E-2</v>
      </c>
      <c r="AF100">
        <v>399.46699999999998</v>
      </c>
      <c r="AG100">
        <v>9733.7999999999993</v>
      </c>
      <c r="AH100">
        <v>0.51423904333353898</v>
      </c>
      <c r="AI100" t="s">
        <v>28</v>
      </c>
      <c r="AJ100" t="s">
        <v>27</v>
      </c>
      <c r="AK100">
        <v>38</v>
      </c>
    </row>
    <row r="101" spans="1:37">
      <c r="A101" t="s">
        <v>1769</v>
      </c>
      <c r="B101" t="s">
        <v>1770</v>
      </c>
      <c r="C101" t="s">
        <v>1771</v>
      </c>
      <c r="D101" t="s">
        <v>1772</v>
      </c>
      <c r="E101" t="s">
        <v>1773</v>
      </c>
      <c r="F101" t="s">
        <v>1774</v>
      </c>
      <c r="G101" t="s">
        <v>1775</v>
      </c>
      <c r="H101" t="s">
        <v>1776</v>
      </c>
      <c r="I101" t="s">
        <v>1777</v>
      </c>
      <c r="J101" t="s">
        <v>1778</v>
      </c>
      <c r="K101" t="s">
        <v>1779</v>
      </c>
      <c r="L101" t="s">
        <v>1780</v>
      </c>
      <c r="M101" t="s">
        <v>1781</v>
      </c>
      <c r="N101" t="s">
        <v>1782</v>
      </c>
      <c r="O101" t="s">
        <v>1783</v>
      </c>
      <c r="P101" t="s">
        <v>1784</v>
      </c>
      <c r="Q101">
        <v>0.28686330847578401</v>
      </c>
      <c r="R101">
        <v>0.112037084776587</v>
      </c>
      <c r="S101">
        <v>8.9060647108727894E-2</v>
      </c>
      <c r="T101">
        <v>5.0433796268086598E-2</v>
      </c>
      <c r="U101">
        <v>4.4804522167903302E-2</v>
      </c>
      <c r="V101">
        <v>3.5280221608725598E-2</v>
      </c>
      <c r="W101">
        <v>3.2130452919863703E-2</v>
      </c>
      <c r="X101">
        <v>2.5690300868530001E-2</v>
      </c>
      <c r="Y101">
        <v>2.0965647835237099E-2</v>
      </c>
      <c r="Z101">
        <v>1.7483091085498399E-2</v>
      </c>
      <c r="AA101">
        <v>1.67940791848099E-2</v>
      </c>
      <c r="AB101">
        <v>1.4244266436683599E-2</v>
      </c>
      <c r="AC101">
        <v>1.0574223455465E-2</v>
      </c>
      <c r="AD101">
        <v>9.6180436749176198E-3</v>
      </c>
      <c r="AE101">
        <v>6.7354428659145297E-3</v>
      </c>
      <c r="AF101">
        <v>401.22399999999999</v>
      </c>
      <c r="AG101">
        <v>21334.9</v>
      </c>
      <c r="AH101">
        <v>0.28686330847578401</v>
      </c>
      <c r="AI101" t="s">
        <v>28</v>
      </c>
      <c r="AJ101" t="s">
        <v>27</v>
      </c>
      <c r="AK101">
        <v>39</v>
      </c>
    </row>
    <row r="102" spans="1:37">
      <c r="A102" t="s">
        <v>1785</v>
      </c>
      <c r="B102" t="s">
        <v>1786</v>
      </c>
      <c r="C102" t="s">
        <v>1787</v>
      </c>
      <c r="D102" t="s">
        <v>1788</v>
      </c>
      <c r="E102" t="s">
        <v>1789</v>
      </c>
      <c r="F102" t="s">
        <v>1790</v>
      </c>
      <c r="G102" t="s">
        <v>1791</v>
      </c>
      <c r="H102" t="s">
        <v>1792</v>
      </c>
      <c r="I102" t="s">
        <v>1793</v>
      </c>
      <c r="J102" t="s">
        <v>1794</v>
      </c>
      <c r="K102" t="s">
        <v>1795</v>
      </c>
      <c r="L102" t="s">
        <v>1796</v>
      </c>
      <c r="M102" t="s">
        <v>1797</v>
      </c>
      <c r="N102" t="s">
        <v>1798</v>
      </c>
      <c r="O102" t="s">
        <v>1799</v>
      </c>
      <c r="P102" t="s">
        <v>1800</v>
      </c>
      <c r="Q102">
        <v>0.673541792236939</v>
      </c>
      <c r="R102">
        <v>0.15812788811627401</v>
      </c>
      <c r="S102">
        <v>0.11304999779486399</v>
      </c>
      <c r="T102">
        <v>8.0923609171407701E-2</v>
      </c>
      <c r="U102">
        <v>7.0412458531183095E-2</v>
      </c>
      <c r="V102">
        <v>5.9984613047547597E-2</v>
      </c>
      <c r="W102">
        <v>5.4540376049277403E-2</v>
      </c>
      <c r="X102">
        <v>3.7364812881917397E-2</v>
      </c>
      <c r="Y102">
        <v>3.1048321891125101E-2</v>
      </c>
      <c r="Z102">
        <v>1.8929871759061901E-2</v>
      </c>
      <c r="AA102">
        <v>1.75822883436485E-2</v>
      </c>
      <c r="AB102">
        <v>1.54996594289187E-2</v>
      </c>
      <c r="AC102">
        <v>1.50194297026986E-2</v>
      </c>
      <c r="AD102">
        <v>1.4896922119479201E-2</v>
      </c>
      <c r="AE102">
        <v>1.3995266306984401E-2</v>
      </c>
      <c r="AF102">
        <v>406.108</v>
      </c>
      <c r="AG102">
        <v>20406.900000000001</v>
      </c>
      <c r="AH102">
        <v>0.15812788811627401</v>
      </c>
      <c r="AI102" t="s">
        <v>41</v>
      </c>
      <c r="AJ102" t="s">
        <v>27</v>
      </c>
      <c r="AK102">
        <v>41</v>
      </c>
    </row>
    <row r="103" spans="1:37">
      <c r="A103" t="s">
        <v>1801</v>
      </c>
      <c r="B103" t="s">
        <v>1802</v>
      </c>
      <c r="C103" t="s">
        <v>1803</v>
      </c>
      <c r="D103" t="s">
        <v>1804</v>
      </c>
      <c r="E103" t="s">
        <v>1805</v>
      </c>
      <c r="F103" t="s">
        <v>1806</v>
      </c>
      <c r="G103" t="s">
        <v>1807</v>
      </c>
      <c r="H103" t="s">
        <v>1808</v>
      </c>
      <c r="I103" t="s">
        <v>1809</v>
      </c>
      <c r="J103" t="s">
        <v>1810</v>
      </c>
      <c r="K103" t="s">
        <v>1811</v>
      </c>
      <c r="L103" t="s">
        <v>1812</v>
      </c>
      <c r="M103" t="s">
        <v>1813</v>
      </c>
      <c r="N103" t="s">
        <v>1814</v>
      </c>
      <c r="O103" t="s">
        <v>1815</v>
      </c>
      <c r="P103" t="s">
        <v>1816</v>
      </c>
      <c r="Q103">
        <v>0.23172781177664301</v>
      </c>
      <c r="R103">
        <v>0.21593683609728301</v>
      </c>
      <c r="S103">
        <v>9.7894083593420902E-2</v>
      </c>
      <c r="T103">
        <v>9.5330201713180407E-2</v>
      </c>
      <c r="U103">
        <v>6.11300105544961E-2</v>
      </c>
      <c r="V103">
        <v>5.92863711105776E-2</v>
      </c>
      <c r="W103">
        <v>5.14950692836985E-2</v>
      </c>
      <c r="X103">
        <v>3.3611313695024903E-2</v>
      </c>
      <c r="Y103">
        <v>2.9878736540752598E-2</v>
      </c>
      <c r="Z103">
        <v>2.8134753282991899E-2</v>
      </c>
      <c r="AA103">
        <v>2.3070407095520499E-2</v>
      </c>
      <c r="AB103">
        <v>1.9432956300762399E-2</v>
      </c>
      <c r="AC103">
        <v>1.6968730606679701E-2</v>
      </c>
      <c r="AD103">
        <v>1.5220217522275399E-2</v>
      </c>
      <c r="AE103">
        <v>1.43595504600039E-2</v>
      </c>
      <c r="AF103">
        <v>410.94499999999999</v>
      </c>
      <c r="AG103">
        <v>22075.9</v>
      </c>
      <c r="AH103">
        <v>0.21593683609728301</v>
      </c>
      <c r="AI103" t="s">
        <v>28</v>
      </c>
      <c r="AJ103" t="s">
        <v>27</v>
      </c>
      <c r="AK103">
        <v>39</v>
      </c>
    </row>
    <row r="104" spans="1:37">
      <c r="A104" t="s">
        <v>1817</v>
      </c>
      <c r="B104" t="s">
        <v>1818</v>
      </c>
      <c r="C104" t="s">
        <v>1819</v>
      </c>
      <c r="D104" t="s">
        <v>1820</v>
      </c>
      <c r="E104" t="s">
        <v>1821</v>
      </c>
      <c r="F104" t="s">
        <v>1822</v>
      </c>
      <c r="G104" t="s">
        <v>1823</v>
      </c>
      <c r="H104" t="s">
        <v>1824</v>
      </c>
      <c r="I104" t="s">
        <v>1825</v>
      </c>
      <c r="J104" t="s">
        <v>1826</v>
      </c>
      <c r="K104" t="s">
        <v>1827</v>
      </c>
      <c r="L104" t="s">
        <v>1828</v>
      </c>
      <c r="M104" t="s">
        <v>1829</v>
      </c>
      <c r="N104" t="s">
        <v>1830</v>
      </c>
      <c r="O104" t="s">
        <v>1831</v>
      </c>
      <c r="P104" t="s">
        <v>1832</v>
      </c>
      <c r="Q104">
        <v>0.71850836880120605</v>
      </c>
      <c r="R104">
        <v>0.31602177788017299</v>
      </c>
      <c r="S104">
        <v>0.31547611829899702</v>
      </c>
      <c r="T104">
        <v>0.126940628195645</v>
      </c>
      <c r="U104">
        <v>0.116003185035185</v>
      </c>
      <c r="V104">
        <v>0.103541936970256</v>
      </c>
      <c r="W104">
        <v>8.3926485507685694E-2</v>
      </c>
      <c r="X104">
        <v>7.8688153528396504E-2</v>
      </c>
      <c r="Y104">
        <v>6.22941145561767E-2</v>
      </c>
      <c r="Z104">
        <v>5.8898899384415199E-2</v>
      </c>
      <c r="AA104">
        <v>5.6045301871006099E-2</v>
      </c>
      <c r="AB104">
        <v>4.3478963812665E-2</v>
      </c>
      <c r="AC104">
        <v>2.8738071275267101E-2</v>
      </c>
      <c r="AD104">
        <v>1.9158714183511401E-2</v>
      </c>
      <c r="AE104">
        <v>1.9021288807511499E-2</v>
      </c>
      <c r="AF104">
        <v>430.35700000000003</v>
      </c>
      <c r="AG104">
        <v>24740.7</v>
      </c>
      <c r="AH104">
        <v>0.116003185035185</v>
      </c>
      <c r="AI104" t="s">
        <v>41</v>
      </c>
      <c r="AJ104" t="s">
        <v>27</v>
      </c>
      <c r="AK104">
        <v>40</v>
      </c>
    </row>
    <row r="105" spans="1:37">
      <c r="A105" t="s">
        <v>1833</v>
      </c>
      <c r="B105" t="s">
        <v>1834</v>
      </c>
      <c r="C105" t="s">
        <v>1835</v>
      </c>
      <c r="D105" t="s">
        <v>1836</v>
      </c>
      <c r="E105" t="s">
        <v>1837</v>
      </c>
      <c r="F105" t="s">
        <v>1838</v>
      </c>
      <c r="G105" t="s">
        <v>1839</v>
      </c>
      <c r="H105" t="s">
        <v>1840</v>
      </c>
      <c r="I105" t="s">
        <v>1841</v>
      </c>
      <c r="J105" t="s">
        <v>1842</v>
      </c>
      <c r="K105" t="s">
        <v>1843</v>
      </c>
      <c r="L105" t="s">
        <v>1844</v>
      </c>
      <c r="M105" t="s">
        <v>1845</v>
      </c>
      <c r="N105" t="s">
        <v>1846</v>
      </c>
      <c r="O105" t="s">
        <v>1847</v>
      </c>
      <c r="P105" t="s">
        <v>1848</v>
      </c>
      <c r="Q105">
        <v>1.7582677165354299</v>
      </c>
      <c r="R105">
        <v>0.30146456692913398</v>
      </c>
      <c r="S105">
        <v>0.210188976377953</v>
      </c>
      <c r="T105">
        <v>6.9212598425196906E-2</v>
      </c>
      <c r="U105">
        <v>4.2787401574803201E-2</v>
      </c>
      <c r="V105">
        <v>4.2787401574803201E-2</v>
      </c>
      <c r="W105">
        <v>1.7543307086614199E-2</v>
      </c>
      <c r="X105">
        <v>8.0944881889763801E-3</v>
      </c>
      <c r="Y105">
        <v>6.9291338582677204E-3</v>
      </c>
      <c r="Z105">
        <v>4.47244094488189E-3</v>
      </c>
      <c r="AA105">
        <v>3.9842519685039397E-3</v>
      </c>
      <c r="AB105">
        <v>3.63779527559055E-3</v>
      </c>
      <c r="AC105">
        <v>3.5118110236220502E-3</v>
      </c>
      <c r="AD105">
        <v>3.4645669291338602E-3</v>
      </c>
      <c r="AE105">
        <v>3.3700787401574799E-3</v>
      </c>
      <c r="AF105">
        <v>216.55500000000001</v>
      </c>
      <c r="AG105">
        <v>6350</v>
      </c>
      <c r="AH105">
        <v>0</v>
      </c>
      <c r="AI105" t="s">
        <v>55</v>
      </c>
      <c r="AJ105" t="s">
        <v>165</v>
      </c>
      <c r="AK105">
        <v>40</v>
      </c>
    </row>
    <row r="106" spans="1:37">
      <c r="A106" t="s">
        <v>1849</v>
      </c>
      <c r="B106" t="s">
        <v>1850</v>
      </c>
      <c r="C106" t="s">
        <v>1851</v>
      </c>
      <c r="D106" t="s">
        <v>1852</v>
      </c>
      <c r="E106" t="s">
        <v>1853</v>
      </c>
      <c r="F106" t="s">
        <v>1854</v>
      </c>
      <c r="G106" t="s">
        <v>1855</v>
      </c>
      <c r="H106" t="s">
        <v>1856</v>
      </c>
      <c r="I106" t="s">
        <v>1857</v>
      </c>
      <c r="J106" t="s">
        <v>1858</v>
      </c>
      <c r="K106" t="s">
        <v>1859</v>
      </c>
      <c r="L106" t="s">
        <v>1860</v>
      </c>
      <c r="M106" t="s">
        <v>1861</v>
      </c>
      <c r="N106" t="s">
        <v>1862</v>
      </c>
      <c r="O106" t="s">
        <v>1863</v>
      </c>
      <c r="P106" t="s">
        <v>1864</v>
      </c>
      <c r="Q106">
        <v>0.50091361283118496</v>
      </c>
      <c r="R106">
        <v>0.43411836361790701</v>
      </c>
      <c r="S106">
        <v>0.338747335295909</v>
      </c>
      <c r="T106">
        <v>0.17010963353974201</v>
      </c>
      <c r="U106">
        <v>0.133235204547762</v>
      </c>
      <c r="V106">
        <v>8.6437925083747799E-2</v>
      </c>
      <c r="W106">
        <v>7.3165160897370796E-2</v>
      </c>
      <c r="X106">
        <v>6.8140290325855196E-2</v>
      </c>
      <c r="Y106">
        <v>6.3927520048725997E-2</v>
      </c>
      <c r="Z106">
        <v>3.9437620546137503E-2</v>
      </c>
      <c r="AA106">
        <v>3.7432747944371098E-2</v>
      </c>
      <c r="AB106">
        <v>3.60369505633946E-2</v>
      </c>
      <c r="AC106">
        <v>3.4691909450817203E-2</v>
      </c>
      <c r="AD106">
        <v>3.1461272967211497E-2</v>
      </c>
      <c r="AE106">
        <v>2.6190234493960001E-2</v>
      </c>
      <c r="AF106">
        <v>217.46700000000001</v>
      </c>
      <c r="AG106">
        <v>3940.4</v>
      </c>
      <c r="AH106">
        <v>0</v>
      </c>
      <c r="AI106" t="s">
        <v>55</v>
      </c>
      <c r="AJ106" t="s">
        <v>165</v>
      </c>
      <c r="AK106">
        <v>39</v>
      </c>
    </row>
    <row r="107" spans="1:37">
      <c r="A107" t="s">
        <v>1865</v>
      </c>
      <c r="B107" t="s">
        <v>1866</v>
      </c>
      <c r="C107" t="s">
        <v>1867</v>
      </c>
      <c r="D107" t="s">
        <v>1868</v>
      </c>
      <c r="E107" t="s">
        <v>1869</v>
      </c>
      <c r="F107" t="s">
        <v>1870</v>
      </c>
      <c r="G107" t="s">
        <v>1871</v>
      </c>
      <c r="H107" t="s">
        <v>1872</v>
      </c>
      <c r="I107" t="s">
        <v>1873</v>
      </c>
      <c r="J107" t="s">
        <v>1874</v>
      </c>
      <c r="K107" t="s">
        <v>1875</v>
      </c>
      <c r="L107" t="s">
        <v>1876</v>
      </c>
      <c r="M107" t="s">
        <v>1877</v>
      </c>
      <c r="N107" t="s">
        <v>1878</v>
      </c>
      <c r="O107" t="s">
        <v>1879</v>
      </c>
      <c r="P107" t="s">
        <v>1880</v>
      </c>
      <c r="Q107">
        <v>0.16813160331291299</v>
      </c>
      <c r="R107">
        <v>0.145149220602971</v>
      </c>
      <c r="S107">
        <v>0.116966629884708</v>
      </c>
      <c r="T107">
        <v>5.9016019177352497E-2</v>
      </c>
      <c r="U107">
        <v>5.1786461702370501E-2</v>
      </c>
      <c r="V107">
        <v>2.4339510165772502E-2</v>
      </c>
      <c r="W107">
        <v>1.9519805182451201E-2</v>
      </c>
      <c r="X107">
        <v>1.5625990893294299E-2</v>
      </c>
      <c r="Y107">
        <v>1.5461106249128E-2</v>
      </c>
      <c r="Z107">
        <v>1.24424489174689E-2</v>
      </c>
      <c r="AA107">
        <v>1.1770226906637199E-2</v>
      </c>
      <c r="AB107">
        <v>1.0704818436639899E-2</v>
      </c>
      <c r="AC107">
        <v>6.0246312291516099E-3</v>
      </c>
      <c r="AD107">
        <v>5.4665601258196703E-3</v>
      </c>
      <c r="AE107">
        <v>5.2255748766535997E-3</v>
      </c>
      <c r="AF107">
        <v>221.648</v>
      </c>
      <c r="AG107">
        <v>7884.3</v>
      </c>
      <c r="AH107">
        <v>1.0146747333308001E-3</v>
      </c>
      <c r="AI107" t="s">
        <v>55</v>
      </c>
      <c r="AJ107" t="s">
        <v>165</v>
      </c>
      <c r="AK107">
        <v>40</v>
      </c>
    </row>
    <row r="108" spans="1:37">
      <c r="A108" t="s">
        <v>1881</v>
      </c>
      <c r="B108" t="s">
        <v>1882</v>
      </c>
      <c r="C108" t="s">
        <v>1883</v>
      </c>
      <c r="D108" t="s">
        <v>1884</v>
      </c>
      <c r="E108" t="s">
        <v>1885</v>
      </c>
      <c r="F108" t="s">
        <v>1886</v>
      </c>
      <c r="G108" t="s">
        <v>1887</v>
      </c>
      <c r="H108" t="s">
        <v>1888</v>
      </c>
      <c r="I108" t="s">
        <v>1889</v>
      </c>
      <c r="J108" t="s">
        <v>1890</v>
      </c>
      <c r="K108" t="s">
        <v>1891</v>
      </c>
      <c r="L108" t="s">
        <v>1892</v>
      </c>
      <c r="M108" t="s">
        <v>1893</v>
      </c>
      <c r="N108" t="s">
        <v>1894</v>
      </c>
      <c r="O108" t="s">
        <v>1895</v>
      </c>
      <c r="P108" t="s">
        <v>1896</v>
      </c>
      <c r="Q108">
        <v>3.07980698853317</v>
      </c>
      <c r="R108">
        <v>0.48342324270107601</v>
      </c>
      <c r="S108">
        <v>0.30618883678061198</v>
      </c>
      <c r="T108">
        <v>0.224538480305782</v>
      </c>
      <c r="U108">
        <v>6.9126297812356005E-2</v>
      </c>
      <c r="V108">
        <v>6.0668491962373602E-2</v>
      </c>
      <c r="W108">
        <v>5.5870313643633603E-2</v>
      </c>
      <c r="X108">
        <v>4.08793949415815E-2</v>
      </c>
      <c r="Y108">
        <v>3.3722789991596398E-2</v>
      </c>
      <c r="Z108">
        <v>3.1255929952018202E-2</v>
      </c>
      <c r="AA108">
        <v>1.57499525603839E-2</v>
      </c>
      <c r="AB108">
        <v>1.46656184770528E-2</v>
      </c>
      <c r="AC108">
        <v>1.3871343761012799E-2</v>
      </c>
      <c r="AD108">
        <v>1.2740925479140099E-2</v>
      </c>
      <c r="AE108">
        <v>1.19276749166418E-2</v>
      </c>
      <c r="AF108">
        <v>222.48599999999999</v>
      </c>
      <c r="AG108">
        <v>3688.9</v>
      </c>
      <c r="AH108">
        <v>3.07980698853317</v>
      </c>
      <c r="AI108" t="s">
        <v>28</v>
      </c>
      <c r="AJ108" t="s">
        <v>165</v>
      </c>
      <c r="AK108">
        <v>40</v>
      </c>
    </row>
    <row r="109" spans="1:37">
      <c r="A109" t="s">
        <v>1897</v>
      </c>
      <c r="B109" t="s">
        <v>1898</v>
      </c>
      <c r="C109" t="s">
        <v>1899</v>
      </c>
      <c r="D109" t="s">
        <v>1900</v>
      </c>
      <c r="E109" t="s">
        <v>1901</v>
      </c>
      <c r="F109" t="s">
        <v>1902</v>
      </c>
      <c r="G109" t="s">
        <v>1903</v>
      </c>
      <c r="H109" t="s">
        <v>1904</v>
      </c>
      <c r="I109" t="s">
        <v>1905</v>
      </c>
      <c r="J109" t="s">
        <v>1906</v>
      </c>
      <c r="K109" t="s">
        <v>1907</v>
      </c>
      <c r="L109" t="s">
        <v>1908</v>
      </c>
      <c r="M109" t="s">
        <v>1909</v>
      </c>
      <c r="N109" t="s">
        <v>1910</v>
      </c>
      <c r="O109" t="s">
        <v>1911</v>
      </c>
      <c r="P109" t="s">
        <v>1912</v>
      </c>
      <c r="Q109">
        <v>0.538093885601578</v>
      </c>
      <c r="R109">
        <v>0.35371992110453698</v>
      </c>
      <c r="S109">
        <v>0.20276134122288</v>
      </c>
      <c r="T109">
        <v>0.196907297830375</v>
      </c>
      <c r="U109">
        <v>0.15774358974359001</v>
      </c>
      <c r="V109">
        <v>0.123992110453649</v>
      </c>
      <c r="W109">
        <v>0.10791321499013801</v>
      </c>
      <c r="X109">
        <v>6.2201183431952703E-2</v>
      </c>
      <c r="Y109">
        <v>6.0970414201183397E-2</v>
      </c>
      <c r="Z109">
        <v>5.4169625246548302E-2</v>
      </c>
      <c r="AA109">
        <v>5.2165680473372798E-2</v>
      </c>
      <c r="AB109">
        <v>3.9573964497041397E-2</v>
      </c>
      <c r="AC109">
        <v>3.76962524654832E-2</v>
      </c>
      <c r="AD109">
        <v>2.5451676528599601E-2</v>
      </c>
      <c r="AE109">
        <v>2.34003944773176E-2</v>
      </c>
      <c r="AF109">
        <v>227.02099999999999</v>
      </c>
      <c r="AG109">
        <v>6337.5</v>
      </c>
      <c r="AH109">
        <v>0</v>
      </c>
      <c r="AI109" t="s">
        <v>55</v>
      </c>
      <c r="AJ109" t="s">
        <v>165</v>
      </c>
      <c r="AK109">
        <v>40</v>
      </c>
    </row>
    <row r="110" spans="1:37">
      <c r="A110" t="s">
        <v>1913</v>
      </c>
      <c r="B110" t="s">
        <v>1914</v>
      </c>
      <c r="C110" t="s">
        <v>1915</v>
      </c>
      <c r="D110" t="s">
        <v>1916</v>
      </c>
      <c r="E110" t="s">
        <v>1917</v>
      </c>
      <c r="F110" t="s">
        <v>1918</v>
      </c>
      <c r="G110" t="s">
        <v>1919</v>
      </c>
      <c r="H110" t="s">
        <v>1920</v>
      </c>
      <c r="I110" t="s">
        <v>1921</v>
      </c>
      <c r="J110" t="s">
        <v>1922</v>
      </c>
      <c r="K110" t="s">
        <v>1923</v>
      </c>
      <c r="L110" t="s">
        <v>1924</v>
      </c>
      <c r="M110" t="s">
        <v>1925</v>
      </c>
      <c r="N110" t="s">
        <v>1926</v>
      </c>
      <c r="O110" t="s">
        <v>1927</v>
      </c>
      <c r="P110" t="s">
        <v>1928</v>
      </c>
      <c r="Q110">
        <v>4.7730224860724899</v>
      </c>
      <c r="R110">
        <v>0.28074395512407302</v>
      </c>
      <c r="S110">
        <v>0.27775158518632598</v>
      </c>
      <c r="T110">
        <v>0.20470312033945601</v>
      </c>
      <c r="U110">
        <v>0.17132520614638599</v>
      </c>
      <c r="V110">
        <v>0.105570041662257</v>
      </c>
      <c r="W110">
        <v>8.5778064292655706E-2</v>
      </c>
      <c r="X110">
        <v>7.0902810518517101E-2</v>
      </c>
      <c r="Y110">
        <v>3.26081727299843E-2</v>
      </c>
      <c r="Z110">
        <v>3.1270746937872199E-2</v>
      </c>
      <c r="AA110">
        <v>3.0683819072269101E-2</v>
      </c>
      <c r="AB110">
        <v>2.7268091329824599E-2</v>
      </c>
      <c r="AC110">
        <v>2.1167890234867402E-2</v>
      </c>
      <c r="AD110">
        <v>2.06868018204386E-2</v>
      </c>
      <c r="AE110">
        <v>1.38745898721267E-2</v>
      </c>
      <c r="AF110">
        <v>230.29900000000001</v>
      </c>
      <c r="AG110">
        <v>10393.1</v>
      </c>
      <c r="AH110">
        <v>0</v>
      </c>
      <c r="AI110" t="s">
        <v>55</v>
      </c>
      <c r="AJ110" t="s">
        <v>165</v>
      </c>
      <c r="AK110">
        <v>40</v>
      </c>
    </row>
    <row r="111" spans="1:37">
      <c r="A111" t="s">
        <v>1929</v>
      </c>
      <c r="B111" t="s">
        <v>1930</v>
      </c>
      <c r="C111" t="s">
        <v>1931</v>
      </c>
      <c r="D111" t="s">
        <v>1932</v>
      </c>
      <c r="E111" t="s">
        <v>1933</v>
      </c>
      <c r="F111" t="s">
        <v>1934</v>
      </c>
      <c r="G111" t="s">
        <v>1935</v>
      </c>
      <c r="H111" t="s">
        <v>1936</v>
      </c>
      <c r="I111" t="s">
        <v>1937</v>
      </c>
      <c r="J111" t="s">
        <v>1938</v>
      </c>
      <c r="K111" t="s">
        <v>1939</v>
      </c>
      <c r="L111" t="s">
        <v>1940</v>
      </c>
      <c r="M111" t="s">
        <v>1941</v>
      </c>
      <c r="N111" t="s">
        <v>1942</v>
      </c>
      <c r="O111" t="s">
        <v>1943</v>
      </c>
      <c r="P111" t="s">
        <v>1944</v>
      </c>
      <c r="Q111">
        <v>0.415842023027227</v>
      </c>
      <c r="R111">
        <v>6.2953646347004094E-2</v>
      </c>
      <c r="S111">
        <v>2.9986369831894601E-2</v>
      </c>
      <c r="T111">
        <v>2.0378763533205502E-2</v>
      </c>
      <c r="U111">
        <v>1.26217572943562E-2</v>
      </c>
      <c r="V111">
        <v>1.1502532108465101E-2</v>
      </c>
      <c r="W111">
        <v>8.1781008632439804E-3</v>
      </c>
      <c r="X111">
        <v>7.6905176139448802E-3</v>
      </c>
      <c r="Y111">
        <v>7.4578074267794003E-3</v>
      </c>
      <c r="Z111">
        <v>5.5961259294555702E-3</v>
      </c>
      <c r="AA111">
        <v>5.1417869926086799E-3</v>
      </c>
      <c r="AB111">
        <v>4.8758324929909901E-3</v>
      </c>
      <c r="AC111">
        <v>3.87850311942465E-3</v>
      </c>
      <c r="AD111">
        <v>3.34659412018927E-3</v>
      </c>
      <c r="AE111">
        <v>3.2246983078645002E-3</v>
      </c>
      <c r="AF111">
        <v>231.60400000000001</v>
      </c>
      <c r="AG111">
        <v>9024.1</v>
      </c>
      <c r="AH111">
        <v>0</v>
      </c>
      <c r="AI111" t="s">
        <v>55</v>
      </c>
      <c r="AJ111" t="s">
        <v>165</v>
      </c>
      <c r="AK111">
        <v>39</v>
      </c>
    </row>
    <row r="112" spans="1:37">
      <c r="A112" t="s">
        <v>894</v>
      </c>
      <c r="B112" t="s">
        <v>895</v>
      </c>
      <c r="C112" t="s">
        <v>893</v>
      </c>
      <c r="D112" t="s">
        <v>896</v>
      </c>
      <c r="E112" t="s">
        <v>899</v>
      </c>
      <c r="F112" t="s">
        <v>900</v>
      </c>
      <c r="G112" t="s">
        <v>901</v>
      </c>
      <c r="H112" t="s">
        <v>1945</v>
      </c>
      <c r="I112" t="s">
        <v>1946</v>
      </c>
      <c r="J112" t="s">
        <v>1947</v>
      </c>
      <c r="K112" t="s">
        <v>906</v>
      </c>
      <c r="L112" t="s">
        <v>1948</v>
      </c>
      <c r="M112" t="s">
        <v>1949</v>
      </c>
      <c r="N112" t="s">
        <v>1950</v>
      </c>
      <c r="O112" t="s">
        <v>1951</v>
      </c>
      <c r="P112" t="s">
        <v>1952</v>
      </c>
      <c r="Q112">
        <v>6.5072195170076199</v>
      </c>
      <c r="R112">
        <v>2.3682411720352099</v>
      </c>
      <c r="S112">
        <v>0.411607602161979</v>
      </c>
      <c r="T112">
        <v>0.17390967323669701</v>
      </c>
      <c r="U112">
        <v>0.163607151162381</v>
      </c>
      <c r="V112">
        <v>0.147427540572347</v>
      </c>
      <c r="W112">
        <v>3.86591218192196E-2</v>
      </c>
      <c r="X112">
        <v>3.5431655943681403E-2</v>
      </c>
      <c r="Y112">
        <v>2.5375774274700998E-2</v>
      </c>
      <c r="Z112">
        <v>2.4530150027835099E-2</v>
      </c>
      <c r="AA112">
        <v>1.8631920905945398E-2</v>
      </c>
      <c r="AB112">
        <v>1.7285968979683899E-2</v>
      </c>
      <c r="AC112">
        <v>1.36709253243321E-2</v>
      </c>
      <c r="AD112">
        <v>1.2902816633428901E-2</v>
      </c>
      <c r="AE112">
        <v>1.23461140042422E-2</v>
      </c>
      <c r="AF112">
        <v>390.84300000000002</v>
      </c>
      <c r="AG112">
        <v>14190.7</v>
      </c>
      <c r="AH112">
        <v>2.3682411720352099</v>
      </c>
      <c r="AI112" t="s">
        <v>28</v>
      </c>
      <c r="AJ112" t="s">
        <v>173</v>
      </c>
      <c r="AK112">
        <v>40</v>
      </c>
    </row>
    <row r="113" spans="1:37">
      <c r="A113" t="s">
        <v>1953</v>
      </c>
      <c r="B113" t="s">
        <v>1954</v>
      </c>
      <c r="C113" t="s">
        <v>1955</v>
      </c>
      <c r="D113" t="s">
        <v>1956</v>
      </c>
      <c r="E113" t="s">
        <v>1957</v>
      </c>
      <c r="F113" t="s">
        <v>1958</v>
      </c>
      <c r="G113" t="s">
        <v>1959</v>
      </c>
      <c r="H113" t="s">
        <v>1960</v>
      </c>
      <c r="I113" t="s">
        <v>1961</v>
      </c>
      <c r="J113" t="s">
        <v>1962</v>
      </c>
      <c r="K113" t="s">
        <v>1963</v>
      </c>
      <c r="L113" t="s">
        <v>1964</v>
      </c>
      <c r="M113" t="s">
        <v>1780</v>
      </c>
      <c r="N113" t="s">
        <v>1781</v>
      </c>
      <c r="O113" t="s">
        <v>1965</v>
      </c>
      <c r="P113" t="s">
        <v>1966</v>
      </c>
      <c r="Q113">
        <v>0.23452855863504701</v>
      </c>
      <c r="R113">
        <v>0.22157220781335399</v>
      </c>
      <c r="S113">
        <v>0.14085670089903601</v>
      </c>
      <c r="T113">
        <v>0.13754201509635899</v>
      </c>
      <c r="U113">
        <v>0.119793907956409</v>
      </c>
      <c r="V113">
        <v>0.11958455937939801</v>
      </c>
      <c r="W113">
        <v>0.110256917225899</v>
      </c>
      <c r="X113">
        <v>8.1820402181877402E-2</v>
      </c>
      <c r="Y113">
        <v>7.1399495237319893E-2</v>
      </c>
      <c r="Z113">
        <v>6.7038066549586495E-2</v>
      </c>
      <c r="AA113">
        <v>5.4709761458927003E-2</v>
      </c>
      <c r="AB113">
        <v>4.1671997301729498E-2</v>
      </c>
      <c r="AC113">
        <v>3.5345018085390999E-2</v>
      </c>
      <c r="AD113">
        <v>3.1402286551680002E-2</v>
      </c>
      <c r="AE113">
        <v>2.3993673020783701E-2</v>
      </c>
      <c r="AF113">
        <v>400.86900000000003</v>
      </c>
      <c r="AG113">
        <v>8598.1</v>
      </c>
      <c r="AH113">
        <v>0.23452855863504701</v>
      </c>
      <c r="AI113" t="s">
        <v>28</v>
      </c>
      <c r="AJ113" t="s">
        <v>173</v>
      </c>
      <c r="AK113">
        <v>39</v>
      </c>
    </row>
    <row r="114" spans="1:37">
      <c r="A114" t="s">
        <v>1786</v>
      </c>
      <c r="B114" t="s">
        <v>1785</v>
      </c>
      <c r="C114" t="s">
        <v>1967</v>
      </c>
      <c r="D114" t="s">
        <v>1968</v>
      </c>
      <c r="E114" t="s">
        <v>1969</v>
      </c>
      <c r="F114" t="s">
        <v>1787</v>
      </c>
      <c r="G114" t="s">
        <v>1788</v>
      </c>
      <c r="H114" t="s">
        <v>1970</v>
      </c>
      <c r="I114" t="s">
        <v>1971</v>
      </c>
      <c r="J114" t="s">
        <v>1791</v>
      </c>
      <c r="K114" t="s">
        <v>1972</v>
      </c>
      <c r="L114" t="s">
        <v>1973</v>
      </c>
      <c r="M114" t="s">
        <v>1974</v>
      </c>
      <c r="N114" t="s">
        <v>1975</v>
      </c>
      <c r="O114" t="s">
        <v>1797</v>
      </c>
      <c r="P114" t="s">
        <v>1800</v>
      </c>
      <c r="Q114">
        <v>1.4846888664159099</v>
      </c>
      <c r="R114">
        <v>0.77294851181165403</v>
      </c>
      <c r="S114">
        <v>0.490247291722748</v>
      </c>
      <c r="T114">
        <v>0.34703781038785297</v>
      </c>
      <c r="U114">
        <v>0.234770714956093</v>
      </c>
      <c r="V114">
        <v>0.16784407307437699</v>
      </c>
      <c r="W114">
        <v>0.10640310224155899</v>
      </c>
      <c r="X114">
        <v>8.9706000043652603E-2</v>
      </c>
      <c r="Y114">
        <v>8.9058487147960302E-2</v>
      </c>
      <c r="Z114">
        <v>5.9898580564427498E-2</v>
      </c>
      <c r="AA114">
        <v>3.4449141135984997E-2</v>
      </c>
      <c r="AB114">
        <v>3.3707047704966901E-2</v>
      </c>
      <c r="AC114">
        <v>3.0484034078094399E-2</v>
      </c>
      <c r="AD114">
        <v>2.3012171787353899E-2</v>
      </c>
      <c r="AE114">
        <v>2.0778616068505399E-2</v>
      </c>
      <c r="AF114">
        <v>406.28100000000001</v>
      </c>
      <c r="AG114">
        <v>13744.9</v>
      </c>
      <c r="AH114">
        <v>1.4846888664159099</v>
      </c>
      <c r="AI114" t="s">
        <v>28</v>
      </c>
      <c r="AJ114" t="s">
        <v>173</v>
      </c>
      <c r="AK114">
        <v>40</v>
      </c>
    </row>
    <row r="115" spans="1:37">
      <c r="A115" t="s">
        <v>1976</v>
      </c>
      <c r="B115" t="s">
        <v>1977</v>
      </c>
      <c r="C115" t="s">
        <v>1978</v>
      </c>
      <c r="D115" t="s">
        <v>1979</v>
      </c>
      <c r="E115" t="s">
        <v>1980</v>
      </c>
      <c r="F115" t="s">
        <v>1981</v>
      </c>
      <c r="G115" t="s">
        <v>1982</v>
      </c>
      <c r="H115" t="s">
        <v>1983</v>
      </c>
      <c r="I115" t="s">
        <v>1984</v>
      </c>
      <c r="J115" t="s">
        <v>1985</v>
      </c>
      <c r="K115" t="s">
        <v>1986</v>
      </c>
      <c r="L115" t="s">
        <v>1987</v>
      </c>
      <c r="M115" t="s">
        <v>1988</v>
      </c>
      <c r="N115" t="s">
        <v>1989</v>
      </c>
      <c r="O115" t="s">
        <v>1990</v>
      </c>
      <c r="P115" t="s">
        <v>1991</v>
      </c>
      <c r="Q115">
        <v>0.45621651218272102</v>
      </c>
      <c r="R115">
        <v>0.25995968129019897</v>
      </c>
      <c r="S115">
        <v>0.15679498256055799</v>
      </c>
      <c r="T115">
        <v>0.14712773635688101</v>
      </c>
      <c r="U115">
        <v>0.116191837416758</v>
      </c>
      <c r="V115">
        <v>9.19579462346094E-2</v>
      </c>
      <c r="W115">
        <v>6.9768434076776201E-2</v>
      </c>
      <c r="X115">
        <v>6.0549173537557899E-2</v>
      </c>
      <c r="Y115">
        <v>4.3767488329262402E-2</v>
      </c>
      <c r="Z115">
        <v>3.31580500535094E-2</v>
      </c>
      <c r="AA115">
        <v>3.2905613687028698E-2</v>
      </c>
      <c r="AB115">
        <v>3.0637241830483702E-2</v>
      </c>
      <c r="AC115">
        <v>2.9926153474199899E-2</v>
      </c>
      <c r="AD115">
        <v>2.8553752946572399E-2</v>
      </c>
      <c r="AE115">
        <v>2.20721825790464E-2</v>
      </c>
      <c r="AF115">
        <v>410.072</v>
      </c>
      <c r="AG115">
        <v>28125.9</v>
      </c>
      <c r="AH115">
        <v>0.45621651218272102</v>
      </c>
      <c r="AI115" t="s">
        <v>28</v>
      </c>
      <c r="AJ115" t="s">
        <v>173</v>
      </c>
      <c r="AK115">
        <v>38</v>
      </c>
    </row>
    <row r="116" spans="1:37">
      <c r="A116" t="s">
        <v>1992</v>
      </c>
      <c r="B116" t="s">
        <v>1993</v>
      </c>
      <c r="C116" t="s">
        <v>1994</v>
      </c>
      <c r="D116" t="s">
        <v>1995</v>
      </c>
      <c r="E116" t="s">
        <v>1996</v>
      </c>
      <c r="F116" t="s">
        <v>1997</v>
      </c>
      <c r="G116" t="s">
        <v>1998</v>
      </c>
      <c r="H116" t="s">
        <v>1999</v>
      </c>
      <c r="I116" t="s">
        <v>2000</v>
      </c>
      <c r="J116" t="s">
        <v>2001</v>
      </c>
      <c r="K116" t="s">
        <v>2002</v>
      </c>
      <c r="L116" t="s">
        <v>2003</v>
      </c>
      <c r="M116" t="s">
        <v>2004</v>
      </c>
      <c r="N116" t="s">
        <v>2005</v>
      </c>
      <c r="O116" t="s">
        <v>2006</v>
      </c>
      <c r="P116" t="s">
        <v>2007</v>
      </c>
      <c r="Q116">
        <v>0.67286859739957905</v>
      </c>
      <c r="R116">
        <v>0.48661054371263701</v>
      </c>
      <c r="S116">
        <v>0.38357499774044901</v>
      </c>
      <c r="T116">
        <v>0.32697000606851001</v>
      </c>
      <c r="U116">
        <v>0.15449521620679399</v>
      </c>
      <c r="V116">
        <v>0.15195160686387199</v>
      </c>
      <c r="W116">
        <v>0.115075727252773</v>
      </c>
      <c r="X116">
        <v>8.5901690144482207E-2</v>
      </c>
      <c r="Y116">
        <v>8.3241875298583595E-2</v>
      </c>
      <c r="Z116">
        <v>7.8432258647626193E-2</v>
      </c>
      <c r="AA116">
        <v>6.5301036811321003E-2</v>
      </c>
      <c r="AB116">
        <v>5.7760590840424002E-2</v>
      </c>
      <c r="AC116">
        <v>5.5139511162184199E-2</v>
      </c>
      <c r="AD116">
        <v>4.7469947965758097E-2</v>
      </c>
      <c r="AE116">
        <v>4.2021201048431898E-2</v>
      </c>
      <c r="AF116">
        <v>411.846</v>
      </c>
      <c r="AG116">
        <v>15489.8</v>
      </c>
      <c r="AH116">
        <v>0.38357499774044901</v>
      </c>
      <c r="AI116" t="s">
        <v>28</v>
      </c>
      <c r="AJ116" t="s">
        <v>173</v>
      </c>
      <c r="AK116">
        <v>40</v>
      </c>
    </row>
    <row r="117" spans="1:37">
      <c r="A117" t="s">
        <v>2008</v>
      </c>
      <c r="B117" t="s">
        <v>2009</v>
      </c>
      <c r="C117" t="s">
        <v>2010</v>
      </c>
      <c r="D117" t="s">
        <v>2011</v>
      </c>
      <c r="E117" t="s">
        <v>2012</v>
      </c>
      <c r="F117" t="s">
        <v>2013</v>
      </c>
      <c r="G117" t="s">
        <v>2014</v>
      </c>
      <c r="H117" t="s">
        <v>2015</v>
      </c>
      <c r="I117" t="s">
        <v>2016</v>
      </c>
      <c r="J117" t="s">
        <v>2017</v>
      </c>
      <c r="K117" t="s">
        <v>2018</v>
      </c>
      <c r="L117" t="s">
        <v>2019</v>
      </c>
      <c r="M117" t="s">
        <v>2020</v>
      </c>
      <c r="N117" t="s">
        <v>2021</v>
      </c>
      <c r="O117" t="s">
        <v>2022</v>
      </c>
      <c r="P117" t="s">
        <v>2023</v>
      </c>
      <c r="Q117">
        <v>4.1594316922693597</v>
      </c>
      <c r="R117">
        <v>3.1750621217783599</v>
      </c>
      <c r="S117">
        <v>0.513614340132308</v>
      </c>
      <c r="T117">
        <v>0.289595667538666</v>
      </c>
      <c r="U117">
        <v>0.157550008851124</v>
      </c>
      <c r="V117">
        <v>0.12774466801728299</v>
      </c>
      <c r="W117">
        <v>0.12533191715347899</v>
      </c>
      <c r="X117">
        <v>9.3376080984507295E-2</v>
      </c>
      <c r="Y117">
        <v>9.2281164152291803E-2</v>
      </c>
      <c r="Z117">
        <v>8.3679182811772695E-2</v>
      </c>
      <c r="AA117">
        <v>7.6014764986264402E-2</v>
      </c>
      <c r="AB117">
        <v>7.3962615474387497E-2</v>
      </c>
      <c r="AC117">
        <v>6.12235531690302E-2</v>
      </c>
      <c r="AD117">
        <v>6.0436786583007197E-2</v>
      </c>
      <c r="AE117">
        <v>2.79564393566872E-2</v>
      </c>
      <c r="AF117">
        <v>417.93900000000002</v>
      </c>
      <c r="AG117">
        <v>15252.3</v>
      </c>
      <c r="AH117">
        <v>4.1594316922693597</v>
      </c>
      <c r="AI117" t="s">
        <v>28</v>
      </c>
      <c r="AJ117" t="s">
        <v>173</v>
      </c>
      <c r="AK117">
        <v>40</v>
      </c>
    </row>
    <row r="118" spans="1:37">
      <c r="A118" t="s">
        <v>2024</v>
      </c>
      <c r="B118" t="s">
        <v>2025</v>
      </c>
      <c r="C118" t="s">
        <v>436</v>
      </c>
      <c r="D118" t="s">
        <v>2026</v>
      </c>
      <c r="E118" t="s">
        <v>437</v>
      </c>
      <c r="F118" t="s">
        <v>2027</v>
      </c>
      <c r="G118" t="s">
        <v>2028</v>
      </c>
      <c r="H118" t="s">
        <v>442</v>
      </c>
      <c r="I118" t="s">
        <v>2029</v>
      </c>
      <c r="J118" t="s">
        <v>2030</v>
      </c>
      <c r="K118" t="s">
        <v>2031</v>
      </c>
      <c r="L118" t="s">
        <v>443</v>
      </c>
      <c r="M118" t="s">
        <v>2032</v>
      </c>
      <c r="N118" t="s">
        <v>2033</v>
      </c>
      <c r="O118" t="s">
        <v>2034</v>
      </c>
      <c r="P118" t="s">
        <v>444</v>
      </c>
      <c r="Q118">
        <v>3.9797500242224602</v>
      </c>
      <c r="R118">
        <v>0.39270258049930601</v>
      </c>
      <c r="S118">
        <v>0.181345476859477</v>
      </c>
      <c r="T118">
        <v>0.113304589348577</v>
      </c>
      <c r="U118">
        <v>7.7770241901624501E-2</v>
      </c>
      <c r="V118">
        <v>4.25023415043762E-2</v>
      </c>
      <c r="W118">
        <v>4.0790621063850403E-2</v>
      </c>
      <c r="X118">
        <v>3.7221845428414599E-2</v>
      </c>
      <c r="Y118">
        <v>3.5582792365080898E-2</v>
      </c>
      <c r="Z118">
        <v>2.9236508090301299E-2</v>
      </c>
      <c r="AA118">
        <v>2.7565158414882301E-2</v>
      </c>
      <c r="AB118">
        <v>2.4432387042599198E-2</v>
      </c>
      <c r="AC118">
        <v>2.3269709007525102E-2</v>
      </c>
      <c r="AD118">
        <v>2.3237412395439701E-2</v>
      </c>
      <c r="AE118">
        <v>2.2769111520201502E-2</v>
      </c>
      <c r="AF118">
        <v>418.94799999999998</v>
      </c>
      <c r="AG118">
        <v>12385.2</v>
      </c>
      <c r="AH118">
        <v>0.181345476859477</v>
      </c>
      <c r="AI118" t="s">
        <v>41</v>
      </c>
      <c r="AJ118" t="s">
        <v>173</v>
      </c>
      <c r="AK118">
        <v>36</v>
      </c>
    </row>
    <row r="119" spans="1:37">
      <c r="A119" t="s">
        <v>2035</v>
      </c>
      <c r="B119" t="s">
        <v>2036</v>
      </c>
      <c r="C119" t="s">
        <v>2037</v>
      </c>
      <c r="D119" t="s">
        <v>2038</v>
      </c>
      <c r="E119" t="s">
        <v>2039</v>
      </c>
      <c r="F119" t="s">
        <v>2040</v>
      </c>
      <c r="G119" t="s">
        <v>2041</v>
      </c>
      <c r="H119" t="s">
        <v>2042</v>
      </c>
      <c r="I119" t="s">
        <v>2043</v>
      </c>
      <c r="J119" t="s">
        <v>2044</v>
      </c>
      <c r="K119" t="s">
        <v>2045</v>
      </c>
      <c r="L119" t="s">
        <v>2046</v>
      </c>
      <c r="M119" t="s">
        <v>2047</v>
      </c>
      <c r="N119" t="s">
        <v>2048</v>
      </c>
      <c r="O119" t="s">
        <v>2049</v>
      </c>
      <c r="P119" t="s">
        <v>2050</v>
      </c>
      <c r="Q119">
        <v>185.76185283592599</v>
      </c>
      <c r="R119">
        <v>0.53370398243000405</v>
      </c>
      <c r="S119">
        <v>0.36114481424029699</v>
      </c>
      <c r="T119">
        <v>0.226106187894519</v>
      </c>
      <c r="U119">
        <v>0.223787071308995</v>
      </c>
      <c r="V119">
        <v>0.120947305370828</v>
      </c>
      <c r="W119">
        <v>9.8524058914776294E-2</v>
      </c>
      <c r="X119">
        <v>7.5878115832962195E-2</v>
      </c>
      <c r="Y119">
        <v>6.80069419913686E-2</v>
      </c>
      <c r="Z119">
        <v>3.9639999385664502E-2</v>
      </c>
      <c r="AA119">
        <v>3.4157054875520301E-2</v>
      </c>
      <c r="AB119">
        <v>3.2943742224816101E-2</v>
      </c>
      <c r="AC119">
        <v>2.9211653944802001E-2</v>
      </c>
      <c r="AD119">
        <v>2.1839627712675301E-2</v>
      </c>
      <c r="AE119">
        <v>2.1755156578765499E-2</v>
      </c>
      <c r="AF119">
        <v>420.67200000000003</v>
      </c>
      <c r="AG119">
        <v>13022.2</v>
      </c>
      <c r="AH119">
        <v>0.226106187894519</v>
      </c>
      <c r="AI119" t="s">
        <v>28</v>
      </c>
      <c r="AJ119" t="s">
        <v>173</v>
      </c>
      <c r="AK119">
        <v>39</v>
      </c>
    </row>
    <row r="120" spans="1:37">
      <c r="A120" t="s">
        <v>451</v>
      </c>
      <c r="B120" t="s">
        <v>450</v>
      </c>
      <c r="C120" t="s">
        <v>452</v>
      </c>
      <c r="D120" t="s">
        <v>453</v>
      </c>
      <c r="E120" t="s">
        <v>458</v>
      </c>
      <c r="F120" t="s">
        <v>454</v>
      </c>
      <c r="G120" t="s">
        <v>2051</v>
      </c>
      <c r="H120" t="s">
        <v>2052</v>
      </c>
      <c r="I120" t="s">
        <v>455</v>
      </c>
      <c r="J120" t="s">
        <v>456</v>
      </c>
      <c r="K120" t="s">
        <v>2053</v>
      </c>
      <c r="L120" t="s">
        <v>457</v>
      </c>
      <c r="M120" t="s">
        <v>2054</v>
      </c>
      <c r="N120" t="s">
        <v>2055</v>
      </c>
      <c r="O120" t="s">
        <v>458</v>
      </c>
      <c r="P120" t="s">
        <v>459</v>
      </c>
      <c r="Q120">
        <v>4.9101377802633603</v>
      </c>
      <c r="R120">
        <v>0.338764892300913</v>
      </c>
      <c r="S120">
        <v>6.72081278492382E-2</v>
      </c>
      <c r="T120">
        <v>6.3767858050739701E-2</v>
      </c>
      <c r="U120">
        <v>4.2168725744403203E-2</v>
      </c>
      <c r="V120">
        <v>4.1012083312149401E-2</v>
      </c>
      <c r="W120">
        <v>4.0800244038842901E-2</v>
      </c>
      <c r="X120">
        <v>3.65973528564408E-2</v>
      </c>
      <c r="Y120">
        <v>3.2339383462979002E-2</v>
      </c>
      <c r="Z120">
        <v>2.0459437015947299E-2</v>
      </c>
      <c r="AA120">
        <v>1.9468029216872601E-2</v>
      </c>
      <c r="AB120">
        <v>1.8023285372921902E-2</v>
      </c>
      <c r="AC120">
        <v>1.32314810107275E-2</v>
      </c>
      <c r="AD120">
        <v>1.28883013879709E-2</v>
      </c>
      <c r="AE120">
        <v>1.2083312149406E-2</v>
      </c>
      <c r="AF120">
        <v>422.29300000000001</v>
      </c>
      <c r="AG120">
        <v>23602.799999999999</v>
      </c>
      <c r="AH120">
        <v>4.9101377802633603</v>
      </c>
      <c r="AI120" t="s">
        <v>28</v>
      </c>
      <c r="AJ120" t="s">
        <v>173</v>
      </c>
      <c r="AK120">
        <v>37</v>
      </c>
    </row>
    <row r="121" spans="1:37">
      <c r="A121" t="s">
        <v>2056</v>
      </c>
      <c r="B121" t="s">
        <v>2057</v>
      </c>
      <c r="C121" t="s">
        <v>2058</v>
      </c>
      <c r="D121" t="s">
        <v>2059</v>
      </c>
      <c r="E121" t="s">
        <v>2060</v>
      </c>
      <c r="F121" t="s">
        <v>2051</v>
      </c>
      <c r="G121" t="s">
        <v>458</v>
      </c>
      <c r="H121" t="s">
        <v>2061</v>
      </c>
      <c r="I121" t="s">
        <v>457</v>
      </c>
      <c r="J121" t="s">
        <v>2054</v>
      </c>
      <c r="K121" t="s">
        <v>2062</v>
      </c>
      <c r="L121" t="s">
        <v>2063</v>
      </c>
      <c r="M121" t="s">
        <v>2064</v>
      </c>
      <c r="N121" t="s">
        <v>462</v>
      </c>
      <c r="O121" t="s">
        <v>2065</v>
      </c>
      <c r="P121" t="s">
        <v>2066</v>
      </c>
      <c r="Q121">
        <v>4.64275564083328</v>
      </c>
      <c r="R121">
        <v>0.35377474176236401</v>
      </c>
      <c r="S121">
        <v>0.1017730394137</v>
      </c>
      <c r="T121">
        <v>5.4284003693230998E-2</v>
      </c>
      <c r="U121">
        <v>3.49125742974205E-2</v>
      </c>
      <c r="V121">
        <v>3.2532171504414599E-2</v>
      </c>
      <c r="W121">
        <v>2.05688441341105E-2</v>
      </c>
      <c r="X121">
        <v>1.6572652778579298E-2</v>
      </c>
      <c r="Y121">
        <v>1.53427780021929E-2</v>
      </c>
      <c r="Z121">
        <v>9.3232442726066105E-3</v>
      </c>
      <c r="AA121">
        <v>9.0743839806105408E-3</v>
      </c>
      <c r="AB121">
        <v>9.0599572970165593E-3</v>
      </c>
      <c r="AC121">
        <v>5.9221536153269104E-3</v>
      </c>
      <c r="AD121">
        <v>4.6922788389404998E-3</v>
      </c>
      <c r="AE121">
        <v>1.90071556350626E-3</v>
      </c>
      <c r="AF121">
        <v>422.53199999999998</v>
      </c>
      <c r="AG121">
        <v>27726.400000000001</v>
      </c>
      <c r="AH121">
        <v>5.4284003693230998E-2</v>
      </c>
      <c r="AI121" t="s">
        <v>41</v>
      </c>
      <c r="AJ121" t="s">
        <v>173</v>
      </c>
      <c r="AK121">
        <v>36</v>
      </c>
    </row>
    <row r="122" spans="1:37">
      <c r="A122" t="s">
        <v>2067</v>
      </c>
      <c r="B122" t="s">
        <v>2068</v>
      </c>
      <c r="C122" t="s">
        <v>2069</v>
      </c>
      <c r="D122" t="s">
        <v>2070</v>
      </c>
      <c r="E122" t="s">
        <v>2071</v>
      </c>
      <c r="F122" t="s">
        <v>2072</v>
      </c>
      <c r="G122" t="s">
        <v>2073</v>
      </c>
      <c r="H122" t="s">
        <v>2074</v>
      </c>
      <c r="I122" t="s">
        <v>2075</v>
      </c>
      <c r="J122" t="s">
        <v>2076</v>
      </c>
      <c r="K122" t="s">
        <v>2077</v>
      </c>
      <c r="L122" t="s">
        <v>2078</v>
      </c>
      <c r="M122" t="s">
        <v>2079</v>
      </c>
      <c r="N122" t="s">
        <v>2080</v>
      </c>
      <c r="O122" t="s">
        <v>2081</v>
      </c>
      <c r="P122" t="s">
        <v>2082</v>
      </c>
      <c r="Q122">
        <v>5.2145057128663699E-2</v>
      </c>
      <c r="R122">
        <v>1.51793343268753E-2</v>
      </c>
      <c r="S122">
        <v>1.15091902632886E-2</v>
      </c>
      <c r="T122">
        <v>9.3233979135618501E-3</v>
      </c>
      <c r="U122">
        <v>5.4386487829110796E-3</v>
      </c>
      <c r="V122">
        <v>4.6517635370094401E-3</v>
      </c>
      <c r="W122">
        <v>4.3656234475906597E-3</v>
      </c>
      <c r="X122">
        <v>3.9165424739195202E-3</v>
      </c>
      <c r="Y122">
        <v>3.3283656234475898E-3</v>
      </c>
      <c r="Z122">
        <v>3.2945851962245401E-3</v>
      </c>
      <c r="AA122">
        <v>2.8236462990561401E-3</v>
      </c>
      <c r="AB122">
        <v>2.7680079483358199E-3</v>
      </c>
      <c r="AC122">
        <v>2.69051167411823E-3</v>
      </c>
      <c r="AD122">
        <v>2.42821659215102E-3</v>
      </c>
      <c r="AE122">
        <v>2.3864878291107801E-3</v>
      </c>
      <c r="AF122">
        <v>255.23500000000001</v>
      </c>
      <c r="AG122">
        <v>50325</v>
      </c>
      <c r="AH122">
        <v>5.4386487829110796E-3</v>
      </c>
      <c r="AI122" t="s">
        <v>55</v>
      </c>
      <c r="AJ122" t="s">
        <v>184</v>
      </c>
      <c r="AK122">
        <v>40</v>
      </c>
    </row>
    <row r="123" spans="1:37">
      <c r="A123" t="s">
        <v>2083</v>
      </c>
      <c r="B123" t="s">
        <v>2084</v>
      </c>
      <c r="C123" t="s">
        <v>2085</v>
      </c>
      <c r="D123" t="s">
        <v>2086</v>
      </c>
      <c r="E123" t="s">
        <v>2087</v>
      </c>
      <c r="F123" t="s">
        <v>2088</v>
      </c>
      <c r="G123" t="s">
        <v>2089</v>
      </c>
      <c r="H123" t="s">
        <v>2090</v>
      </c>
      <c r="I123" t="s">
        <v>2091</v>
      </c>
      <c r="J123" t="s">
        <v>2092</v>
      </c>
      <c r="K123" t="s">
        <v>2093</v>
      </c>
      <c r="L123" t="s">
        <v>2094</v>
      </c>
      <c r="M123" t="s">
        <v>2095</v>
      </c>
      <c r="N123" t="s">
        <v>2096</v>
      </c>
      <c r="O123" t="s">
        <v>2097</v>
      </c>
      <c r="P123" t="s">
        <v>2098</v>
      </c>
      <c r="Q123">
        <v>1.8089663682095702E-2</v>
      </c>
      <c r="R123">
        <v>8.1573702028031794E-3</v>
      </c>
      <c r="S123">
        <v>8.1548391179169198E-3</v>
      </c>
      <c r="T123">
        <v>7.6755149175815503E-3</v>
      </c>
      <c r="U123">
        <v>7.2025184294618296E-3</v>
      </c>
      <c r="V123">
        <v>7.0487550226215698E-3</v>
      </c>
      <c r="W123">
        <v>6.4957129749739001E-3</v>
      </c>
      <c r="X123">
        <v>5.9350776726674499E-3</v>
      </c>
      <c r="Y123">
        <v>5.5940139842439998E-3</v>
      </c>
      <c r="Z123">
        <v>5.4851773341348404E-3</v>
      </c>
      <c r="AA123">
        <v>3.9092606068275998E-3</v>
      </c>
      <c r="AB123">
        <v>3.4963773847565402E-3</v>
      </c>
      <c r="AC123">
        <v>2.9939570348340599E-3</v>
      </c>
      <c r="AD123">
        <v>2.4137058246590901E-3</v>
      </c>
      <c r="AE123">
        <v>2.29284652134021E-3</v>
      </c>
      <c r="AF123">
        <v>335.37200000000001</v>
      </c>
      <c r="AG123">
        <v>316070</v>
      </c>
      <c r="AH123">
        <v>7.6755149175815503E-3</v>
      </c>
      <c r="AI123" t="s">
        <v>55</v>
      </c>
      <c r="AJ123" t="s">
        <v>184</v>
      </c>
      <c r="AK123">
        <v>40</v>
      </c>
    </row>
    <row r="124" spans="1:37">
      <c r="A124" t="s">
        <v>2099</v>
      </c>
      <c r="B124" t="s">
        <v>2100</v>
      </c>
      <c r="C124" t="s">
        <v>2101</v>
      </c>
      <c r="D124" t="s">
        <v>2102</v>
      </c>
      <c r="E124" t="s">
        <v>2103</v>
      </c>
      <c r="F124" t="s">
        <v>2104</v>
      </c>
      <c r="G124" t="s">
        <v>2105</v>
      </c>
      <c r="H124" t="s">
        <v>2106</v>
      </c>
      <c r="I124" t="s">
        <v>2107</v>
      </c>
      <c r="J124" t="s">
        <v>2108</v>
      </c>
      <c r="K124" t="s">
        <v>2109</v>
      </c>
      <c r="L124" t="s">
        <v>2110</v>
      </c>
      <c r="M124" t="s">
        <v>2111</v>
      </c>
      <c r="N124" t="s">
        <v>2112</v>
      </c>
      <c r="O124" t="s">
        <v>2113</v>
      </c>
      <c r="P124" t="s">
        <v>2114</v>
      </c>
      <c r="Q124">
        <v>0.15156570661869001</v>
      </c>
      <c r="R124">
        <v>1.09564395383231E-2</v>
      </c>
      <c r="S124">
        <v>7.3432235046579399E-3</v>
      </c>
      <c r="T124">
        <v>7.0193788403189704E-3</v>
      </c>
      <c r="U124">
        <v>6.8964886334182103E-3</v>
      </c>
      <c r="V124">
        <v>4.9546404012990397E-3</v>
      </c>
      <c r="W124">
        <v>4.2749325323615996E-3</v>
      </c>
      <c r="X124">
        <v>3.4945949654657201E-3</v>
      </c>
      <c r="Y124">
        <v>3.48849619589248E-3</v>
      </c>
      <c r="Z124">
        <v>2.3437571469955899E-3</v>
      </c>
      <c r="AA124">
        <v>2.1644533215423802E-3</v>
      </c>
      <c r="AB124">
        <v>1.6939332489670201E-3</v>
      </c>
      <c r="AC124">
        <v>1.65734063152759E-3</v>
      </c>
      <c r="AD124">
        <v>1.4335157881897301E-3</v>
      </c>
      <c r="AE124">
        <v>1.1959687133120899E-3</v>
      </c>
      <c r="AF124">
        <v>357.25299999999999</v>
      </c>
      <c r="AG124">
        <v>327935</v>
      </c>
      <c r="AH124">
        <v>7.0193788403189704E-3</v>
      </c>
      <c r="AI124" t="s">
        <v>55</v>
      </c>
      <c r="AJ124" t="s">
        <v>184</v>
      </c>
      <c r="AK124">
        <v>40</v>
      </c>
    </row>
    <row r="125" spans="1:37">
      <c r="A125" t="s">
        <v>659</v>
      </c>
      <c r="B125" t="s">
        <v>660</v>
      </c>
      <c r="C125" t="s">
        <v>658</v>
      </c>
      <c r="D125" t="s">
        <v>2115</v>
      </c>
      <c r="E125" t="s">
        <v>661</v>
      </c>
      <c r="F125" t="s">
        <v>2116</v>
      </c>
      <c r="G125" t="s">
        <v>662</v>
      </c>
      <c r="H125" t="s">
        <v>2117</v>
      </c>
      <c r="I125" t="s">
        <v>663</v>
      </c>
      <c r="J125" t="s">
        <v>664</v>
      </c>
      <c r="K125" t="s">
        <v>665</v>
      </c>
      <c r="L125" t="s">
        <v>666</v>
      </c>
      <c r="M125" t="s">
        <v>667</v>
      </c>
      <c r="N125" t="s">
        <v>668</v>
      </c>
      <c r="O125" t="s">
        <v>2118</v>
      </c>
      <c r="P125" t="s">
        <v>670</v>
      </c>
      <c r="Q125">
        <v>0.116589673235221</v>
      </c>
      <c r="R125">
        <v>6.1791469194312797E-2</v>
      </c>
      <c r="S125">
        <v>3.1514592167622903E-2</v>
      </c>
      <c r="T125">
        <v>2.6338238962334799E-2</v>
      </c>
      <c r="U125">
        <v>1.31648790222001E-2</v>
      </c>
      <c r="V125">
        <v>1.0421551509104499E-2</v>
      </c>
      <c r="W125">
        <v>1.0190571214766801E-2</v>
      </c>
      <c r="X125">
        <v>5.32451983038164E-3</v>
      </c>
      <c r="Y125">
        <v>3.4696931903217799E-3</v>
      </c>
      <c r="Z125">
        <v>3.27014218009479E-3</v>
      </c>
      <c r="AA125">
        <v>2.97131454227987E-3</v>
      </c>
      <c r="AB125">
        <v>2.8560738338737801E-3</v>
      </c>
      <c r="AC125">
        <v>2.4709403841356998E-3</v>
      </c>
      <c r="AD125">
        <v>1.7480668495884299E-3</v>
      </c>
      <c r="AE125">
        <v>1.3798952357196299E-3</v>
      </c>
      <c r="AF125">
        <v>357.63400000000001</v>
      </c>
      <c r="AG125">
        <v>200450</v>
      </c>
      <c r="AH125">
        <v>6.1791469194312797E-2</v>
      </c>
      <c r="AI125" t="s">
        <v>41</v>
      </c>
      <c r="AJ125" t="s">
        <v>184</v>
      </c>
      <c r="AK125">
        <v>40</v>
      </c>
    </row>
    <row r="126" spans="1:37">
      <c r="A126" t="s">
        <v>3</v>
      </c>
      <c r="B126" t="s">
        <v>2119</v>
      </c>
      <c r="C126" t="s">
        <v>2120</v>
      </c>
      <c r="D126" t="s">
        <v>2121</v>
      </c>
      <c r="E126" t="s">
        <v>2122</v>
      </c>
      <c r="F126" t="s">
        <v>2123</v>
      </c>
      <c r="G126" t="s">
        <v>2124</v>
      </c>
      <c r="H126" t="s">
        <v>2125</v>
      </c>
      <c r="I126" t="s">
        <v>2126</v>
      </c>
      <c r="J126" t="s">
        <v>2127</v>
      </c>
      <c r="K126" t="s">
        <v>2128</v>
      </c>
      <c r="L126" t="s">
        <v>2129</v>
      </c>
      <c r="M126" t="s">
        <v>2130</v>
      </c>
      <c r="N126" t="s">
        <v>2131</v>
      </c>
      <c r="O126" t="s">
        <v>2132</v>
      </c>
      <c r="P126" t="s">
        <v>2133</v>
      </c>
      <c r="Q126">
        <v>2.6761140981377302E-2</v>
      </c>
      <c r="R126">
        <v>2.4218404789349401E-2</v>
      </c>
      <c r="S126">
        <v>4.7670629876424E-3</v>
      </c>
      <c r="T126">
        <v>3.59827582333113E-3</v>
      </c>
      <c r="U126">
        <v>3.0796974407192299E-3</v>
      </c>
      <c r="V126">
        <v>2.9659960097833198E-3</v>
      </c>
      <c r="W126">
        <v>2.1571499022871202E-3</v>
      </c>
      <c r="X126">
        <v>1.7704288677266599E-3</v>
      </c>
      <c r="Y126">
        <v>1.75249989957508E-3</v>
      </c>
      <c r="Z126">
        <v>1.30518349164158E-3</v>
      </c>
      <c r="AA126">
        <v>1.2552547195739199E-3</v>
      </c>
      <c r="AB126">
        <v>1.0464616727455E-3</v>
      </c>
      <c r="AC126">
        <v>7.4575429551977798E-4</v>
      </c>
      <c r="AD126">
        <v>7.0921551232480402E-4</v>
      </c>
      <c r="AE126">
        <v>6.0731542751397602E-4</v>
      </c>
      <c r="AF126">
        <v>361.38299999999998</v>
      </c>
      <c r="AG126">
        <v>440627.7</v>
      </c>
      <c r="AH126">
        <v>4.7670629876424E-3</v>
      </c>
      <c r="AI126" t="s">
        <v>55</v>
      </c>
      <c r="AJ126" t="s">
        <v>184</v>
      </c>
      <c r="AK126">
        <v>40</v>
      </c>
    </row>
    <row r="127" spans="1:37">
      <c r="A127" t="s">
        <v>2134</v>
      </c>
      <c r="B127" t="s">
        <v>2135</v>
      </c>
      <c r="C127" t="s">
        <v>2136</v>
      </c>
      <c r="D127" t="s">
        <v>2137</v>
      </c>
      <c r="E127" t="s">
        <v>2138</v>
      </c>
      <c r="F127" t="s">
        <v>2139</v>
      </c>
      <c r="G127" t="s">
        <v>2140</v>
      </c>
      <c r="H127" t="s">
        <v>2141</v>
      </c>
      <c r="I127" t="s">
        <v>2142</v>
      </c>
      <c r="J127" t="s">
        <v>2143</v>
      </c>
      <c r="K127" t="s">
        <v>2144</v>
      </c>
      <c r="L127" t="s">
        <v>2145</v>
      </c>
      <c r="M127" t="s">
        <v>2146</v>
      </c>
      <c r="N127" t="s">
        <v>2147</v>
      </c>
      <c r="O127" t="s">
        <v>2148</v>
      </c>
      <c r="P127" t="s">
        <v>2149</v>
      </c>
      <c r="Q127">
        <v>2.3747208733562501E-2</v>
      </c>
      <c r="R127">
        <v>1.79066387835395E-2</v>
      </c>
      <c r="S127">
        <v>1.40417538014391E-2</v>
      </c>
      <c r="T127">
        <v>1.1453585226668599E-2</v>
      </c>
      <c r="U127">
        <v>8.9653705738489391E-3</v>
      </c>
      <c r="V127">
        <v>7.1924290220820204E-3</v>
      </c>
      <c r="W127">
        <v>6.5884521319958898E-3</v>
      </c>
      <c r="X127">
        <v>6.4884982100450097E-3</v>
      </c>
      <c r="Y127">
        <v>5.2316308084925404E-3</v>
      </c>
      <c r="Z127">
        <v>3.2998972105057998E-3</v>
      </c>
      <c r="AA127">
        <v>3.0170488781767302E-3</v>
      </c>
      <c r="AB127">
        <v>2.9830220111296199E-3</v>
      </c>
      <c r="AC127">
        <v>2.7505050863077299E-3</v>
      </c>
      <c r="AD127">
        <v>2.0607521355403501E-3</v>
      </c>
      <c r="AE127">
        <v>1.9870272569382898E-3</v>
      </c>
      <c r="AF127">
        <v>363.07400000000001</v>
      </c>
      <c r="AG127">
        <v>141065</v>
      </c>
      <c r="AH127">
        <v>2.3747208733562501E-2</v>
      </c>
      <c r="AI127" t="s">
        <v>64</v>
      </c>
      <c r="AJ127" t="s">
        <v>184</v>
      </c>
      <c r="AK127">
        <v>40</v>
      </c>
    </row>
    <row r="128" spans="1:37">
      <c r="A128" t="s">
        <v>2150</v>
      </c>
      <c r="B128" t="s">
        <v>678</v>
      </c>
      <c r="C128" t="s">
        <v>2151</v>
      </c>
      <c r="D128" t="s">
        <v>2152</v>
      </c>
      <c r="E128" t="s">
        <v>2153</v>
      </c>
      <c r="F128" t="s">
        <v>2154</v>
      </c>
      <c r="G128" t="s">
        <v>2155</v>
      </c>
      <c r="H128" t="s">
        <v>2156</v>
      </c>
      <c r="I128" t="s">
        <v>2157</v>
      </c>
      <c r="J128" t="s">
        <v>2158</v>
      </c>
      <c r="K128" t="s">
        <v>2159</v>
      </c>
      <c r="L128" t="s">
        <v>2160</v>
      </c>
      <c r="M128" t="s">
        <v>2161</v>
      </c>
      <c r="N128" t="s">
        <v>687</v>
      </c>
      <c r="O128" t="s">
        <v>689</v>
      </c>
      <c r="P128" t="s">
        <v>2162</v>
      </c>
      <c r="Q128">
        <v>3.0345610743556801E-2</v>
      </c>
      <c r="R128">
        <v>2.6053125308581001E-2</v>
      </c>
      <c r="S128">
        <v>1.4060432507159101E-2</v>
      </c>
      <c r="T128">
        <v>1.2590105658141599E-2</v>
      </c>
      <c r="U128">
        <v>1.25348079391725E-2</v>
      </c>
      <c r="V128">
        <v>6.06694973832329E-3</v>
      </c>
      <c r="W128">
        <v>5.4724992594055496E-3</v>
      </c>
      <c r="X128">
        <v>4.0495704552187201E-3</v>
      </c>
      <c r="Y128">
        <v>4.0090846252592103E-3</v>
      </c>
      <c r="Z128">
        <v>2.57430630986472E-3</v>
      </c>
      <c r="AA128">
        <v>1.90480892663178E-3</v>
      </c>
      <c r="AB128">
        <v>1.61054606497482E-3</v>
      </c>
      <c r="AC128">
        <v>1.32023304038708E-3</v>
      </c>
      <c r="AD128">
        <v>1.11385405352029E-3</v>
      </c>
      <c r="AE128">
        <v>1.07633060136269E-3</v>
      </c>
      <c r="AF128">
        <v>364.27800000000002</v>
      </c>
      <c r="AG128">
        <v>101270</v>
      </c>
      <c r="AH128">
        <v>2.6053125308581001E-2</v>
      </c>
      <c r="AI128" t="s">
        <v>64</v>
      </c>
      <c r="AJ128" t="s">
        <v>184</v>
      </c>
      <c r="AK128">
        <v>40</v>
      </c>
    </row>
    <row r="129" spans="1:37">
      <c r="A129" t="s">
        <v>2163</v>
      </c>
      <c r="B129" t="s">
        <v>2164</v>
      </c>
      <c r="C129" t="s">
        <v>2165</v>
      </c>
      <c r="D129" t="s">
        <v>2166</v>
      </c>
      <c r="E129" t="s">
        <v>2167</v>
      </c>
      <c r="F129" t="s">
        <v>2168</v>
      </c>
      <c r="G129" t="s">
        <v>2169</v>
      </c>
      <c r="H129" t="s">
        <v>2170</v>
      </c>
      <c r="I129" t="s">
        <v>2171</v>
      </c>
      <c r="J129" t="s">
        <v>2172</v>
      </c>
      <c r="K129" t="s">
        <v>2173</v>
      </c>
      <c r="L129" t="s">
        <v>2174</v>
      </c>
      <c r="M129" t="s">
        <v>2175</v>
      </c>
      <c r="N129" t="s">
        <v>2176</v>
      </c>
      <c r="O129" t="s">
        <v>2177</v>
      </c>
      <c r="P129" t="s">
        <v>2178</v>
      </c>
      <c r="Q129">
        <v>2.31670109344502E-2</v>
      </c>
      <c r="R129">
        <v>1.4781026739184E-2</v>
      </c>
      <c r="S129">
        <v>9.6446777464041407E-3</v>
      </c>
      <c r="T129">
        <v>8.53493528397355E-3</v>
      </c>
      <c r="U129">
        <v>8.1468286304459108E-3</v>
      </c>
      <c r="V129">
        <v>5.7912789706077404E-3</v>
      </c>
      <c r="W129">
        <v>2.95514411870606E-3</v>
      </c>
      <c r="X129">
        <v>2.4673577289696601E-3</v>
      </c>
      <c r="Y129">
        <v>2.46584168735432E-3</v>
      </c>
      <c r="Z129">
        <v>2.35554965983816E-3</v>
      </c>
      <c r="AA129">
        <v>2.0697758153461298E-3</v>
      </c>
      <c r="AB129">
        <v>1.9735071727718899E-3</v>
      </c>
      <c r="AC129">
        <v>8.4595122136102603E-4</v>
      </c>
      <c r="AD129">
        <v>7.5764179726733503E-4</v>
      </c>
      <c r="AE129">
        <v>6.9851617426898395E-4</v>
      </c>
      <c r="AF129">
        <v>424.68200000000002</v>
      </c>
      <c r="AG129">
        <v>263845</v>
      </c>
      <c r="AH129">
        <v>2.31670109344502E-2</v>
      </c>
      <c r="AI129" t="s">
        <v>64</v>
      </c>
      <c r="AJ129" t="s">
        <v>184</v>
      </c>
      <c r="AK129">
        <v>40</v>
      </c>
    </row>
    <row r="130" spans="1:37">
      <c r="A130" t="s">
        <v>2179</v>
      </c>
      <c r="B130" t="s">
        <v>2180</v>
      </c>
      <c r="C130" t="s">
        <v>2181</v>
      </c>
      <c r="D130" t="s">
        <v>2182</v>
      </c>
      <c r="E130" t="s">
        <v>2183</v>
      </c>
      <c r="F130" t="s">
        <v>2184</v>
      </c>
      <c r="G130" t="s">
        <v>2185</v>
      </c>
      <c r="H130" t="s">
        <v>2186</v>
      </c>
      <c r="I130" t="s">
        <v>2187</v>
      </c>
      <c r="J130" t="s">
        <v>2188</v>
      </c>
      <c r="K130" t="s">
        <v>2189</v>
      </c>
      <c r="L130" t="s">
        <v>2190</v>
      </c>
      <c r="M130" t="s">
        <v>2191</v>
      </c>
      <c r="N130" t="s">
        <v>2192</v>
      </c>
      <c r="O130" t="s">
        <v>2193</v>
      </c>
      <c r="P130" t="s">
        <v>2194</v>
      </c>
      <c r="Q130">
        <v>1.21800933410609</v>
      </c>
      <c r="R130">
        <v>0.27325138028856399</v>
      </c>
      <c r="S130">
        <v>0.13513101302504399</v>
      </c>
      <c r="T130">
        <v>0.12720007320867499</v>
      </c>
      <c r="U130">
        <v>7.1866516182167606E-2</v>
      </c>
      <c r="V130">
        <v>6.9670255925327204E-2</v>
      </c>
      <c r="W130">
        <v>3.05036146783394E-2</v>
      </c>
      <c r="X130">
        <v>2.3304761614251299E-2</v>
      </c>
      <c r="Y130">
        <v>1.8210657962968599E-2</v>
      </c>
      <c r="Z130">
        <v>1.67769880730867E-2</v>
      </c>
      <c r="AA130">
        <v>1.6258426623554902E-2</v>
      </c>
      <c r="AB130">
        <v>1.5129792880456299E-2</v>
      </c>
      <c r="AC130">
        <v>1.31165543116859E-2</v>
      </c>
      <c r="AD130">
        <v>1.22929567153708E-2</v>
      </c>
      <c r="AE130">
        <v>1.1896409724552401E-2</v>
      </c>
      <c r="AF130">
        <v>226.142</v>
      </c>
      <c r="AG130">
        <v>3278.3</v>
      </c>
      <c r="AH130">
        <v>0</v>
      </c>
      <c r="AI130" t="s">
        <v>55</v>
      </c>
      <c r="AJ130" t="s">
        <v>193</v>
      </c>
      <c r="AK130">
        <v>39</v>
      </c>
    </row>
    <row r="131" spans="1:37">
      <c r="A131" t="s">
        <v>2195</v>
      </c>
      <c r="B131" t="s">
        <v>2180</v>
      </c>
      <c r="C131" t="s">
        <v>2181</v>
      </c>
      <c r="D131" t="s">
        <v>2196</v>
      </c>
      <c r="E131" t="s">
        <v>2183</v>
      </c>
      <c r="F131" t="s">
        <v>2197</v>
      </c>
      <c r="G131" t="s">
        <v>2198</v>
      </c>
      <c r="H131" t="s">
        <v>2199</v>
      </c>
      <c r="I131" t="s">
        <v>2200</v>
      </c>
      <c r="J131" t="s">
        <v>2201</v>
      </c>
      <c r="K131" t="s">
        <v>2202</v>
      </c>
      <c r="L131" t="s">
        <v>2203</v>
      </c>
      <c r="M131" t="s">
        <v>2187</v>
      </c>
      <c r="N131" t="s">
        <v>2188</v>
      </c>
      <c r="O131" t="s">
        <v>2189</v>
      </c>
      <c r="P131" t="s">
        <v>2190</v>
      </c>
      <c r="Q131">
        <v>1.20795014520813</v>
      </c>
      <c r="R131">
        <v>0.27099467570183899</v>
      </c>
      <c r="S131">
        <v>0.195153678606002</v>
      </c>
      <c r="T131">
        <v>0.12614956437560501</v>
      </c>
      <c r="U131">
        <v>7.7807357212003894E-2</v>
      </c>
      <c r="V131">
        <v>6.83083252662149E-2</v>
      </c>
      <c r="W131">
        <v>6.2409244917715399E-2</v>
      </c>
      <c r="X131">
        <v>5.9323572120038699E-2</v>
      </c>
      <c r="Y131">
        <v>5.5088334946757002E-2</v>
      </c>
      <c r="Z131">
        <v>3.7300338818973898E-2</v>
      </c>
      <c r="AA131">
        <v>3.2339060987415298E-2</v>
      </c>
      <c r="AB131">
        <v>2.31122942884802E-2</v>
      </c>
      <c r="AC131">
        <v>1.8060261374637E-2</v>
      </c>
      <c r="AD131">
        <v>1.66384317521781E-2</v>
      </c>
      <c r="AE131">
        <v>1.61241529525653E-2</v>
      </c>
      <c r="AF131">
        <v>226.23</v>
      </c>
      <c r="AG131">
        <v>3305.6</v>
      </c>
      <c r="AH131">
        <v>0</v>
      </c>
      <c r="AI131" t="s">
        <v>55</v>
      </c>
      <c r="AJ131" t="s">
        <v>193</v>
      </c>
      <c r="AK131">
        <v>39</v>
      </c>
    </row>
    <row r="132" spans="1:37">
      <c r="A132" t="s">
        <v>2204</v>
      </c>
      <c r="B132" t="s">
        <v>2205</v>
      </c>
      <c r="C132" t="s">
        <v>2206</v>
      </c>
      <c r="D132" t="s">
        <v>2207</v>
      </c>
      <c r="E132" t="s">
        <v>2208</v>
      </c>
      <c r="F132" t="s">
        <v>2209</v>
      </c>
      <c r="G132" t="s">
        <v>2210</v>
      </c>
      <c r="H132" t="s">
        <v>2211</v>
      </c>
      <c r="I132" t="s">
        <v>2212</v>
      </c>
      <c r="J132" t="s">
        <v>2213</v>
      </c>
      <c r="K132" t="s">
        <v>2214</v>
      </c>
      <c r="L132" t="s">
        <v>2215</v>
      </c>
      <c r="M132" t="s">
        <v>2216</v>
      </c>
      <c r="N132" t="s">
        <v>2217</v>
      </c>
      <c r="O132" t="s">
        <v>2218</v>
      </c>
      <c r="P132" t="s">
        <v>2219</v>
      </c>
      <c r="Q132">
        <v>2.0900428301072398</v>
      </c>
      <c r="R132">
        <v>0.59978750954547</v>
      </c>
      <c r="S132">
        <v>0.598658654005777</v>
      </c>
      <c r="T132">
        <v>0.338623460274246</v>
      </c>
      <c r="U132">
        <v>0.290779906371393</v>
      </c>
      <c r="V132">
        <v>0.27743284969620502</v>
      </c>
      <c r="W132">
        <v>0.109133769381454</v>
      </c>
      <c r="X132">
        <v>5.78372455924831E-2</v>
      </c>
      <c r="Y132">
        <v>3.9576347156280098E-2</v>
      </c>
      <c r="Z132">
        <v>3.7916265480261599E-2</v>
      </c>
      <c r="AA132">
        <v>2.7590557455426799E-2</v>
      </c>
      <c r="AB132">
        <v>2.62292904810917E-2</v>
      </c>
      <c r="AC132">
        <v>2.62292904810917E-2</v>
      </c>
      <c r="AD132">
        <v>2.33075467312992E-2</v>
      </c>
      <c r="AE132">
        <v>2.2510707526810302E-2</v>
      </c>
      <c r="AF132">
        <v>233.19800000000001</v>
      </c>
      <c r="AG132">
        <v>3011.9</v>
      </c>
      <c r="AH132">
        <v>0</v>
      </c>
      <c r="AI132" t="s">
        <v>55</v>
      </c>
      <c r="AJ132" t="s">
        <v>193</v>
      </c>
      <c r="AK132">
        <v>38</v>
      </c>
    </row>
    <row r="133" spans="1:37">
      <c r="A133" t="s">
        <v>2220</v>
      </c>
      <c r="B133" t="s">
        <v>579</v>
      </c>
      <c r="C133" t="s">
        <v>2221</v>
      </c>
      <c r="D133" t="s">
        <v>580</v>
      </c>
      <c r="E133" t="s">
        <v>2222</v>
      </c>
      <c r="F133" t="s">
        <v>2223</v>
      </c>
      <c r="G133" t="s">
        <v>2224</v>
      </c>
      <c r="H133" t="s">
        <v>2225</v>
      </c>
      <c r="I133" t="s">
        <v>581</v>
      </c>
      <c r="J133" t="s">
        <v>2226</v>
      </c>
      <c r="K133" t="s">
        <v>582</v>
      </c>
      <c r="L133" t="s">
        <v>2227</v>
      </c>
      <c r="M133" t="s">
        <v>2228</v>
      </c>
      <c r="N133" t="s">
        <v>588</v>
      </c>
      <c r="O133" t="s">
        <v>2229</v>
      </c>
      <c r="P133" t="s">
        <v>2230</v>
      </c>
      <c r="Q133">
        <v>1.6013485040033699</v>
      </c>
      <c r="R133">
        <v>1.25502815768303</v>
      </c>
      <c r="S133">
        <v>0.174366931004099</v>
      </c>
      <c r="T133">
        <v>0.127743937478451</v>
      </c>
      <c r="U133">
        <v>0.10196146036853999</v>
      </c>
      <c r="V133">
        <v>0.100927096502318</v>
      </c>
      <c r="W133">
        <v>8.5871355782860204E-2</v>
      </c>
      <c r="X133">
        <v>6.1142397425583299E-2</v>
      </c>
      <c r="Y133">
        <v>5.1086082059533397E-2</v>
      </c>
      <c r="Z133">
        <v>4.9323832509673197E-2</v>
      </c>
      <c r="AA133">
        <v>3.0322185189441801E-2</v>
      </c>
      <c r="AB133">
        <v>2.6165574838141199E-2</v>
      </c>
      <c r="AC133">
        <v>2.5188675631153502E-2</v>
      </c>
      <c r="AD133">
        <v>2.1185304371145099E-2</v>
      </c>
      <c r="AE133">
        <v>1.8235451863770499E-2</v>
      </c>
      <c r="AF133">
        <v>238.70599999999999</v>
      </c>
      <c r="AG133">
        <v>5220.6000000000004</v>
      </c>
      <c r="AH133">
        <v>5.1086082059533397E-2</v>
      </c>
      <c r="AI133" t="s">
        <v>41</v>
      </c>
      <c r="AJ133" t="s">
        <v>193</v>
      </c>
      <c r="AK133">
        <v>37</v>
      </c>
    </row>
    <row r="134" spans="1:37">
      <c r="A134" t="s">
        <v>2231</v>
      </c>
      <c r="B134" t="s">
        <v>2232</v>
      </c>
      <c r="C134" t="s">
        <v>2233</v>
      </c>
      <c r="D134" t="s">
        <v>2234</v>
      </c>
      <c r="E134" t="s">
        <v>2235</v>
      </c>
      <c r="F134" t="s">
        <v>2236</v>
      </c>
      <c r="G134" t="s">
        <v>2237</v>
      </c>
      <c r="H134" t="s">
        <v>2238</v>
      </c>
      <c r="I134" t="s">
        <v>2239</v>
      </c>
      <c r="J134" t="s">
        <v>2240</v>
      </c>
      <c r="K134" t="s">
        <v>2241</v>
      </c>
      <c r="L134" t="s">
        <v>2242</v>
      </c>
      <c r="M134" t="s">
        <v>2243</v>
      </c>
      <c r="N134" t="s">
        <v>2244</v>
      </c>
      <c r="O134" t="s">
        <v>2245</v>
      </c>
      <c r="P134" t="s">
        <v>2246</v>
      </c>
      <c r="Q134">
        <v>1.0614084331337299</v>
      </c>
      <c r="R134">
        <v>0.143088822355289</v>
      </c>
      <c r="S134">
        <v>9.8147455089820396E-2</v>
      </c>
      <c r="T134">
        <v>5.58570359281437E-2</v>
      </c>
      <c r="U134">
        <v>3.8828592814371302E-2</v>
      </c>
      <c r="V134">
        <v>3.2747005988023999E-2</v>
      </c>
      <c r="W134">
        <v>1.92115768463074E-2</v>
      </c>
      <c r="X134">
        <v>1.7652195608782398E-2</v>
      </c>
      <c r="Y134">
        <v>1.5780938123752499E-2</v>
      </c>
      <c r="Z134">
        <v>1.4533433133732499E-2</v>
      </c>
      <c r="AA134">
        <v>1.3379491017964099E-2</v>
      </c>
      <c r="AB134">
        <v>1.29740518962076E-2</v>
      </c>
      <c r="AC134">
        <v>1.1851297405189601E-2</v>
      </c>
      <c r="AD134">
        <v>9.3874750499001996E-3</v>
      </c>
      <c r="AE134">
        <v>7.8904690618762496E-3</v>
      </c>
      <c r="AF134">
        <v>240.06299999999999</v>
      </c>
      <c r="AG134">
        <v>3206.4</v>
      </c>
      <c r="AH134">
        <v>5.58570359281437E-2</v>
      </c>
      <c r="AI134" t="s">
        <v>41</v>
      </c>
      <c r="AJ134" t="s">
        <v>193</v>
      </c>
      <c r="AK134">
        <v>40</v>
      </c>
    </row>
    <row r="135" spans="1:37">
      <c r="A135" t="s">
        <v>2247</v>
      </c>
      <c r="B135" t="s">
        <v>2248</v>
      </c>
      <c r="C135" t="s">
        <v>2249</v>
      </c>
      <c r="D135" t="s">
        <v>2250</v>
      </c>
      <c r="E135" t="s">
        <v>2251</v>
      </c>
      <c r="F135" t="s">
        <v>2252</v>
      </c>
      <c r="G135" t="s">
        <v>2253</v>
      </c>
      <c r="H135" t="s">
        <v>2254</v>
      </c>
      <c r="I135" t="s">
        <v>2255</v>
      </c>
      <c r="J135" t="s">
        <v>2256</v>
      </c>
      <c r="K135" t="s">
        <v>2257</v>
      </c>
      <c r="L135" t="s">
        <v>2258</v>
      </c>
      <c r="M135" t="s">
        <v>2259</v>
      </c>
      <c r="N135" t="s">
        <v>2260</v>
      </c>
      <c r="O135" t="s">
        <v>2261</v>
      </c>
      <c r="P135" t="s">
        <v>2262</v>
      </c>
      <c r="Q135">
        <v>0.17783382789317501</v>
      </c>
      <c r="R135">
        <v>0.12137982195845699</v>
      </c>
      <c r="S135">
        <v>0.108204747774481</v>
      </c>
      <c r="T135">
        <v>8.6127596439169202E-2</v>
      </c>
      <c r="U135">
        <v>6.09792284866469E-2</v>
      </c>
      <c r="V135">
        <v>4.78486646884273E-2</v>
      </c>
      <c r="W135">
        <v>3.76557863501484E-2</v>
      </c>
      <c r="X135">
        <v>3.1305637982195801E-2</v>
      </c>
      <c r="Y135">
        <v>2.7477744807121701E-2</v>
      </c>
      <c r="Z135">
        <v>2.25370919881306E-2</v>
      </c>
      <c r="AA135">
        <v>2.24480712166172E-2</v>
      </c>
      <c r="AB135">
        <v>2.1261127596439201E-2</v>
      </c>
      <c r="AC135">
        <v>1.26706231454006E-2</v>
      </c>
      <c r="AD135">
        <v>1.10682492581602E-2</v>
      </c>
      <c r="AE135">
        <v>7.7744807121661701E-3</v>
      </c>
      <c r="AF135">
        <v>263.55799999999999</v>
      </c>
      <c r="AG135">
        <v>6740</v>
      </c>
      <c r="AH135">
        <v>0.12137982195845699</v>
      </c>
      <c r="AI135" t="s">
        <v>41</v>
      </c>
      <c r="AJ135" t="s">
        <v>193</v>
      </c>
      <c r="AK135">
        <v>40</v>
      </c>
    </row>
    <row r="136" spans="1:37">
      <c r="A136" t="s">
        <v>2263</v>
      </c>
      <c r="B136" t="s">
        <v>2264</v>
      </c>
      <c r="C136" t="s">
        <v>2265</v>
      </c>
      <c r="D136" t="s">
        <v>2266</v>
      </c>
      <c r="E136" t="s">
        <v>2267</v>
      </c>
      <c r="F136" t="s">
        <v>2268</v>
      </c>
      <c r="G136" t="s">
        <v>2269</v>
      </c>
      <c r="H136" t="s">
        <v>2270</v>
      </c>
      <c r="I136" t="s">
        <v>2271</v>
      </c>
      <c r="J136" t="s">
        <v>2272</v>
      </c>
      <c r="K136" t="s">
        <v>2273</v>
      </c>
      <c r="L136" t="s">
        <v>2274</v>
      </c>
      <c r="M136" t="s">
        <v>2275</v>
      </c>
      <c r="N136" t="s">
        <v>2276</v>
      </c>
      <c r="O136" t="s">
        <v>2277</v>
      </c>
      <c r="P136" t="s">
        <v>2278</v>
      </c>
      <c r="Q136">
        <v>0.344846531389642</v>
      </c>
      <c r="R136">
        <v>0.116255219397846</v>
      </c>
      <c r="S136">
        <v>7.6075012819573698E-2</v>
      </c>
      <c r="T136">
        <v>7.5659902815422606E-2</v>
      </c>
      <c r="U136">
        <v>4.4721998388396501E-2</v>
      </c>
      <c r="V136">
        <v>4.4721998388396501E-2</v>
      </c>
      <c r="W136">
        <v>3.86662759748981E-2</v>
      </c>
      <c r="X136">
        <v>3.7909310673210801E-2</v>
      </c>
      <c r="Y136">
        <v>3.1377432666715499E-2</v>
      </c>
      <c r="Z136">
        <v>2.3197323761384999E-2</v>
      </c>
      <c r="AA136">
        <v>2.0425854027788001E-2</v>
      </c>
      <c r="AB136">
        <v>2.0035162259175201E-2</v>
      </c>
      <c r="AC136">
        <v>1.54811613312822E-2</v>
      </c>
      <c r="AD136">
        <v>1.4089321905599099E-2</v>
      </c>
      <c r="AE136">
        <v>1.25876004199937E-2</v>
      </c>
      <c r="AF136">
        <v>268.517</v>
      </c>
      <c r="AG136">
        <v>8190.6</v>
      </c>
      <c r="AH136">
        <v>4.4721998388396501E-2</v>
      </c>
      <c r="AI136" t="s">
        <v>64</v>
      </c>
      <c r="AJ136" t="s">
        <v>193</v>
      </c>
      <c r="AK136">
        <v>38</v>
      </c>
    </row>
    <row r="137" spans="1:37">
      <c r="A137" t="s">
        <v>2279</v>
      </c>
      <c r="B137" t="s">
        <v>2280</v>
      </c>
      <c r="C137" t="s">
        <v>2281</v>
      </c>
      <c r="D137" t="s">
        <v>2282</v>
      </c>
      <c r="E137" t="s">
        <v>2283</v>
      </c>
      <c r="F137" t="s">
        <v>2284</v>
      </c>
      <c r="G137" t="s">
        <v>2285</v>
      </c>
      <c r="H137" t="s">
        <v>2286</v>
      </c>
      <c r="I137" t="s">
        <v>2287</v>
      </c>
      <c r="J137" t="s">
        <v>2288</v>
      </c>
      <c r="K137" t="s">
        <v>2289</v>
      </c>
      <c r="L137" t="s">
        <v>2290</v>
      </c>
      <c r="M137" t="s">
        <v>2291</v>
      </c>
      <c r="N137" t="s">
        <v>2292</v>
      </c>
      <c r="O137" t="s">
        <v>2293</v>
      </c>
      <c r="P137" t="s">
        <v>2294</v>
      </c>
      <c r="Q137">
        <v>0.78688858908794301</v>
      </c>
      <c r="R137">
        <v>0.50629059078216698</v>
      </c>
      <c r="S137">
        <v>0.32990305274056397</v>
      </c>
      <c r="T137">
        <v>0.29899915288802398</v>
      </c>
      <c r="U137">
        <v>0.229206538449471</v>
      </c>
      <c r="V137">
        <v>0.12502745270291499</v>
      </c>
      <c r="W137">
        <v>0.10198286951338099</v>
      </c>
      <c r="X137">
        <v>9.89709158221692E-2</v>
      </c>
      <c r="Y137">
        <v>9.8343425469833406E-2</v>
      </c>
      <c r="Z137">
        <v>9.4170614626800098E-2</v>
      </c>
      <c r="AA137">
        <v>9.1519467888181202E-2</v>
      </c>
      <c r="AB137">
        <v>8.2499294073353602E-2</v>
      </c>
      <c r="AC137">
        <v>7.9738336523076006E-2</v>
      </c>
      <c r="AD137">
        <v>7.6867568161139502E-2</v>
      </c>
      <c r="AE137">
        <v>5.9313525554544597E-2</v>
      </c>
      <c r="AF137">
        <v>321.89299999999997</v>
      </c>
      <c r="AG137">
        <v>6374.6</v>
      </c>
      <c r="AH137">
        <v>0.32990305274056397</v>
      </c>
      <c r="AI137" t="s">
        <v>28</v>
      </c>
      <c r="AJ137" t="s">
        <v>201</v>
      </c>
      <c r="AK137">
        <v>39</v>
      </c>
    </row>
    <row r="138" spans="1:37">
      <c r="A138" t="s">
        <v>2295</v>
      </c>
      <c r="B138" t="s">
        <v>2296</v>
      </c>
      <c r="C138" t="s">
        <v>2281</v>
      </c>
      <c r="D138" t="s">
        <v>2297</v>
      </c>
      <c r="E138" t="s">
        <v>2298</v>
      </c>
      <c r="F138" t="s">
        <v>2282</v>
      </c>
      <c r="G138" t="s">
        <v>2299</v>
      </c>
      <c r="H138" t="s">
        <v>2300</v>
      </c>
      <c r="I138" t="s">
        <v>2301</v>
      </c>
      <c r="J138" t="s">
        <v>2302</v>
      </c>
      <c r="K138" t="s">
        <v>2285</v>
      </c>
      <c r="L138" t="s">
        <v>2286</v>
      </c>
      <c r="M138" t="s">
        <v>2287</v>
      </c>
      <c r="N138" t="s">
        <v>2288</v>
      </c>
      <c r="O138" t="s">
        <v>2303</v>
      </c>
      <c r="P138" t="s">
        <v>2292</v>
      </c>
      <c r="Q138">
        <v>0.77833897931979101</v>
      </c>
      <c r="R138">
        <v>0.39469725690665203</v>
      </c>
      <c r="S138">
        <v>0.28531595103278801</v>
      </c>
      <c r="T138">
        <v>0.27706098888331798</v>
      </c>
      <c r="U138">
        <v>0.25718793185681599</v>
      </c>
      <c r="V138">
        <v>0.14692609668700901</v>
      </c>
      <c r="W138">
        <v>0.13432963592559499</v>
      </c>
      <c r="X138">
        <v>0.13299661240812499</v>
      </c>
      <c r="Y138">
        <v>0.12694297349851399</v>
      </c>
      <c r="Z138">
        <v>9.7469701231518102E-2</v>
      </c>
      <c r="AA138">
        <v>7.95044576795607E-2</v>
      </c>
      <c r="AB138">
        <v>7.7156379557044893E-2</v>
      </c>
      <c r="AC138">
        <v>7.6667196614853994E-2</v>
      </c>
      <c r="AD138">
        <v>6.8241020435617403E-2</v>
      </c>
      <c r="AE138">
        <v>6.2162922378896701E-2</v>
      </c>
      <c r="AF138">
        <v>321.99799999999999</v>
      </c>
      <c r="AG138">
        <v>8176.9</v>
      </c>
      <c r="AH138">
        <v>0.77833897931979101</v>
      </c>
      <c r="AI138" t="s">
        <v>28</v>
      </c>
      <c r="AJ138" t="s">
        <v>201</v>
      </c>
      <c r="AK138">
        <v>39</v>
      </c>
    </row>
    <row r="139" spans="1:37">
      <c r="A139" t="s">
        <v>2304</v>
      </c>
      <c r="B139" t="s">
        <v>2305</v>
      </c>
      <c r="C139" t="s">
        <v>2306</v>
      </c>
      <c r="D139" t="s">
        <v>2307</v>
      </c>
      <c r="E139" t="s">
        <v>2308</v>
      </c>
      <c r="F139" t="s">
        <v>2309</v>
      </c>
      <c r="G139" t="s">
        <v>2310</v>
      </c>
      <c r="H139" t="s">
        <v>2311</v>
      </c>
      <c r="I139" t="s">
        <v>2312</v>
      </c>
      <c r="J139" t="s">
        <v>2313</v>
      </c>
      <c r="K139" t="s">
        <v>2314</v>
      </c>
      <c r="L139" t="s">
        <v>2315</v>
      </c>
      <c r="M139" t="s">
        <v>2316</v>
      </c>
      <c r="N139" t="s">
        <v>2317</v>
      </c>
      <c r="O139" t="s">
        <v>2318</v>
      </c>
      <c r="P139" t="s">
        <v>2319</v>
      </c>
      <c r="Q139">
        <v>22.457528850932299</v>
      </c>
      <c r="R139">
        <v>0.50028528832526498</v>
      </c>
      <c r="S139">
        <v>0.36458007399090803</v>
      </c>
      <c r="T139">
        <v>0.16727098709760499</v>
      </c>
      <c r="U139">
        <v>0.135051812041008</v>
      </c>
      <c r="V139">
        <v>0.13146270085218401</v>
      </c>
      <c r="W139">
        <v>0.12166166645193401</v>
      </c>
      <c r="X139">
        <v>9.3721816274318498E-2</v>
      </c>
      <c r="Y139">
        <v>8.2144631978060406E-2</v>
      </c>
      <c r="Z139">
        <v>5.9487217242458298E-2</v>
      </c>
      <c r="AA139">
        <v>5.3422539618265798E-2</v>
      </c>
      <c r="AB139">
        <v>5.1431963335848797E-2</v>
      </c>
      <c r="AC139">
        <v>3.52653181424969E-2</v>
      </c>
      <c r="AD139">
        <v>3.49064070236145E-2</v>
      </c>
      <c r="AE139">
        <v>1.9445620364064699E-2</v>
      </c>
      <c r="AF139">
        <v>332.44</v>
      </c>
      <c r="AG139">
        <v>10866.2</v>
      </c>
      <c r="AH139">
        <v>0.36458007399090803</v>
      </c>
      <c r="AI139" t="s">
        <v>28</v>
      </c>
      <c r="AJ139" t="s">
        <v>201</v>
      </c>
      <c r="AK139">
        <v>40</v>
      </c>
    </row>
    <row r="140" spans="1:37">
      <c r="A140" t="s">
        <v>2320</v>
      </c>
      <c r="B140" t="s">
        <v>2321</v>
      </c>
      <c r="C140" t="s">
        <v>2322</v>
      </c>
      <c r="D140" t="s">
        <v>2323</v>
      </c>
      <c r="E140" t="s">
        <v>2324</v>
      </c>
      <c r="F140" t="s">
        <v>1668</v>
      </c>
      <c r="G140" t="s">
        <v>2325</v>
      </c>
      <c r="H140" t="s">
        <v>2326</v>
      </c>
      <c r="I140" t="s">
        <v>2327</v>
      </c>
      <c r="J140" t="s">
        <v>1669</v>
      </c>
      <c r="K140" t="s">
        <v>2328</v>
      </c>
      <c r="L140" t="s">
        <v>1671</v>
      </c>
      <c r="M140" t="s">
        <v>1672</v>
      </c>
      <c r="N140" t="s">
        <v>1673</v>
      </c>
      <c r="O140" t="s">
        <v>2329</v>
      </c>
      <c r="P140" t="s">
        <v>2330</v>
      </c>
      <c r="Q140">
        <v>0.108275784339843</v>
      </c>
      <c r="R140">
        <v>4.9980532387958798E-2</v>
      </c>
      <c r="S140">
        <v>4.6676161396749898E-2</v>
      </c>
      <c r="T140">
        <v>4.6271439988524399E-2</v>
      </c>
      <c r="U140">
        <v>2.9175802782843901E-2</v>
      </c>
      <c r="V140">
        <v>2.7587655484743501E-2</v>
      </c>
      <c r="W140">
        <v>2.5692124838623698E-2</v>
      </c>
      <c r="X140">
        <v>2.4547121867251401E-2</v>
      </c>
      <c r="Y140">
        <v>2.24774073239206E-2</v>
      </c>
      <c r="Z140">
        <v>1.67421463554581E-2</v>
      </c>
      <c r="AA140">
        <v>1.27436013033054E-2</v>
      </c>
      <c r="AB140">
        <v>1.14269759626222E-2</v>
      </c>
      <c r="AC140">
        <v>1.0717432734277299E-2</v>
      </c>
      <c r="AD140">
        <v>1.0271726879649201E-2</v>
      </c>
      <c r="AE140">
        <v>7.9125596836000702E-3</v>
      </c>
      <c r="AF140">
        <v>350.91399999999999</v>
      </c>
      <c r="AG140">
        <v>39039.199999999997</v>
      </c>
      <c r="AH140">
        <v>2.7587655484743501E-2</v>
      </c>
      <c r="AI140" t="s">
        <v>64</v>
      </c>
      <c r="AJ140" t="s">
        <v>201</v>
      </c>
      <c r="AK140">
        <v>40</v>
      </c>
    </row>
    <row r="141" spans="1:37">
      <c r="A141" t="s">
        <v>2331</v>
      </c>
      <c r="B141" t="s">
        <v>2332</v>
      </c>
      <c r="C141" t="s">
        <v>2333</v>
      </c>
      <c r="D141" t="s">
        <v>2334</v>
      </c>
      <c r="E141" t="s">
        <v>2335</v>
      </c>
      <c r="F141" t="s">
        <v>2336</v>
      </c>
      <c r="G141" t="s">
        <v>2337</v>
      </c>
      <c r="H141" t="s">
        <v>2338</v>
      </c>
      <c r="I141" t="s">
        <v>2339</v>
      </c>
      <c r="J141" t="s">
        <v>2340</v>
      </c>
      <c r="K141" t="s">
        <v>2341</v>
      </c>
      <c r="L141" t="s">
        <v>2342</v>
      </c>
      <c r="M141" t="s">
        <v>2343</v>
      </c>
      <c r="N141" t="s">
        <v>2344</v>
      </c>
      <c r="O141" t="s">
        <v>2345</v>
      </c>
      <c r="P141" t="s">
        <v>2346</v>
      </c>
      <c r="Q141">
        <v>0.72770780856423201</v>
      </c>
      <c r="R141">
        <v>0.39916036943744798</v>
      </c>
      <c r="S141">
        <v>0.36943744752308999</v>
      </c>
      <c r="T141">
        <v>0.27551877174043399</v>
      </c>
      <c r="U141">
        <v>0.140494182559674</v>
      </c>
      <c r="V141">
        <v>0.13665587141657701</v>
      </c>
      <c r="W141">
        <v>0.11227060093558799</v>
      </c>
      <c r="X141">
        <v>7.3743552836751797E-2</v>
      </c>
      <c r="Y141">
        <v>6.5683099436248102E-2</v>
      </c>
      <c r="Z141">
        <v>4.29411059133981E-2</v>
      </c>
      <c r="AA141">
        <v>4.1213865899004401E-2</v>
      </c>
      <c r="AB141">
        <v>2.6892167446323601E-2</v>
      </c>
      <c r="AC141">
        <v>2.1518531845987801E-2</v>
      </c>
      <c r="AD141">
        <v>1.9623365719083598E-2</v>
      </c>
      <c r="AE141">
        <v>1.8136020151133501E-2</v>
      </c>
      <c r="AF141">
        <v>356.17</v>
      </c>
      <c r="AG141">
        <v>8337</v>
      </c>
      <c r="AH141">
        <v>0.39916036943744798</v>
      </c>
      <c r="AI141" t="s">
        <v>28</v>
      </c>
      <c r="AJ141" t="s">
        <v>201</v>
      </c>
      <c r="AK141">
        <v>39</v>
      </c>
    </row>
    <row r="142" spans="1:37">
      <c r="A142" t="s">
        <v>2347</v>
      </c>
      <c r="B142" t="s">
        <v>2348</v>
      </c>
      <c r="C142" t="s">
        <v>2349</v>
      </c>
      <c r="D142" t="s">
        <v>2350</v>
      </c>
      <c r="E142" t="s">
        <v>2351</v>
      </c>
      <c r="F142" t="s">
        <v>2352</v>
      </c>
      <c r="G142" t="s">
        <v>2353</v>
      </c>
      <c r="H142" t="s">
        <v>2354</v>
      </c>
      <c r="I142" t="s">
        <v>2355</v>
      </c>
      <c r="J142" t="s">
        <v>2356</v>
      </c>
      <c r="K142" t="s">
        <v>2357</v>
      </c>
      <c r="L142" t="s">
        <v>2358</v>
      </c>
      <c r="M142" t="s">
        <v>2359</v>
      </c>
      <c r="N142" t="s">
        <v>2360</v>
      </c>
      <c r="O142" t="s">
        <v>2361</v>
      </c>
      <c r="P142" t="s">
        <v>2362</v>
      </c>
      <c r="Q142">
        <v>4.4258567928238701</v>
      </c>
      <c r="R142">
        <v>1.3543583649690301</v>
      </c>
      <c r="S142">
        <v>1.15550040486682</v>
      </c>
      <c r="T142">
        <v>0.65921781834625104</v>
      </c>
      <c r="U142">
        <v>0.22367577003564901</v>
      </c>
      <c r="V142">
        <v>0.180192022546349</v>
      </c>
      <c r="W142">
        <v>0.16161021315974899</v>
      </c>
      <c r="X142">
        <v>0.11658061056018899</v>
      </c>
      <c r="Y142">
        <v>7.5031810964003701E-2</v>
      </c>
      <c r="Z142">
        <v>6.25282618068628E-2</v>
      </c>
      <c r="AA142">
        <v>4.7017130598466801E-2</v>
      </c>
      <c r="AB142">
        <v>4.0276361036038398E-2</v>
      </c>
      <c r="AC142">
        <v>3.8646377756512099E-2</v>
      </c>
      <c r="AD142">
        <v>3.54074432397758E-2</v>
      </c>
      <c r="AE142">
        <v>3.4702869822174097E-2</v>
      </c>
      <c r="AF142">
        <v>356.851</v>
      </c>
      <c r="AG142">
        <v>9509.2999999999993</v>
      </c>
      <c r="AH142">
        <v>0.22367577003564901</v>
      </c>
      <c r="AI142" t="s">
        <v>28</v>
      </c>
      <c r="AJ142" t="s">
        <v>201</v>
      </c>
      <c r="AK142">
        <v>38</v>
      </c>
    </row>
    <row r="143" spans="1:37">
      <c r="A143" t="s">
        <v>2363</v>
      </c>
      <c r="B143" t="s">
        <v>2364</v>
      </c>
      <c r="C143" t="s">
        <v>2365</v>
      </c>
      <c r="D143" t="s">
        <v>2366</v>
      </c>
      <c r="E143" t="s">
        <v>2367</v>
      </c>
      <c r="F143" t="s">
        <v>2368</v>
      </c>
      <c r="G143" t="s">
        <v>2369</v>
      </c>
      <c r="H143" t="s">
        <v>2370</v>
      </c>
      <c r="I143" t="s">
        <v>2371</v>
      </c>
      <c r="J143" t="s">
        <v>2372</v>
      </c>
      <c r="K143" t="s">
        <v>2373</v>
      </c>
      <c r="L143" t="s">
        <v>2374</v>
      </c>
      <c r="M143" t="s">
        <v>2375</v>
      </c>
      <c r="N143" t="s">
        <v>2376</v>
      </c>
      <c r="O143" t="s">
        <v>2377</v>
      </c>
      <c r="P143" t="s">
        <v>2378</v>
      </c>
      <c r="Q143">
        <v>26.439852713178301</v>
      </c>
      <c r="R143">
        <v>9.4957674418604707</v>
      </c>
      <c r="S143">
        <v>0.88530232558139499</v>
      </c>
      <c r="T143">
        <v>0.400193798449612</v>
      </c>
      <c r="U143">
        <v>0.33527131782945702</v>
      </c>
      <c r="V143">
        <v>0.27939534883720901</v>
      </c>
      <c r="W143">
        <v>0.26327906976744198</v>
      </c>
      <c r="X143">
        <v>0.18864341085271299</v>
      </c>
      <c r="Y143">
        <v>0.17520155038759699</v>
      </c>
      <c r="Z143">
        <v>0.17156589147286799</v>
      </c>
      <c r="AA143">
        <v>9.1635658914728704E-2</v>
      </c>
      <c r="AB143">
        <v>8.1395348837209294E-2</v>
      </c>
      <c r="AC143">
        <v>7.1201550387596901E-2</v>
      </c>
      <c r="AD143">
        <v>6.4310077519379893E-2</v>
      </c>
      <c r="AE143">
        <v>5.7596899224806201E-2</v>
      </c>
      <c r="AF143">
        <v>360.04399999999998</v>
      </c>
      <c r="AG143">
        <v>12900</v>
      </c>
      <c r="AH143">
        <v>26.439852713178301</v>
      </c>
      <c r="AI143" t="s">
        <v>28</v>
      </c>
      <c r="AJ143" t="s">
        <v>201</v>
      </c>
      <c r="AK143">
        <v>39</v>
      </c>
    </row>
    <row r="144" spans="1:37">
      <c r="A144" t="s">
        <v>2379</v>
      </c>
      <c r="B144" t="s">
        <v>2380</v>
      </c>
      <c r="C144" t="s">
        <v>2381</v>
      </c>
      <c r="D144" t="s">
        <v>2382</v>
      </c>
      <c r="E144" t="s">
        <v>2383</v>
      </c>
      <c r="F144" t="s">
        <v>2384</v>
      </c>
      <c r="G144" t="s">
        <v>2385</v>
      </c>
      <c r="H144" t="s">
        <v>2386</v>
      </c>
      <c r="I144" t="s">
        <v>2387</v>
      </c>
      <c r="J144" t="s">
        <v>2388</v>
      </c>
      <c r="K144" t="s">
        <v>2389</v>
      </c>
      <c r="L144" t="s">
        <v>2390</v>
      </c>
      <c r="M144" t="s">
        <v>2391</v>
      </c>
      <c r="N144" t="s">
        <v>2392</v>
      </c>
      <c r="O144" t="s">
        <v>2393</v>
      </c>
      <c r="P144" t="s">
        <v>2394</v>
      </c>
      <c r="Q144">
        <v>0.26623548230057698</v>
      </c>
      <c r="R144">
        <v>0.16783735540255501</v>
      </c>
      <c r="S144">
        <v>0.112339754734914</v>
      </c>
      <c r="T144">
        <v>0.100261956093377</v>
      </c>
      <c r="U144">
        <v>8.8165611887706594E-2</v>
      </c>
      <c r="V144">
        <v>4.87887428425713E-2</v>
      </c>
      <c r="W144">
        <v>4.4003987296288599E-2</v>
      </c>
      <c r="X144">
        <v>4.2724343371119897E-2</v>
      </c>
      <c r="Y144">
        <v>2.63764285879871E-2</v>
      </c>
      <c r="Z144">
        <v>2.1675128080302301E-2</v>
      </c>
      <c r="AA144">
        <v>1.8397199619815899E-2</v>
      </c>
      <c r="AB144">
        <v>1.7724922919999098E-2</v>
      </c>
      <c r="AC144">
        <v>1.4604631754642199E-2</v>
      </c>
      <c r="AD144">
        <v>1.3936991445858599E-2</v>
      </c>
      <c r="AE144">
        <v>1.2448709924195001E-2</v>
      </c>
      <c r="AF144">
        <v>367.63600000000002</v>
      </c>
      <c r="AG144">
        <v>21568.5</v>
      </c>
      <c r="AH144">
        <v>0.26623548230057698</v>
      </c>
      <c r="AI144" t="s">
        <v>28</v>
      </c>
      <c r="AJ144" t="s">
        <v>201</v>
      </c>
      <c r="AK144">
        <v>37</v>
      </c>
    </row>
    <row r="145" spans="1:37">
      <c r="A145" t="s">
        <v>2395</v>
      </c>
      <c r="B145" t="s">
        <v>2396</v>
      </c>
      <c r="C145" t="s">
        <v>2397</v>
      </c>
      <c r="D145" t="s">
        <v>2398</v>
      </c>
      <c r="E145" t="s">
        <v>2399</v>
      </c>
      <c r="F145" t="s">
        <v>2400</v>
      </c>
      <c r="G145" t="s">
        <v>2401</v>
      </c>
      <c r="H145" t="s">
        <v>2402</v>
      </c>
      <c r="I145" t="s">
        <v>2403</v>
      </c>
      <c r="J145" t="s">
        <v>2404</v>
      </c>
      <c r="K145" t="s">
        <v>2405</v>
      </c>
      <c r="L145" t="s">
        <v>2406</v>
      </c>
      <c r="M145" t="s">
        <v>2407</v>
      </c>
      <c r="N145" t="s">
        <v>2408</v>
      </c>
      <c r="O145" t="s">
        <v>2409</v>
      </c>
      <c r="P145" t="s">
        <v>2410</v>
      </c>
      <c r="Q145">
        <v>1.6744423936489601</v>
      </c>
      <c r="R145">
        <v>9.4843114145300098E-2</v>
      </c>
      <c r="S145">
        <v>9.0529031110320402E-2</v>
      </c>
      <c r="T145">
        <v>8.7927238764482205E-2</v>
      </c>
      <c r="U145">
        <v>6.9188403863402206E-2</v>
      </c>
      <c r="V145">
        <v>6.8506452593268E-2</v>
      </c>
      <c r="W145">
        <v>5.84699089002053E-2</v>
      </c>
      <c r="X145">
        <v>5.1494733408941E-2</v>
      </c>
      <c r="Y145">
        <v>4.4134107199774703E-2</v>
      </c>
      <c r="Z145">
        <v>3.7188581763733498E-2</v>
      </c>
      <c r="AA145">
        <v>3.3363724639937101E-2</v>
      </c>
      <c r="AB145">
        <v>2.4928283928928801E-2</v>
      </c>
      <c r="AC145">
        <v>2.09477640152105E-2</v>
      </c>
      <c r="AD145">
        <v>1.5981379765319801E-2</v>
      </c>
      <c r="AE145">
        <v>1.1585759078476299E-2</v>
      </c>
      <c r="AF145">
        <v>370.28500000000003</v>
      </c>
      <c r="AG145">
        <v>13490.7</v>
      </c>
      <c r="AH145">
        <v>1.6744423936489601</v>
      </c>
      <c r="AI145" t="s">
        <v>28</v>
      </c>
      <c r="AJ145" t="s">
        <v>201</v>
      </c>
      <c r="AK145">
        <v>40</v>
      </c>
    </row>
    <row r="146" spans="1:37">
      <c r="A146" t="s">
        <v>2411</v>
      </c>
      <c r="B146" t="s">
        <v>2412</v>
      </c>
      <c r="C146" t="s">
        <v>2413</v>
      </c>
      <c r="D146" t="s">
        <v>2414</v>
      </c>
      <c r="E146" t="s">
        <v>2415</v>
      </c>
      <c r="F146" t="s">
        <v>2416</v>
      </c>
      <c r="G146" t="s">
        <v>2417</v>
      </c>
      <c r="H146" t="s">
        <v>2418</v>
      </c>
      <c r="I146" t="s">
        <v>2419</v>
      </c>
      <c r="J146" t="s">
        <v>2420</v>
      </c>
      <c r="K146" t="s">
        <v>2421</v>
      </c>
      <c r="L146" t="s">
        <v>2422</v>
      </c>
      <c r="M146" t="s">
        <v>2423</v>
      </c>
      <c r="N146" t="s">
        <v>2424</v>
      </c>
      <c r="O146" t="s">
        <v>2425</v>
      </c>
      <c r="P146" t="s">
        <v>2426</v>
      </c>
      <c r="Q146">
        <v>1.74874828153906</v>
      </c>
      <c r="R146">
        <v>0.525399276973472</v>
      </c>
      <c r="S146">
        <v>0.19751693002257301</v>
      </c>
      <c r="T146">
        <v>0.149807362650418</v>
      </c>
      <c r="U146">
        <v>0.13868191924506501</v>
      </c>
      <c r="V146">
        <v>9.2762945739065503E-2</v>
      </c>
      <c r="W146">
        <v>6.9043941682649101E-2</v>
      </c>
      <c r="X146">
        <v>6.8993024321526195E-2</v>
      </c>
      <c r="Y146">
        <v>5.5746024202718999E-2</v>
      </c>
      <c r="Z146">
        <v>3.5107520494237897E-2</v>
      </c>
      <c r="AA146">
        <v>3.0966241789575501E-2</v>
      </c>
      <c r="AB146">
        <v>2.9947894567117599E-2</v>
      </c>
      <c r="AC146">
        <v>2.99054634328485E-2</v>
      </c>
      <c r="AD146">
        <v>1.9654101393438501E-2</v>
      </c>
      <c r="AE146">
        <v>1.64123627352806E-2</v>
      </c>
      <c r="AF146">
        <v>384.87299999999999</v>
      </c>
      <c r="AG146">
        <v>11783.8</v>
      </c>
      <c r="AH146">
        <v>0.525399276973472</v>
      </c>
      <c r="AI146" t="s">
        <v>28</v>
      </c>
      <c r="AJ146" t="s">
        <v>201</v>
      </c>
      <c r="AK146">
        <v>35</v>
      </c>
    </row>
    <row r="147" spans="1:37">
      <c r="A147" t="s">
        <v>2427</v>
      </c>
      <c r="B147" t="s">
        <v>2428</v>
      </c>
      <c r="C147" t="s">
        <v>2429</v>
      </c>
      <c r="D147" t="s">
        <v>693</v>
      </c>
      <c r="E147" t="s">
        <v>2430</v>
      </c>
      <c r="F147" t="s">
        <v>2431</v>
      </c>
      <c r="G147" t="s">
        <v>695</v>
      </c>
      <c r="H147" t="s">
        <v>2432</v>
      </c>
      <c r="I147" t="s">
        <v>2433</v>
      </c>
      <c r="J147" t="s">
        <v>698</v>
      </c>
      <c r="K147" t="s">
        <v>2434</v>
      </c>
      <c r="L147" t="s">
        <v>2435</v>
      </c>
      <c r="M147" t="s">
        <v>700</v>
      </c>
      <c r="N147" t="s">
        <v>702</v>
      </c>
      <c r="O147" t="s">
        <v>2436</v>
      </c>
      <c r="P147" t="s">
        <v>704</v>
      </c>
      <c r="Q147">
        <v>0.18646421068729299</v>
      </c>
      <c r="R147">
        <v>0.153564443299716</v>
      </c>
      <c r="S147">
        <v>0.13526130665400299</v>
      </c>
      <c r="T147">
        <v>9.3515828108273399E-2</v>
      </c>
      <c r="U147">
        <v>8.7169291940663696E-2</v>
      </c>
      <c r="V147">
        <v>7.2902664981769297E-2</v>
      </c>
      <c r="W147">
        <v>6.7876143946040399E-2</v>
      </c>
      <c r="X147">
        <v>6.6109416376236504E-2</v>
      </c>
      <c r="Y147">
        <v>4.69168792910553E-2</v>
      </c>
      <c r="Z147">
        <v>3.60187055802835E-2</v>
      </c>
      <c r="AA147">
        <v>3.1716583092537901E-2</v>
      </c>
      <c r="AB147">
        <v>2.0717798472323998E-2</v>
      </c>
      <c r="AC147">
        <v>1.3425519755958199E-2</v>
      </c>
      <c r="AD147">
        <v>1.31397847731425E-2</v>
      </c>
      <c r="AE147">
        <v>1.29949050635459E-2</v>
      </c>
      <c r="AF147">
        <v>387.41699999999997</v>
      </c>
      <c r="AG147">
        <v>24848.2</v>
      </c>
      <c r="AH147">
        <v>0.18646421068729299</v>
      </c>
      <c r="AI147" t="s">
        <v>41</v>
      </c>
      <c r="AJ147" t="s">
        <v>201</v>
      </c>
      <c r="AK147">
        <v>35</v>
      </c>
    </row>
    <row r="148" spans="1:37">
      <c r="A148" t="s">
        <v>707</v>
      </c>
      <c r="B148" t="s">
        <v>706</v>
      </c>
      <c r="C148" t="s">
        <v>2437</v>
      </c>
      <c r="D148" t="s">
        <v>2438</v>
      </c>
      <c r="E148" t="s">
        <v>709</v>
      </c>
      <c r="F148" t="s">
        <v>710</v>
      </c>
      <c r="G148" t="s">
        <v>712</v>
      </c>
      <c r="H148" t="s">
        <v>714</v>
      </c>
      <c r="I148" t="s">
        <v>715</v>
      </c>
      <c r="J148" t="s">
        <v>716</v>
      </c>
      <c r="K148" t="s">
        <v>718</v>
      </c>
      <c r="L148" t="s">
        <v>719</v>
      </c>
      <c r="M148" t="s">
        <v>2439</v>
      </c>
      <c r="N148" t="s">
        <v>720</v>
      </c>
      <c r="O148" t="s">
        <v>721</v>
      </c>
      <c r="P148" t="s">
        <v>2440</v>
      </c>
      <c r="Q148">
        <v>1.65925846778502</v>
      </c>
      <c r="R148">
        <v>0.89698782892500195</v>
      </c>
      <c r="S148">
        <v>0.69604367210949103</v>
      </c>
      <c r="T148">
        <v>0.2029160069549</v>
      </c>
      <c r="U148">
        <v>0.19912772343587601</v>
      </c>
      <c r="V148">
        <v>0.13902029160069601</v>
      </c>
      <c r="W148">
        <v>0.118680123167782</v>
      </c>
      <c r="X148">
        <v>9.0044585182954703E-2</v>
      </c>
      <c r="Y148">
        <v>8.4051326384909003E-2</v>
      </c>
      <c r="Z148">
        <v>4.88300032054707E-2</v>
      </c>
      <c r="AA148">
        <v>4.1447707117116199E-2</v>
      </c>
      <c r="AB148">
        <v>3.9893539519567901E-2</v>
      </c>
      <c r="AC148">
        <v>3.0723950694033001E-2</v>
      </c>
      <c r="AD148">
        <v>2.7586474856482301E-2</v>
      </c>
      <c r="AE148">
        <v>2.6275145946051001E-2</v>
      </c>
      <c r="AF148">
        <v>389.91899999999998</v>
      </c>
      <c r="AG148">
        <v>10294.9</v>
      </c>
      <c r="AH148">
        <v>1.65925846778502</v>
      </c>
      <c r="AI148" t="s">
        <v>28</v>
      </c>
      <c r="AJ148" t="s">
        <v>201</v>
      </c>
      <c r="AK148">
        <v>40</v>
      </c>
    </row>
    <row r="149" spans="1:37">
      <c r="A149" t="s">
        <v>2441</v>
      </c>
      <c r="B149" t="s">
        <v>2442</v>
      </c>
      <c r="C149" t="s">
        <v>2443</v>
      </c>
      <c r="D149" t="s">
        <v>2444</v>
      </c>
      <c r="E149" t="s">
        <v>2445</v>
      </c>
      <c r="F149" t="s">
        <v>2446</v>
      </c>
      <c r="G149" t="s">
        <v>2447</v>
      </c>
      <c r="H149" t="s">
        <v>2448</v>
      </c>
      <c r="I149" t="s">
        <v>2449</v>
      </c>
      <c r="J149" t="s">
        <v>2450</v>
      </c>
      <c r="K149" t="s">
        <v>2451</v>
      </c>
      <c r="L149" t="s">
        <v>2452</v>
      </c>
      <c r="M149" t="s">
        <v>2453</v>
      </c>
      <c r="N149" t="s">
        <v>2454</v>
      </c>
      <c r="O149" t="s">
        <v>2455</v>
      </c>
      <c r="P149" t="s">
        <v>2456</v>
      </c>
      <c r="Q149">
        <v>18.055732646503799</v>
      </c>
      <c r="R149">
        <v>9.2604398655808904</v>
      </c>
      <c r="S149">
        <v>0.35525010908802401</v>
      </c>
      <c r="T149">
        <v>0.197389112731848</v>
      </c>
      <c r="U149">
        <v>0.14117690394020299</v>
      </c>
      <c r="V149">
        <v>9.7429772813564297E-2</v>
      </c>
      <c r="W149">
        <v>3.60479250607776E-2</v>
      </c>
      <c r="X149">
        <v>3.5758204269450297E-2</v>
      </c>
      <c r="Y149">
        <v>2.8412471736284702E-2</v>
      </c>
      <c r="Z149">
        <v>2.35545128440523E-2</v>
      </c>
      <c r="AA149">
        <v>2.2873066875209E-2</v>
      </c>
      <c r="AB149">
        <v>7.5972016796722304E-3</v>
      </c>
      <c r="AC149">
        <v>7.2833965193836699E-3</v>
      </c>
      <c r="AD149">
        <v>7.1225979383780199E-3</v>
      </c>
      <c r="AE149">
        <v>5.5748230507245101E-3</v>
      </c>
      <c r="AF149">
        <v>313.125</v>
      </c>
      <c r="AG149">
        <v>141170.4</v>
      </c>
      <c r="AH149">
        <v>2.35545128440523E-2</v>
      </c>
      <c r="AI149" t="s">
        <v>64</v>
      </c>
      <c r="AJ149" t="s">
        <v>109</v>
      </c>
      <c r="AK149">
        <v>39</v>
      </c>
    </row>
    <row r="150" spans="1:37">
      <c r="A150" t="s">
        <v>2457</v>
      </c>
      <c r="B150" t="s">
        <v>2458</v>
      </c>
      <c r="C150" t="s">
        <v>2459</v>
      </c>
      <c r="D150" t="s">
        <v>2447</v>
      </c>
      <c r="E150" t="s">
        <v>2460</v>
      </c>
      <c r="F150" t="s">
        <v>2461</v>
      </c>
      <c r="G150" t="s">
        <v>2462</v>
      </c>
      <c r="H150" t="s">
        <v>2463</v>
      </c>
      <c r="I150" t="s">
        <v>2464</v>
      </c>
      <c r="J150" t="s">
        <v>2465</v>
      </c>
      <c r="K150" t="s">
        <v>2466</v>
      </c>
      <c r="L150" t="s">
        <v>2467</v>
      </c>
      <c r="M150" t="s">
        <v>2468</v>
      </c>
      <c r="N150" t="s">
        <v>2469</v>
      </c>
      <c r="O150" t="s">
        <v>2470</v>
      </c>
      <c r="P150" t="s">
        <v>2471</v>
      </c>
      <c r="Q150">
        <v>0.40130903550375602</v>
      </c>
      <c r="R150">
        <v>0.351646513961342</v>
      </c>
      <c r="S150">
        <v>0.31945947703613597</v>
      </c>
      <c r="T150">
        <v>0.18828417869403</v>
      </c>
      <c r="U150">
        <v>0.116647233977322</v>
      </c>
      <c r="V150">
        <v>8.9665215795756995E-2</v>
      </c>
      <c r="W150">
        <v>8.8445833894636103E-2</v>
      </c>
      <c r="X150">
        <v>8.5078017215349799E-2</v>
      </c>
      <c r="Y150">
        <v>7.6753703437031098E-2</v>
      </c>
      <c r="Z150">
        <v>5.1202426686114799E-2</v>
      </c>
      <c r="AA150">
        <v>4.1180268774997301E-2</v>
      </c>
      <c r="AB150">
        <v>3.0623905459579201E-2</v>
      </c>
      <c r="AC150">
        <v>2.8624119141741001E-2</v>
      </c>
      <c r="AD150">
        <v>2.7976104760002399E-2</v>
      </c>
      <c r="AE150">
        <v>2.5569857808457198E-2</v>
      </c>
      <c r="AF150">
        <v>313.38900000000001</v>
      </c>
      <c r="AG150">
        <v>43054.6</v>
      </c>
      <c r="AH150">
        <v>0.18828417869403</v>
      </c>
      <c r="AI150" t="s">
        <v>41</v>
      </c>
      <c r="AJ150" t="s">
        <v>109</v>
      </c>
      <c r="AK150">
        <v>40</v>
      </c>
    </row>
    <row r="151" spans="1:37">
      <c r="A151" t="s">
        <v>2472</v>
      </c>
      <c r="B151" t="s">
        <v>2473</v>
      </c>
      <c r="C151" t="s">
        <v>2474</v>
      </c>
      <c r="D151" t="s">
        <v>2475</v>
      </c>
      <c r="E151" t="s">
        <v>2476</v>
      </c>
      <c r="F151" t="s">
        <v>2477</v>
      </c>
      <c r="G151" t="s">
        <v>2478</v>
      </c>
      <c r="H151" t="s">
        <v>2479</v>
      </c>
      <c r="I151" t="s">
        <v>2480</v>
      </c>
      <c r="J151" t="s">
        <v>2481</v>
      </c>
      <c r="K151" t="s">
        <v>2482</v>
      </c>
      <c r="L151" t="s">
        <v>2483</v>
      </c>
      <c r="M151" t="s">
        <v>2484</v>
      </c>
      <c r="N151" t="s">
        <v>2485</v>
      </c>
      <c r="O151" t="s">
        <v>2486</v>
      </c>
      <c r="P151" t="s">
        <v>2487</v>
      </c>
      <c r="Q151">
        <v>0.14408196606232301</v>
      </c>
      <c r="R151">
        <v>0.11265228240129201</v>
      </c>
      <c r="S151">
        <v>6.8736877708217695E-2</v>
      </c>
      <c r="T151">
        <v>5.4891862743221102E-2</v>
      </c>
      <c r="U151">
        <v>5.4167544145144499E-2</v>
      </c>
      <c r="V151">
        <v>5.1024575779041403E-2</v>
      </c>
      <c r="W151">
        <v>4.6200039566302302E-2</v>
      </c>
      <c r="X151">
        <v>4.0319338349319403E-2</v>
      </c>
      <c r="Y151">
        <v>3.55394737681798E-2</v>
      </c>
      <c r="Z151">
        <v>3.05139152132432E-2</v>
      </c>
      <c r="AA151">
        <v>2.5481974996649601E-2</v>
      </c>
      <c r="AB151">
        <v>1.9553411317238801E-2</v>
      </c>
      <c r="AC151">
        <v>1.60243524208834E-2</v>
      </c>
      <c r="AD151">
        <v>1.18666998513073E-2</v>
      </c>
      <c r="AE151">
        <v>1.0590367519894801E-2</v>
      </c>
      <c r="AF151">
        <v>329.1</v>
      </c>
      <c r="AG151">
        <v>31339.8</v>
      </c>
      <c r="AH151">
        <v>6.8736877708217695E-2</v>
      </c>
      <c r="AI151" t="s">
        <v>41</v>
      </c>
      <c r="AJ151" t="s">
        <v>109</v>
      </c>
      <c r="AK151">
        <v>40</v>
      </c>
    </row>
    <row r="152" spans="1:37">
      <c r="A152" t="s">
        <v>1126</v>
      </c>
      <c r="B152" t="s">
        <v>1127</v>
      </c>
      <c r="C152" t="s">
        <v>1124</v>
      </c>
      <c r="D152" t="s">
        <v>1129</v>
      </c>
      <c r="E152" t="s">
        <v>2488</v>
      </c>
      <c r="F152" t="s">
        <v>1130</v>
      </c>
      <c r="G152" t="s">
        <v>1131</v>
      </c>
      <c r="H152" t="s">
        <v>1132</v>
      </c>
      <c r="I152" t="s">
        <v>1133</v>
      </c>
      <c r="J152" t="s">
        <v>1134</v>
      </c>
      <c r="K152" t="s">
        <v>1136</v>
      </c>
      <c r="L152" t="s">
        <v>1137</v>
      </c>
      <c r="M152" t="s">
        <v>1138</v>
      </c>
      <c r="N152" t="s">
        <v>1139</v>
      </c>
      <c r="O152" t="s">
        <v>2489</v>
      </c>
      <c r="P152" t="s">
        <v>2490</v>
      </c>
      <c r="Q152">
        <v>0.792601155083134</v>
      </c>
      <c r="R152">
        <v>0.68070354288054202</v>
      </c>
      <c r="S152">
        <v>4.7256890830141403E-2</v>
      </c>
      <c r="T152">
        <v>2.8098634203768999E-2</v>
      </c>
      <c r="U152">
        <v>2.3140051697221501E-2</v>
      </c>
      <c r="V152">
        <v>1.2604396823094799E-2</v>
      </c>
      <c r="W152">
        <v>1.2295151892578999E-2</v>
      </c>
      <c r="X152">
        <v>9.4884875576901704E-3</v>
      </c>
      <c r="Y152">
        <v>9.2837460864520892E-3</v>
      </c>
      <c r="Z152">
        <v>8.1342080343965693E-3</v>
      </c>
      <c r="AA152">
        <v>6.4514890676585302E-3</v>
      </c>
      <c r="AB152">
        <v>5.8543264432140999E-3</v>
      </c>
      <c r="AC152">
        <v>5.6602485902696601E-3</v>
      </c>
      <c r="AD152">
        <v>3.59577208861893E-3</v>
      </c>
      <c r="AE152">
        <v>3.1223074363808498E-3</v>
      </c>
      <c r="AF152">
        <v>336.26100000000002</v>
      </c>
      <c r="AG152">
        <v>46888.4</v>
      </c>
      <c r="AH152">
        <v>0.68070354288054202</v>
      </c>
      <c r="AI152" t="s">
        <v>28</v>
      </c>
      <c r="AJ152" t="s">
        <v>109</v>
      </c>
      <c r="AK152">
        <v>40</v>
      </c>
    </row>
    <row r="153" spans="1:37">
      <c r="A153" t="s">
        <v>2491</v>
      </c>
      <c r="B153" t="s">
        <v>2492</v>
      </c>
      <c r="C153" t="s">
        <v>2493</v>
      </c>
      <c r="D153" t="s">
        <v>2494</v>
      </c>
      <c r="E153" t="s">
        <v>2495</v>
      </c>
      <c r="F153" t="s">
        <v>2496</v>
      </c>
      <c r="G153" t="s">
        <v>2497</v>
      </c>
      <c r="H153" t="s">
        <v>2498</v>
      </c>
      <c r="I153" t="s">
        <v>2499</v>
      </c>
      <c r="J153" t="s">
        <v>2500</v>
      </c>
      <c r="K153" t="s">
        <v>2501</v>
      </c>
      <c r="L153" t="s">
        <v>2502</v>
      </c>
      <c r="M153" t="s">
        <v>2503</v>
      </c>
      <c r="N153" t="s">
        <v>2504</v>
      </c>
      <c r="O153" t="s">
        <v>2505</v>
      </c>
      <c r="P153" t="s">
        <v>2506</v>
      </c>
      <c r="Q153">
        <v>0.193311594803736</v>
      </c>
      <c r="R153">
        <v>8.5062855034917603E-2</v>
      </c>
      <c r="S153">
        <v>7.09604493005484E-2</v>
      </c>
      <c r="T153">
        <v>4.5782900113881898E-2</v>
      </c>
      <c r="U153">
        <v>3.5103720537495602E-2</v>
      </c>
      <c r="V153">
        <v>3.2837927247560302E-2</v>
      </c>
      <c r="W153">
        <v>2.9785282665750701E-2</v>
      </c>
      <c r="X153">
        <v>2.5703808867898699E-2</v>
      </c>
      <c r="Y153">
        <v>2.0331222090046199E-2</v>
      </c>
      <c r="Z153">
        <v>1.26420774227828E-2</v>
      </c>
      <c r="AA153">
        <v>1.21276628147617E-2</v>
      </c>
      <c r="AB153">
        <v>1.1168211884669601E-2</v>
      </c>
      <c r="AC153">
        <v>8.9582596541577103E-3</v>
      </c>
      <c r="AD153">
        <v>8.4743038058220192E-3</v>
      </c>
      <c r="AE153">
        <v>7.6671466741572696E-3</v>
      </c>
      <c r="AF153">
        <v>342.50799999999998</v>
      </c>
      <c r="AG153">
        <v>59096.3</v>
      </c>
      <c r="AH153">
        <v>0.193311594803736</v>
      </c>
      <c r="AI153" t="s">
        <v>41</v>
      </c>
      <c r="AJ153" t="s">
        <v>109</v>
      </c>
      <c r="AK153">
        <v>40</v>
      </c>
    </row>
    <row r="154" spans="1:37">
      <c r="A154" t="s">
        <v>2507</v>
      </c>
      <c r="B154" t="s">
        <v>2508</v>
      </c>
      <c r="C154" t="s">
        <v>2509</v>
      </c>
      <c r="D154" t="s">
        <v>2510</v>
      </c>
      <c r="E154" t="s">
        <v>2511</v>
      </c>
      <c r="F154" t="s">
        <v>2512</v>
      </c>
      <c r="G154" t="s">
        <v>2513</v>
      </c>
      <c r="H154" t="s">
        <v>2514</v>
      </c>
      <c r="I154" t="s">
        <v>2515</v>
      </c>
      <c r="J154" t="s">
        <v>2516</v>
      </c>
      <c r="K154" t="s">
        <v>2517</v>
      </c>
      <c r="L154" t="s">
        <v>2518</v>
      </c>
      <c r="M154" t="s">
        <v>2519</v>
      </c>
      <c r="N154" t="s">
        <v>2520</v>
      </c>
      <c r="O154" t="s">
        <v>2521</v>
      </c>
      <c r="P154" t="s">
        <v>2522</v>
      </c>
      <c r="Q154">
        <v>0.17284974283502599</v>
      </c>
      <c r="R154">
        <v>0.146998620090383</v>
      </c>
      <c r="S154">
        <v>0.11004702707498901</v>
      </c>
      <c r="T154">
        <v>0.107278028840417</v>
      </c>
      <c r="U154">
        <v>9.7012847539875102E-2</v>
      </c>
      <c r="V154">
        <v>8.0071473810784097E-2</v>
      </c>
      <c r="W154">
        <v>5.7102556963342099E-2</v>
      </c>
      <c r="X154">
        <v>4.16695988471176E-2</v>
      </c>
      <c r="Y154">
        <v>3.4109162783439902E-2</v>
      </c>
      <c r="Z154">
        <v>2.0560959266659101E-2</v>
      </c>
      <c r="AA154">
        <v>2.0163202614179102E-2</v>
      </c>
      <c r="AB154">
        <v>1.67914500677716E-2</v>
      </c>
      <c r="AC154">
        <v>1.50504997965322E-2</v>
      </c>
      <c r="AD154">
        <v>1.11341266028828E-2</v>
      </c>
      <c r="AE154">
        <v>1.09719642753333E-2</v>
      </c>
      <c r="AF154">
        <v>346.22</v>
      </c>
      <c r="AG154">
        <v>32683.3</v>
      </c>
      <c r="AH154">
        <v>0.17284974283502599</v>
      </c>
      <c r="AI154" t="s">
        <v>41</v>
      </c>
      <c r="AJ154" t="s">
        <v>109</v>
      </c>
      <c r="AK154">
        <v>40</v>
      </c>
    </row>
    <row r="155" spans="1:37">
      <c r="A155" t="s">
        <v>2523</v>
      </c>
      <c r="B155" t="s">
        <v>2524</v>
      </c>
      <c r="C155" t="s">
        <v>2525</v>
      </c>
      <c r="D155" t="s">
        <v>2526</v>
      </c>
      <c r="E155" t="s">
        <v>2527</v>
      </c>
      <c r="F155" t="s">
        <v>2528</v>
      </c>
      <c r="G155" t="s">
        <v>2529</v>
      </c>
      <c r="H155" t="s">
        <v>2283</v>
      </c>
      <c r="I155" t="s">
        <v>2284</v>
      </c>
      <c r="J155" t="s">
        <v>2530</v>
      </c>
      <c r="K155" t="s">
        <v>2289</v>
      </c>
      <c r="L155" t="s">
        <v>2531</v>
      </c>
      <c r="M155" t="s">
        <v>2290</v>
      </c>
      <c r="N155" t="s">
        <v>2532</v>
      </c>
      <c r="O155" t="s">
        <v>2533</v>
      </c>
      <c r="P155" t="s">
        <v>2534</v>
      </c>
      <c r="Q155">
        <v>0.18567932533693801</v>
      </c>
      <c r="R155">
        <v>8.3285275074240703E-2</v>
      </c>
      <c r="S155">
        <v>3.8956212060500997E-2</v>
      </c>
      <c r="T155">
        <v>3.7462973295835401E-2</v>
      </c>
      <c r="U155">
        <v>2.4626737118826202E-2</v>
      </c>
      <c r="V155">
        <v>2.42588105768115E-2</v>
      </c>
      <c r="W155">
        <v>1.78439691877905E-2</v>
      </c>
      <c r="X155">
        <v>1.3678816044218599E-2</v>
      </c>
      <c r="Y155">
        <v>1.20133165067013E-2</v>
      </c>
      <c r="Z155">
        <v>5.6200077142867797E-3</v>
      </c>
      <c r="AA155">
        <v>5.4730243374513697E-3</v>
      </c>
      <c r="AB155">
        <v>5.4617899392219102E-3</v>
      </c>
      <c r="AC155">
        <v>4.5873792770290299E-3</v>
      </c>
      <c r="AD155">
        <v>4.1192793508015701E-3</v>
      </c>
      <c r="AE155">
        <v>3.8945913862123999E-3</v>
      </c>
      <c r="AF155">
        <v>321.66800000000001</v>
      </c>
      <c r="AG155">
        <v>106814.8</v>
      </c>
      <c r="AH155">
        <v>3.8956212060500997E-2</v>
      </c>
      <c r="AI155" t="s">
        <v>64</v>
      </c>
      <c r="AJ155" t="s">
        <v>116</v>
      </c>
      <c r="AK155">
        <v>40</v>
      </c>
    </row>
    <row r="156" spans="1:37">
      <c r="A156" t="s">
        <v>2535</v>
      </c>
      <c r="B156" t="s">
        <v>2536</v>
      </c>
      <c r="C156" t="s">
        <v>2537</v>
      </c>
      <c r="D156" t="s">
        <v>2538</v>
      </c>
      <c r="E156" t="s">
        <v>2539</v>
      </c>
      <c r="F156" t="s">
        <v>2540</v>
      </c>
      <c r="G156" t="s">
        <v>2541</v>
      </c>
      <c r="H156" t="s">
        <v>2542</v>
      </c>
      <c r="I156" t="s">
        <v>2543</v>
      </c>
      <c r="J156" t="s">
        <v>2544</v>
      </c>
      <c r="K156" t="s">
        <v>2545</v>
      </c>
      <c r="L156" t="s">
        <v>2546</v>
      </c>
      <c r="M156" t="s">
        <v>2547</v>
      </c>
      <c r="N156" t="s">
        <v>2548</v>
      </c>
      <c r="O156" t="s">
        <v>2549</v>
      </c>
      <c r="P156" t="s">
        <v>2550</v>
      </c>
      <c r="Q156">
        <v>0.29148217874476701</v>
      </c>
      <c r="R156">
        <v>0.111768303823209</v>
      </c>
      <c r="S156">
        <v>4.5467038422737499E-2</v>
      </c>
      <c r="T156">
        <v>4.0813732732804302E-2</v>
      </c>
      <c r="U156">
        <v>9.8086409455949292E-3</v>
      </c>
      <c r="V156">
        <v>9.4766024037048497E-3</v>
      </c>
      <c r="W156">
        <v>6.8727212067773999E-3</v>
      </c>
      <c r="X156">
        <v>5.3936404292670498E-3</v>
      </c>
      <c r="Y156">
        <v>4.5579836204910698E-3</v>
      </c>
      <c r="Z156">
        <v>4.0988489860114899E-3</v>
      </c>
      <c r="AA156">
        <v>3.2187085448291798E-3</v>
      </c>
      <c r="AB156">
        <v>2.9915242793254401E-3</v>
      </c>
      <c r="AC156">
        <v>2.8469524740048799E-3</v>
      </c>
      <c r="AD156">
        <v>2.4005274487842502E-3</v>
      </c>
      <c r="AE156">
        <v>2.1749318844378799E-3</v>
      </c>
      <c r="AF156">
        <v>324.22800000000001</v>
      </c>
      <c r="AG156">
        <v>62944.5</v>
      </c>
      <c r="AH156">
        <v>0.111768303823209</v>
      </c>
      <c r="AI156" t="s">
        <v>41</v>
      </c>
      <c r="AJ156" t="s">
        <v>116</v>
      </c>
      <c r="AK156">
        <v>40</v>
      </c>
    </row>
    <row r="157" spans="1:37">
      <c r="A157" t="s">
        <v>2364</v>
      </c>
      <c r="B157" t="s">
        <v>2363</v>
      </c>
      <c r="C157" t="s">
        <v>2551</v>
      </c>
      <c r="D157" t="s">
        <v>2367</v>
      </c>
      <c r="E157" t="s">
        <v>2368</v>
      </c>
      <c r="F157" t="s">
        <v>2369</v>
      </c>
      <c r="G157" t="s">
        <v>2370</v>
      </c>
      <c r="H157" t="s">
        <v>2371</v>
      </c>
      <c r="I157" t="s">
        <v>2372</v>
      </c>
      <c r="J157" t="s">
        <v>2373</v>
      </c>
      <c r="K157" t="s">
        <v>2374</v>
      </c>
      <c r="L157" t="s">
        <v>2375</v>
      </c>
      <c r="M157" t="s">
        <v>2376</v>
      </c>
      <c r="N157" t="s">
        <v>2377</v>
      </c>
      <c r="O157" t="s">
        <v>2378</v>
      </c>
      <c r="P157" t="s">
        <v>2552</v>
      </c>
      <c r="Q157">
        <v>3.7821693291868297E-2</v>
      </c>
      <c r="R157">
        <v>3.3483633028717201E-2</v>
      </c>
      <c r="S157">
        <v>1.5136007102269E-2</v>
      </c>
      <c r="T157">
        <v>1.26893246951322E-2</v>
      </c>
      <c r="U157">
        <v>1.05672051908955E-2</v>
      </c>
      <c r="V157">
        <v>9.9576602269125705E-3</v>
      </c>
      <c r="W157">
        <v>7.1348132268032102E-3</v>
      </c>
      <c r="X157">
        <v>6.6264193030194903E-3</v>
      </c>
      <c r="Y157">
        <v>6.4889125266327802E-3</v>
      </c>
      <c r="Z157">
        <v>3.4658157860711202E-3</v>
      </c>
      <c r="AA157">
        <v>3.07850991910556E-3</v>
      </c>
      <c r="AB157">
        <v>2.6929632006651898E-3</v>
      </c>
      <c r="AC157">
        <v>2.4323160275142599E-3</v>
      </c>
      <c r="AD157">
        <v>2.1784122570432701E-3</v>
      </c>
      <c r="AE157">
        <v>1.44572689629614E-3</v>
      </c>
      <c r="AF157">
        <v>360.07400000000001</v>
      </c>
      <c r="AG157">
        <v>341074.1</v>
      </c>
      <c r="AH157">
        <v>3.3483633028717201E-2</v>
      </c>
      <c r="AI157" t="s">
        <v>64</v>
      </c>
      <c r="AJ157" t="s">
        <v>116</v>
      </c>
      <c r="AK157">
        <v>40</v>
      </c>
    </row>
    <row r="158" spans="1:37">
      <c r="A158" t="s">
        <v>2553</v>
      </c>
      <c r="B158" t="s">
        <v>2554</v>
      </c>
      <c r="C158" t="s">
        <v>2555</v>
      </c>
      <c r="D158" t="s">
        <v>2556</v>
      </c>
      <c r="E158" t="s">
        <v>2557</v>
      </c>
      <c r="F158" t="s">
        <v>2558</v>
      </c>
      <c r="G158" t="s">
        <v>2559</v>
      </c>
      <c r="H158" t="s">
        <v>2560</v>
      </c>
      <c r="I158" t="s">
        <v>2561</v>
      </c>
      <c r="J158" t="s">
        <v>2562</v>
      </c>
      <c r="K158" t="s">
        <v>2563</v>
      </c>
      <c r="L158" t="s">
        <v>2564</v>
      </c>
      <c r="M158" t="s">
        <v>2565</v>
      </c>
      <c r="N158" t="s">
        <v>2566</v>
      </c>
      <c r="O158" t="s">
        <v>2567</v>
      </c>
      <c r="P158" t="s">
        <v>2568</v>
      </c>
      <c r="Q158">
        <v>4.1930155188688603E-2</v>
      </c>
      <c r="R158">
        <v>2.6568059250262399E-2</v>
      </c>
      <c r="S158">
        <v>1.27893698058656E-2</v>
      </c>
      <c r="T158">
        <v>1.1238143016509E-2</v>
      </c>
      <c r="U158">
        <v>8.0837068379397102E-3</v>
      </c>
      <c r="V158">
        <v>5.6652782636821501E-3</v>
      </c>
      <c r="W158">
        <v>5.0332358590825998E-3</v>
      </c>
      <c r="X158">
        <v>4.4077944195441403E-3</v>
      </c>
      <c r="Y158">
        <v>4.3516862165248601E-3</v>
      </c>
      <c r="Z158">
        <v>3.6594100057428399E-3</v>
      </c>
      <c r="AA158">
        <v>3.0710989946730201E-3</v>
      </c>
      <c r="AB158">
        <v>3.05872218518347E-3</v>
      </c>
      <c r="AC158">
        <v>2.83676473500426E-3</v>
      </c>
      <c r="AD158">
        <v>2.6907183830276E-3</v>
      </c>
      <c r="AE158">
        <v>1.85734654406474E-3</v>
      </c>
      <c r="AF158">
        <v>361.10399999999998</v>
      </c>
      <c r="AG158">
        <v>121194.4</v>
      </c>
      <c r="AH158">
        <v>2.6568059250262399E-2</v>
      </c>
      <c r="AI158" t="s">
        <v>64</v>
      </c>
      <c r="AJ158" t="s">
        <v>116</v>
      </c>
      <c r="AK158">
        <v>40</v>
      </c>
    </row>
    <row r="159" spans="1:37">
      <c r="A159" t="s">
        <v>2569</v>
      </c>
      <c r="B159" t="s">
        <v>2570</v>
      </c>
      <c r="C159" t="s">
        <v>2571</v>
      </c>
      <c r="D159" t="s">
        <v>2572</v>
      </c>
      <c r="E159" t="s">
        <v>2573</v>
      </c>
      <c r="F159" t="s">
        <v>2574</v>
      </c>
      <c r="G159" t="s">
        <v>2575</v>
      </c>
      <c r="H159" t="s">
        <v>2576</v>
      </c>
      <c r="I159" t="s">
        <v>2577</v>
      </c>
      <c r="J159" t="s">
        <v>2578</v>
      </c>
      <c r="K159" t="s">
        <v>2579</v>
      </c>
      <c r="L159" t="s">
        <v>2580</v>
      </c>
      <c r="M159" t="s">
        <v>2581</v>
      </c>
      <c r="N159" t="s">
        <v>2582</v>
      </c>
      <c r="O159" t="s">
        <v>2583</v>
      </c>
      <c r="P159" t="s">
        <v>2584</v>
      </c>
      <c r="Q159">
        <v>2.4490173280647901E-2</v>
      </c>
      <c r="R159">
        <v>1.38443208210182E-2</v>
      </c>
      <c r="S159">
        <v>9.9073016165377795E-3</v>
      </c>
      <c r="T159">
        <v>9.1147894356651306E-3</v>
      </c>
      <c r="U159">
        <v>7.4376710574407699E-3</v>
      </c>
      <c r="V159">
        <v>5.2878513602574E-3</v>
      </c>
      <c r="W159">
        <v>3.35423675644874E-3</v>
      </c>
      <c r="X159">
        <v>3.0941431083457301E-3</v>
      </c>
      <c r="Y159">
        <v>2.71425529036956E-3</v>
      </c>
      <c r="Z159">
        <v>2.0965778439064001E-3</v>
      </c>
      <c r="AA159">
        <v>1.8771350702648599E-3</v>
      </c>
      <c r="AB159">
        <v>1.68611193452115E-3</v>
      </c>
      <c r="AC159">
        <v>1.3019072095225199E-3</v>
      </c>
      <c r="AD159">
        <v>1.07706830210291E-3</v>
      </c>
      <c r="AE159">
        <v>1.03893562340454E-3</v>
      </c>
      <c r="AF159">
        <v>371.029</v>
      </c>
      <c r="AG159">
        <v>277976.8</v>
      </c>
      <c r="AH159">
        <v>9.9073016165377795E-3</v>
      </c>
      <c r="AI159" t="s">
        <v>55</v>
      </c>
      <c r="AJ159" t="s">
        <v>116</v>
      </c>
      <c r="AK159">
        <v>40</v>
      </c>
    </row>
    <row r="160" spans="1:37">
      <c r="A160" t="s">
        <v>2585</v>
      </c>
      <c r="B160" t="s">
        <v>2586</v>
      </c>
      <c r="C160" t="s">
        <v>2587</v>
      </c>
      <c r="D160" t="s">
        <v>2588</v>
      </c>
      <c r="E160" t="s">
        <v>2589</v>
      </c>
      <c r="F160" t="s">
        <v>2590</v>
      </c>
      <c r="G160" t="s">
        <v>2591</v>
      </c>
      <c r="H160" t="s">
        <v>2592</v>
      </c>
      <c r="I160" t="s">
        <v>2593</v>
      </c>
      <c r="J160" t="s">
        <v>2594</v>
      </c>
      <c r="K160" t="s">
        <v>2595</v>
      </c>
      <c r="L160" t="s">
        <v>2596</v>
      </c>
      <c r="M160" t="s">
        <v>2597</v>
      </c>
      <c r="N160" t="s">
        <v>2598</v>
      </c>
      <c r="O160" t="s">
        <v>2599</v>
      </c>
      <c r="P160" t="s">
        <v>2600</v>
      </c>
      <c r="Q160">
        <v>1.8045571887498401E-2</v>
      </c>
      <c r="R160">
        <v>7.7913883583740099E-3</v>
      </c>
      <c r="S160">
        <v>5.8004593146916304E-3</v>
      </c>
      <c r="T160">
        <v>4.6884699800194699E-3</v>
      </c>
      <c r="U160">
        <v>3.5242395356647402E-3</v>
      </c>
      <c r="V160">
        <v>3.3179889208140101E-3</v>
      </c>
      <c r="W160">
        <v>3.3057767133557502E-3</v>
      </c>
      <c r="X160">
        <v>3.1273427932710699E-3</v>
      </c>
      <c r="Y160">
        <v>2.8183060989799402E-3</v>
      </c>
      <c r="Z160">
        <v>2.7212868952837099E-3</v>
      </c>
      <c r="AA160">
        <v>2.6663319617215098E-3</v>
      </c>
      <c r="AB160">
        <v>2.3745958946629299E-3</v>
      </c>
      <c r="AC160">
        <v>2.2941988622293399E-3</v>
      </c>
      <c r="AD160">
        <v>1.5519680311547001E-3</v>
      </c>
      <c r="AE160">
        <v>1.3976192980016101E-3</v>
      </c>
      <c r="AF160">
        <v>377.43299999999999</v>
      </c>
      <c r="AG160">
        <v>294787</v>
      </c>
      <c r="AH160">
        <v>1.8045571887498401E-2</v>
      </c>
      <c r="AI160" t="s">
        <v>64</v>
      </c>
      <c r="AJ160" t="s">
        <v>116</v>
      </c>
      <c r="AK160">
        <v>40</v>
      </c>
    </row>
    <row r="161" spans="1:37">
      <c r="A161" t="s">
        <v>2601</v>
      </c>
      <c r="B161" t="s">
        <v>2602</v>
      </c>
      <c r="C161" t="s">
        <v>2603</v>
      </c>
      <c r="D161" t="s">
        <v>2604</v>
      </c>
      <c r="E161" t="s">
        <v>2605</v>
      </c>
      <c r="F161" t="s">
        <v>2606</v>
      </c>
      <c r="G161" t="s">
        <v>2607</v>
      </c>
      <c r="H161" t="s">
        <v>2608</v>
      </c>
      <c r="I161" t="s">
        <v>2609</v>
      </c>
      <c r="J161" t="s">
        <v>2610</v>
      </c>
      <c r="K161" t="s">
        <v>2611</v>
      </c>
      <c r="L161" t="s">
        <v>2612</v>
      </c>
      <c r="M161" t="s">
        <v>2613</v>
      </c>
      <c r="N161" t="s">
        <v>2614</v>
      </c>
      <c r="O161" t="s">
        <v>1453</v>
      </c>
      <c r="P161" t="s">
        <v>2615</v>
      </c>
      <c r="Q161">
        <v>3.68823767488159E-2</v>
      </c>
      <c r="R161">
        <v>3.6566796836543798E-2</v>
      </c>
      <c r="S161">
        <v>3.0213084807315799E-2</v>
      </c>
      <c r="T161">
        <v>2.5470088274866302E-2</v>
      </c>
      <c r="U161">
        <v>1.4294074535928E-2</v>
      </c>
      <c r="V161">
        <v>1.0175674640939001E-2</v>
      </c>
      <c r="W161">
        <v>8.0617814677474108E-3</v>
      </c>
      <c r="X161">
        <v>6.9613537667224503E-3</v>
      </c>
      <c r="Y161">
        <v>5.0782660059725E-3</v>
      </c>
      <c r="Z161">
        <v>4.7227600389415803E-3</v>
      </c>
      <c r="AA161">
        <v>3.36691497391133E-3</v>
      </c>
      <c r="AB161">
        <v>3.1716601581728101E-3</v>
      </c>
      <c r="AC161">
        <v>2.6121484592918302E-3</v>
      </c>
      <c r="AD161">
        <v>2.6072260689791E-3</v>
      </c>
      <c r="AE161">
        <v>2.1018606635382102E-3</v>
      </c>
      <c r="AF161">
        <v>378.86900000000003</v>
      </c>
      <c r="AG161">
        <v>182838</v>
      </c>
      <c r="AH161">
        <v>3.68823767488159E-2</v>
      </c>
      <c r="AI161" t="s">
        <v>64</v>
      </c>
      <c r="AJ161" t="s">
        <v>116</v>
      </c>
      <c r="AK161">
        <v>40</v>
      </c>
    </row>
    <row r="162" spans="1:37">
      <c r="A162" t="s">
        <v>2616</v>
      </c>
      <c r="B162" t="s">
        <v>2617</v>
      </c>
      <c r="C162" t="s">
        <v>2618</v>
      </c>
      <c r="D162" t="s">
        <v>2619</v>
      </c>
      <c r="E162" t="s">
        <v>2620</v>
      </c>
      <c r="F162" t="s">
        <v>2621</v>
      </c>
      <c r="G162" t="s">
        <v>2622</v>
      </c>
      <c r="H162" t="s">
        <v>2623</v>
      </c>
      <c r="I162" t="s">
        <v>2624</v>
      </c>
      <c r="J162" t="s">
        <v>2625</v>
      </c>
      <c r="K162" t="s">
        <v>2626</v>
      </c>
      <c r="L162" t="s">
        <v>2627</v>
      </c>
      <c r="M162" t="s">
        <v>2628</v>
      </c>
      <c r="N162" t="s">
        <v>2629</v>
      </c>
      <c r="O162" t="s">
        <v>2630</v>
      </c>
      <c r="P162" t="s">
        <v>2631</v>
      </c>
      <c r="Q162">
        <v>9.16152490083737E-2</v>
      </c>
      <c r="R162">
        <v>7.0956368444248602E-2</v>
      </c>
      <c r="S162">
        <v>3.5606728367856597E-2</v>
      </c>
      <c r="T162">
        <v>2.3615395915968899E-2</v>
      </c>
      <c r="U162">
        <v>2.1503599236080501E-2</v>
      </c>
      <c r="V162">
        <v>2.0787424709857501E-2</v>
      </c>
      <c r="W162">
        <v>1.93918025561922E-2</v>
      </c>
      <c r="X162">
        <v>1.6527104451300099E-2</v>
      </c>
      <c r="Y162">
        <v>1.5664022329954501E-2</v>
      </c>
      <c r="Z162">
        <v>1.45438519171441E-2</v>
      </c>
      <c r="AA162">
        <v>1.3001322168356101E-2</v>
      </c>
      <c r="AB162">
        <v>1.27442338768914E-2</v>
      </c>
      <c r="AC162">
        <v>1.1789334508594099E-2</v>
      </c>
      <c r="AD162">
        <v>1.15873365653004E-2</v>
      </c>
      <c r="AE162">
        <v>1.11282503305421E-2</v>
      </c>
      <c r="AF162">
        <v>211.667</v>
      </c>
      <c r="AG162">
        <v>5445.6</v>
      </c>
      <c r="AH162">
        <v>0</v>
      </c>
      <c r="AI162" t="s">
        <v>55</v>
      </c>
      <c r="AJ162" t="s">
        <v>63</v>
      </c>
      <c r="AK162">
        <v>40</v>
      </c>
    </row>
    <row r="163" spans="1:37">
      <c r="A163" t="s">
        <v>2632</v>
      </c>
      <c r="B163" t="s">
        <v>2633</v>
      </c>
      <c r="C163" t="s">
        <v>2634</v>
      </c>
      <c r="D163" t="s">
        <v>2635</v>
      </c>
      <c r="E163" t="s">
        <v>2636</v>
      </c>
      <c r="F163" t="s">
        <v>2637</v>
      </c>
      <c r="G163" t="s">
        <v>2638</v>
      </c>
      <c r="H163" t="s">
        <v>2639</v>
      </c>
      <c r="I163" t="s">
        <v>2640</v>
      </c>
      <c r="J163" t="s">
        <v>2641</v>
      </c>
      <c r="K163" t="s">
        <v>2642</v>
      </c>
      <c r="L163" t="s">
        <v>2643</v>
      </c>
      <c r="M163" t="s">
        <v>2644</v>
      </c>
      <c r="N163" t="s">
        <v>2645</v>
      </c>
      <c r="O163" t="s">
        <v>2646</v>
      </c>
      <c r="P163" t="s">
        <v>2647</v>
      </c>
      <c r="Q163">
        <v>0.45612623067420399</v>
      </c>
      <c r="R163">
        <v>0.17942574776326101</v>
      </c>
      <c r="S163">
        <v>0.13959495376782799</v>
      </c>
      <c r="T163">
        <v>0.13216411485044699</v>
      </c>
      <c r="U163">
        <v>8.6437315164900996E-2</v>
      </c>
      <c r="V163">
        <v>4.8403399094074102E-2</v>
      </c>
      <c r="W163">
        <v>4.66439561262307E-2</v>
      </c>
      <c r="X163">
        <v>4.5670647250402402E-2</v>
      </c>
      <c r="Y163">
        <v>3.2811739602440798E-2</v>
      </c>
      <c r="Z163">
        <v>2.9592333320855001E-2</v>
      </c>
      <c r="AA163">
        <v>2.52685958147718E-2</v>
      </c>
      <c r="AB163">
        <v>1.64900984539363E-2</v>
      </c>
      <c r="AC163">
        <v>1.31209523453E-2</v>
      </c>
      <c r="AD163">
        <v>1.18107288586082E-2</v>
      </c>
      <c r="AE163">
        <v>1.17545764234642E-2</v>
      </c>
      <c r="AF163">
        <v>212.67400000000001</v>
      </c>
      <c r="AG163">
        <v>5342.6</v>
      </c>
      <c r="AH163">
        <v>4.4547598547523704E-3</v>
      </c>
      <c r="AI163" t="s">
        <v>55</v>
      </c>
      <c r="AJ163" t="s">
        <v>63</v>
      </c>
      <c r="AK163">
        <v>40</v>
      </c>
    </row>
    <row r="164" spans="1:37">
      <c r="A164" t="s">
        <v>1882</v>
      </c>
      <c r="B164" t="s">
        <v>1881</v>
      </c>
      <c r="C164" t="s">
        <v>2648</v>
      </c>
      <c r="D164" t="s">
        <v>2649</v>
      </c>
      <c r="E164" t="s">
        <v>1883</v>
      </c>
      <c r="F164" t="s">
        <v>1884</v>
      </c>
      <c r="G164" t="s">
        <v>2650</v>
      </c>
      <c r="H164" t="s">
        <v>1886</v>
      </c>
      <c r="I164" t="s">
        <v>1887</v>
      </c>
      <c r="J164" t="s">
        <v>1888</v>
      </c>
      <c r="K164" t="s">
        <v>2651</v>
      </c>
      <c r="L164" t="s">
        <v>1889</v>
      </c>
      <c r="M164" t="s">
        <v>1890</v>
      </c>
      <c r="N164" t="s">
        <v>1891</v>
      </c>
      <c r="O164" t="s">
        <v>2652</v>
      </c>
      <c r="P164" t="s">
        <v>1892</v>
      </c>
      <c r="Q164">
        <v>0.32469567207400701</v>
      </c>
      <c r="R164">
        <v>0.24046087086637699</v>
      </c>
      <c r="S164">
        <v>0.20085203017313499</v>
      </c>
      <c r="T164">
        <v>0.156965434685022</v>
      </c>
      <c r="U164">
        <v>9.9418190140039303E-2</v>
      </c>
      <c r="V164">
        <v>2.7118852927973499E-2</v>
      </c>
      <c r="W164">
        <v>2.24450097261709E-2</v>
      </c>
      <c r="X164">
        <v>1.96987967714394E-2</v>
      </c>
      <c r="Y164">
        <v>1.8140849037505201E-2</v>
      </c>
      <c r="Z164">
        <v>1.72342466838598E-2</v>
      </c>
      <c r="AA164">
        <v>1.32733626145356E-2</v>
      </c>
      <c r="AB164">
        <v>1.0949643960532E-2</v>
      </c>
      <c r="AC164">
        <v>1.0148665182068599E-2</v>
      </c>
      <c r="AD164">
        <v>6.10856343135788E-3</v>
      </c>
      <c r="AE164">
        <v>5.1139414317275603E-3</v>
      </c>
      <c r="AF164">
        <v>222.447</v>
      </c>
      <c r="AG164">
        <v>11361.1</v>
      </c>
      <c r="AH164">
        <v>0</v>
      </c>
      <c r="AI164" t="s">
        <v>55</v>
      </c>
      <c r="AJ164" t="s">
        <v>63</v>
      </c>
      <c r="AK164">
        <v>40</v>
      </c>
    </row>
    <row r="165" spans="1:37">
      <c r="A165" t="s">
        <v>2653</v>
      </c>
      <c r="B165" t="s">
        <v>2654</v>
      </c>
      <c r="C165" t="s">
        <v>2655</v>
      </c>
      <c r="D165" t="s">
        <v>2656</v>
      </c>
      <c r="E165" t="s">
        <v>2657</v>
      </c>
      <c r="F165" t="s">
        <v>2658</v>
      </c>
      <c r="G165" t="s">
        <v>2659</v>
      </c>
      <c r="H165" t="s">
        <v>2660</v>
      </c>
      <c r="I165" t="s">
        <v>2661</v>
      </c>
      <c r="J165" t="s">
        <v>2662</v>
      </c>
      <c r="K165" t="s">
        <v>2663</v>
      </c>
      <c r="L165" t="s">
        <v>2664</v>
      </c>
      <c r="M165" t="s">
        <v>2665</v>
      </c>
      <c r="N165" t="s">
        <v>2666</v>
      </c>
      <c r="O165" t="s">
        <v>2667</v>
      </c>
      <c r="P165" t="s">
        <v>2668</v>
      </c>
      <c r="Q165">
        <v>0.195685085799533</v>
      </c>
      <c r="R165">
        <v>9.5090012927712103E-2</v>
      </c>
      <c r="S165">
        <v>4.8658625460183402E-2</v>
      </c>
      <c r="T165">
        <v>2.0055094834555202E-2</v>
      </c>
      <c r="U165">
        <v>1.53318905313633E-2</v>
      </c>
      <c r="V165">
        <v>1.5293184806565399E-2</v>
      </c>
      <c r="W165">
        <v>1.0346593177397201E-2</v>
      </c>
      <c r="X165">
        <v>8.2498487712038306E-3</v>
      </c>
      <c r="Y165">
        <v>7.5033812215305603E-3</v>
      </c>
      <c r="Z165">
        <v>6.2526333716335699E-3</v>
      </c>
      <c r="AA165">
        <v>5.4630365857569604E-3</v>
      </c>
      <c r="AB165">
        <v>4.3836998028219804E-3</v>
      </c>
      <c r="AC165">
        <v>4.2609473613201502E-3</v>
      </c>
      <c r="AD165">
        <v>3.1053050066407999E-3</v>
      </c>
      <c r="AE165">
        <v>3.0942462281271202E-3</v>
      </c>
      <c r="AF165">
        <v>289.13799999999998</v>
      </c>
      <c r="AG165">
        <v>90425.9</v>
      </c>
      <c r="AH165">
        <v>4.8658625460183402E-2</v>
      </c>
      <c r="AI165" t="s">
        <v>64</v>
      </c>
      <c r="AJ165" t="s">
        <v>63</v>
      </c>
      <c r="AK165">
        <v>40</v>
      </c>
    </row>
    <row r="166" spans="1:37">
      <c r="A166" t="s">
        <v>2669</v>
      </c>
      <c r="B166" t="s">
        <v>2670</v>
      </c>
      <c r="C166" t="s">
        <v>2671</v>
      </c>
      <c r="D166" t="s">
        <v>2477</v>
      </c>
      <c r="E166" t="s">
        <v>2672</v>
      </c>
      <c r="F166" t="s">
        <v>2479</v>
      </c>
      <c r="G166" t="s">
        <v>2673</v>
      </c>
      <c r="H166" t="s">
        <v>2482</v>
      </c>
      <c r="I166" t="s">
        <v>2484</v>
      </c>
      <c r="J166" t="s">
        <v>2674</v>
      </c>
      <c r="K166" t="s">
        <v>2675</v>
      </c>
      <c r="L166" t="s">
        <v>2486</v>
      </c>
      <c r="M166" t="s">
        <v>2487</v>
      </c>
      <c r="N166" t="s">
        <v>2676</v>
      </c>
      <c r="O166" t="s">
        <v>2677</v>
      </c>
      <c r="P166" t="s">
        <v>2678</v>
      </c>
      <c r="Q166">
        <v>3.06657583804615E-3</v>
      </c>
      <c r="R166">
        <v>3.01303970461634E-3</v>
      </c>
      <c r="S166">
        <v>2.2166570758642302E-3</v>
      </c>
      <c r="T166">
        <v>2.10658156249514E-3</v>
      </c>
      <c r="U166">
        <v>1.89060896568321E-3</v>
      </c>
      <c r="V166">
        <v>1.4008186327681099E-3</v>
      </c>
      <c r="W166">
        <v>1.24869766826635E-3</v>
      </c>
      <c r="X166">
        <v>8.0016933087275995E-4</v>
      </c>
      <c r="Y166">
        <v>7.3984324881283601E-4</v>
      </c>
      <c r="Z166">
        <v>5.0493714139767699E-4</v>
      </c>
      <c r="AA166">
        <v>4.8561190298886998E-4</v>
      </c>
      <c r="AB166">
        <v>4.3338152891101399E-4</v>
      </c>
      <c r="AC166">
        <v>3.9603681144534598E-4</v>
      </c>
      <c r="AD166">
        <v>3.7605869336056598E-4</v>
      </c>
      <c r="AE166">
        <v>3.7031335221200201E-4</v>
      </c>
      <c r="AF166">
        <v>328.93700000000001</v>
      </c>
      <c r="AG166">
        <v>765837.9</v>
      </c>
      <c r="AH166">
        <v>3.01303970461634E-3</v>
      </c>
      <c r="AI166" t="s">
        <v>55</v>
      </c>
      <c r="AJ166" t="s">
        <v>63</v>
      </c>
      <c r="AK166">
        <v>40</v>
      </c>
    </row>
    <row r="167" spans="1:37">
      <c r="A167" t="s">
        <v>2679</v>
      </c>
      <c r="B167" t="s">
        <v>2680</v>
      </c>
      <c r="C167" t="s">
        <v>867</v>
      </c>
      <c r="D167" t="s">
        <v>2681</v>
      </c>
      <c r="E167" t="s">
        <v>2682</v>
      </c>
      <c r="F167" t="s">
        <v>872</v>
      </c>
      <c r="G167" t="s">
        <v>2683</v>
      </c>
      <c r="H167" t="s">
        <v>2684</v>
      </c>
      <c r="I167" t="s">
        <v>875</v>
      </c>
      <c r="J167" t="s">
        <v>2685</v>
      </c>
      <c r="K167" t="s">
        <v>2686</v>
      </c>
      <c r="L167" t="s">
        <v>876</v>
      </c>
      <c r="M167" t="s">
        <v>2687</v>
      </c>
      <c r="N167" t="s">
        <v>2688</v>
      </c>
      <c r="O167" t="s">
        <v>2689</v>
      </c>
      <c r="P167" t="s">
        <v>878</v>
      </c>
      <c r="Q167">
        <v>2.94675366332048E-2</v>
      </c>
      <c r="R167">
        <v>1.2518549323426701E-2</v>
      </c>
      <c r="S167">
        <v>5.1670610144045701E-3</v>
      </c>
      <c r="T167">
        <v>2.2348353262338898E-3</v>
      </c>
      <c r="U167">
        <v>1.9164562963554801E-3</v>
      </c>
      <c r="V167">
        <v>1.63540774272121E-3</v>
      </c>
      <c r="W167">
        <v>1.5624112063712E-3</v>
      </c>
      <c r="X167">
        <v>1.46016850073436E-3</v>
      </c>
      <c r="Y167">
        <v>1.4544619311174299E-3</v>
      </c>
      <c r="Z167">
        <v>1.2720894771094001E-3</v>
      </c>
      <c r="AA167">
        <v>1.23000352618448E-3</v>
      </c>
      <c r="AB167">
        <v>1.1653290705258301E-3</v>
      </c>
      <c r="AC167">
        <v>1.0849615484205999E-3</v>
      </c>
      <c r="AD167">
        <v>8.8309164822136896E-4</v>
      </c>
      <c r="AE167">
        <v>8.2269711977542704E-4</v>
      </c>
      <c r="AF167">
        <v>369.41899999999998</v>
      </c>
      <c r="AG167">
        <v>420567.9</v>
      </c>
      <c r="AH167">
        <v>2.94675366332048E-2</v>
      </c>
      <c r="AI167" t="s">
        <v>64</v>
      </c>
      <c r="AJ167" t="s">
        <v>63</v>
      </c>
      <c r="AK167">
        <v>40</v>
      </c>
    </row>
  </sheetData>
  <phoneticPr fontId="34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17"/>
  <sheetViews>
    <sheetView zoomScaleNormal="100" workbookViewId="0"/>
  </sheetViews>
  <sheetFormatPr defaultColWidth="8.7109375" defaultRowHeight="15"/>
  <cols>
    <col min="1" max="1" width="115" customWidth="1"/>
  </cols>
  <sheetData>
    <row r="1" spans="1:1" ht="16.5">
      <c r="A1" s="15" t="s">
        <v>2690</v>
      </c>
    </row>
    <row r="2" spans="1:1">
      <c r="A2" s="38"/>
    </row>
    <row r="3" spans="1:1">
      <c r="A3" s="39" t="s">
        <v>2691</v>
      </c>
    </row>
    <row r="4" spans="1:1">
      <c r="A4" s="38" t="s">
        <v>2692</v>
      </c>
    </row>
    <row r="5" spans="1:1">
      <c r="A5" s="38" t="s">
        <v>2693</v>
      </c>
    </row>
    <row r="6" spans="1:1">
      <c r="A6" s="38" t="s">
        <v>2694</v>
      </c>
    </row>
    <row r="7" spans="1:1">
      <c r="A7" s="38" t="s">
        <v>2695</v>
      </c>
    </row>
    <row r="8" spans="1:1">
      <c r="A8" s="38"/>
    </row>
    <row r="9" spans="1:1">
      <c r="A9" s="39" t="s">
        <v>2696</v>
      </c>
    </row>
    <row r="10" spans="1:1">
      <c r="A10" s="40" t="s">
        <v>2697</v>
      </c>
    </row>
    <row r="11" spans="1:1">
      <c r="A11" s="40" t="s">
        <v>2698</v>
      </c>
    </row>
    <row r="12" spans="1:1">
      <c r="A12" s="38"/>
    </row>
    <row r="13" spans="1:1">
      <c r="A13" s="39" t="s">
        <v>2699</v>
      </c>
    </row>
    <row r="14" spans="1:1">
      <c r="A14" s="40" t="s">
        <v>2700</v>
      </c>
    </row>
    <row r="15" spans="1:1">
      <c r="A15" s="38" t="s">
        <v>2701</v>
      </c>
    </row>
    <row r="16" spans="1:1">
      <c r="A16" s="38"/>
    </row>
    <row r="17" spans="1:1">
      <c r="A17" s="41" t="s">
        <v>2702</v>
      </c>
    </row>
  </sheetData>
  <phoneticPr fontId="34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대시보드</vt:lpstr>
      <vt:lpstr>피크 요약</vt:lpstr>
      <vt:lpstr>원소 간섭 히트맵</vt:lpstr>
      <vt:lpstr>전체 데이터</vt:lpstr>
      <vt:lpstr>피크Top</vt:lpstr>
      <vt:lpstr>설명 · 출처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WonJeong Yu</cp:lastModifiedBy>
  <cp:revision>1</cp:revision>
  <dcterms:created xsi:type="dcterms:W3CDTF">2026-07-29T08:40:47Z</dcterms:created>
  <dcterms:modified xsi:type="dcterms:W3CDTF">2026-07-29T09:03:34Z</dcterms:modified>
  <dc:language>en-US</dc:language>
</cp:coreProperties>
</file>